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ccines" sheetId="1" r:id="rId5"/>
    <sheet state="visible" name="ingredients_text" sheetId="2" r:id="rId6"/>
    <sheet state="visible" name="pregnancy_BF_text" sheetId="3" r:id="rId7"/>
    <sheet state="visible" name="interaction_text" sheetId="4" r:id="rId8"/>
    <sheet state="visible" name="simult_administration_text" sheetId="5" r:id="rId9"/>
    <sheet state="visible" name="storage_text" sheetId="6" r:id="rId10"/>
  </sheets>
  <definedNames/>
  <calcPr/>
</workbook>
</file>

<file path=xl/sharedStrings.xml><?xml version="1.0" encoding="utf-8"?>
<sst xmlns="http://schemas.openxmlformats.org/spreadsheetml/2006/main" count="2725" uniqueCount="1789">
  <si>
    <t>vaccine_id</t>
  </si>
  <si>
    <t>code_name</t>
  </si>
  <si>
    <t>ingredients_text_w/o_html</t>
  </si>
  <si>
    <t>ingredients_text_html</t>
  </si>
  <si>
    <t>ingredients_date</t>
  </si>
  <si>
    <t>ingredients_view_number</t>
  </si>
  <si>
    <t>ingredients_version</t>
  </si>
  <si>
    <t>ingredients_version_link</t>
  </si>
  <si>
    <t>creation_date</t>
  </si>
  <si>
    <t>update_date</t>
  </si>
  <si>
    <t>comment</t>
  </si>
  <si>
    <r>
      <rPr>
        <rFont val="Arial"/>
        <color theme="1"/>
      </rPr>
      <t xml:space="preserve">1 доза (0,1 мл) содержит:
Действующее вещество: микробные клетки </t>
    </r>
    <r>
      <rPr>
        <rFont val="Arial"/>
        <i/>
        <color theme="1"/>
      </rPr>
      <t>Mycobacterium bovis BCG-I</t>
    </r>
    <r>
      <rPr>
        <rFont val="Arial"/>
        <color theme="1"/>
      </rPr>
      <t xml:space="preserve"> — 0,05 мг*.
Полный перечень вспомогательных веществ приведен в разделе 6.1.
Препарат не содержит консервантов и антибиотиков.
Выпускается в комплекте с растворителем — натрия хлорид растворитель для приготовления лекарственных форм для инъекций 0,9 %.
* расчетное содержание в 1 дозе.
</t>
    </r>
    <r>
      <rPr>
        <rFont val="Arial"/>
        <b/>
        <color theme="1"/>
      </rPr>
      <t>6.1. Перечень вспомогательных веществ</t>
    </r>
    <r>
      <rPr>
        <rFont val="Arial"/>
        <color theme="1"/>
      </rPr>
      <t xml:space="preserve">
</t>
    </r>
    <r>
      <rPr>
        <rFont val="Arial"/>
        <i/>
        <color theme="1"/>
      </rPr>
      <t>Лиофилизат</t>
    </r>
    <r>
      <rPr>
        <rFont val="Arial"/>
        <color theme="1"/>
      </rPr>
      <t>:
• Натрия глутамата моногидрат.</t>
    </r>
  </si>
  <si>
    <r>
      <rPr>
        <rFont val="Arial"/>
        <color theme="1"/>
      </rPr>
      <t xml:space="preserve">&lt;p&gt;1&amp;nbsp;доза (0,1&amp;nbsp;мл) содержит:&lt;br&gt;&lt;br&gt;
Действующее вещество: микробные клетки &lt;i&gt;Mycobacterium bovis BCG-I&lt;/i&gt; — 0,05&amp;nbsp;мг*.&lt;br&gt;
Полный перечень вспомогательных веществ приведен в разделе&amp;nbsp;6.1.&lt;br&gt;
Препарат не содержит консервантов и антибиотиков.&lt;br&gt;
Выпускается в комплекте с растворителем — натрия хлорид растворитель для приготовления лекарственных форм для инъекций 0,9&amp;nbsp;%.&lt;br&gt;&lt;br&gt;
*&amp;nbsp;расчетное содержание в 1&amp;nbsp;дозе.&lt;br&gt;&lt;br&gt;
</t>
    </r>
    <r>
      <rPr>
        <rFont val="Arial"/>
        <b/>
        <color theme="1"/>
      </rPr>
      <t>&lt;b&gt;6.1.&amp;nbsp;Перечень вспомогательных веществ</t>
    </r>
    <r>
      <rPr>
        <rFont val="Arial"/>
        <color theme="1"/>
      </rPr>
      <t xml:space="preserve">&lt;/b&gt;&lt;br&gt;&lt;br&gt;
</t>
    </r>
    <r>
      <rPr>
        <rFont val="Arial"/>
        <i/>
        <color theme="1"/>
      </rPr>
      <t>&lt;i&gt;Лиофилизат</t>
    </r>
    <r>
      <rPr>
        <rFont val="Arial"/>
        <color theme="1"/>
      </rPr>
      <t>:&lt;/i&gt;
&lt;ul&gt;&lt;li&gt;Натрия глутамата моногидрат.&lt;/li&gt;&lt;/ul&gt;&lt;/p&gt;</t>
    </r>
  </si>
  <si>
    <t>https://lk.regmed.ru/Register/GetPDFfromDA?ID=1597322951</t>
  </si>
  <si>
    <t>добавлено Елена Савинова</t>
  </si>
  <si>
    <r>
      <rPr>
        <rFont val="Arial"/>
        <color theme="1"/>
      </rPr>
      <t xml:space="preserve">1 доза (0,1 мл) содержит:
Действующее вещество: микробные клетки Mycobacterium bovis BCG-I — 0,025 мг*.
Полный перечень вспомогательных веществ приведен в разделе 6.1.
Препарат не содержит консервантов и антибиотиков.
Выпускается в комплекте с растворителем — натрия хлорид растворитель для приготовления лекарственных форм для инъекций 0,9 %.
* расчетное содержание в 1 дозе.
</t>
    </r>
    <r>
      <rPr>
        <rFont val="Arial"/>
        <b/>
        <color theme="1"/>
      </rPr>
      <t>6.1. Перечень вспомогательных веществ</t>
    </r>
    <r>
      <rPr>
        <rFont val="Arial"/>
        <color theme="1"/>
      </rPr>
      <t xml:space="preserve">
• Натрия глутамата моногидрат.</t>
    </r>
  </si>
  <si>
    <r>
      <rPr>
        <rFont val="Arial"/>
        <color theme="1"/>
      </rPr>
      <t xml:space="preserve">&lt;p&gt;1&amp;nbsp;доза (0,1&amp;nbsp;мл) содержит:&lt;br&gt;&lt;br&gt;
Действующее вещество: микробные клетки &lt;i&gt;Mycobacterium bovis BCG-I&lt;/i&gt; — 0,025&amp;nbsp;мг*.&lt;br&gt;
Полный перечень вспомогательных веществ приведен в разделе&amp;nbsp;6.1.&lt;br&gt;
Препарат не содержит консервантов и антибиотиков.&lt;br&gt;
Выпускается в комплекте с растворителем — натрия хлорид растворитель для приготовления лекарственных форм для инъекций 0,9&amp;nbsp;%.&lt;br&gt;&lt;br&gt;
*&amp;nbsp;расчетное содержание в 1&amp;nbsp;дозе.&lt;br&gt;&lt;br&gt;
</t>
    </r>
    <r>
      <rPr>
        <rFont val="Arial"/>
        <b/>
        <color theme="1"/>
      </rPr>
      <t>&lt;b&gt;6.1.&amp;nbsp;Перечень вспомогательных веществ</t>
    </r>
    <r>
      <rPr>
        <rFont val="Arial"/>
        <color theme="1"/>
      </rPr>
      <t>&lt;/b&gt;
&lt;ul&gt;&lt;li&gt;Натрия глутамата моногидрат.&lt;/li&gt;&lt;/ul&gt;&lt;/p&gt;</t>
    </r>
  </si>
  <si>
    <t>https://lk.regmed.ru/Register/GetPDFfromDA?ID=1597318981</t>
  </si>
  <si>
    <t>проверено Елена Савинова</t>
  </si>
  <si>
    <r>
      <rPr>
        <rFont val="Arial"/>
        <color theme="1"/>
      </rPr>
      <t xml:space="preserve">В одной дозе содержится:
• 0,05 мг Микобактерий вакцинного штамма </t>
    </r>
    <r>
      <rPr>
        <rFont val="Arial"/>
        <i/>
        <color theme="1"/>
      </rPr>
      <t>Mycobacterium bovis</t>
    </r>
    <r>
      <rPr>
        <rFont val="Arial"/>
        <color theme="1"/>
      </rPr>
      <t>, субштамм BCG-1 (Russia).
Перечень вспомогательных веществ:
• Стабилизатор — натрия глутамат моногидрат — не более 0,3 мг;
• Раствор натрия хлорида 0,9 % для инъекций — до 0,1 мл.</t>
    </r>
  </si>
  <si>
    <r>
      <rPr>
        <rFont val="Arial"/>
        <color theme="1"/>
      </rPr>
      <t>&lt;p&gt;В одной дозе содержится:
&lt;ul&gt;&lt;li&gt;0,05&amp;nbsp;мг Микобактерий вакцинного штамма &lt;i&gt;</t>
    </r>
    <r>
      <rPr>
        <rFont val="Arial"/>
        <i/>
        <color theme="1"/>
      </rPr>
      <t>Mycobacterium bovis&lt;/i&gt;</t>
    </r>
    <r>
      <rPr>
        <rFont val="Arial"/>
        <color theme="1"/>
      </rPr>
      <t>, субштамм BCG-1 (Russia).&lt;/li&gt;&lt;/ul&gt;
Перечень вспомогательных веществ:
&lt;ul&gt;&lt;li&gt;Стабилизатор — натрия глутамат моногидрат — не более 0,3&amp;nbsp;мг;&lt;/li&gt;
&lt;li&gt;Раствор натрия хлорида 0,9&amp;nbsp;% для инъекций — до 0,1&amp;nbsp;мл.&lt;/li&gt;&lt;/ul&gt;&lt;/p&gt;</t>
    </r>
  </si>
  <si>
    <t>https://grls.rosminzdrav.ru/InstrImg/2025/05/19/1517351/3bec22d2-65bc-4a94-9482-413901e57760.pdf</t>
  </si>
  <si>
    <t>В одной дозе содержится:
• 0,025 мг Микобактерий вакцинного штамма Mycobacterium bovis, субштамм BCG-1 (Russia).
Перечень вспомогательных веществ:
• Стабилизатор — натрия глутамат моногидрат — не более 0,15 мг;
• Раствор натрия хлорида 0,9 % для инъекций — до 0,1 мл.</t>
  </si>
  <si>
    <t>&lt;p&gt;В одной дозе содержится:
&lt;ul&gt;&lt;li&gt;0,025&amp;nbsp;мг Микобактерий вакцинного штамма Mycobacterium bovis, субштамм BCG-1 (Russia).&lt;/li&gt;&lt;/ul&gt;
Перечень вспомогательных веществ:
&lt;ul&gt;&lt;li&gt;Стабилизатор — натрия глутамат моногидрат — не более 0,15&amp;nbsp;мг;&lt;/li&gt;
&lt;li&gt;Раствор натрия хлорида 0,9&amp;nbsp;% для инъекций — до 0,1&amp;nbsp;мл.&lt;/li&gt;&lt;/ul&gt;&lt;/p&gt;</t>
  </si>
  <si>
    <t>https://grls.rosminzdrav.ru/InstrImg/2025/06/02/1517794/d7367d9e-e745-46a7-b297-5a093bf3738a.pdf</t>
  </si>
  <si>
    <t>1 доза (0,5 мл) вакцины содержит:
Действующие вещества:
• анатоксин дифтерийный¹·³ — не менее 30 МЕ;
• анатоксин столбнячный²·³ — не менее 40 МЕ;
• анатоксин коклюшный (АК)³ — 25 мкг;
• гемагглютинин филаментозный (ФГА)³ — 25 мкг;
• пертактин (ПРН)³ (белок наружной мембраны 69 кДа) — 8 мкг.
¹ Содержание дифтерийного анатоксина 25 Lf (флоккулирующих единиц).
² Содержание столбнячного анатоксина 10 Lf (флоккулирующих единиц).
³ Адсорбированный на алюминия гидроксиде (0,5 мг в пересчете на алюминий).
Перечень вспомогательных веществ:
• Натрия хлорид.
• Вода для инъекций.</t>
  </si>
  <si>
    <t>&lt;p&gt;1&amp;nbsp;доза (0,5&amp;nbsp;мл) вакцины содержит:&lt;br&gt;&lt;br&gt;
&lt;i&gt;Действующие вещества:&lt;/i&gt;
&lt;ul&gt;&lt;li&gt;анатоксин дифтерийный¹&lt;sup&gt;,&lt;/sup&gt;³ — не менее 30&amp;nbsp;МЕ;&lt;/li&gt;
&lt;li&gt;анатоксин столбнячный²&lt;sup&gt;,&lt;/sup&gt;³ — не менее 40&amp;nbsp;МЕ;&lt;/li&gt;
&lt;li&gt;анатоксин коклюшный (АК)³ — 25&amp;nbsp;мкг;&lt;/li&gt;
&lt;li&gt;гемагглютинин филаментозный (ФГА)³ — 25&amp;nbsp;мкг;&lt;/li&gt;
&lt;li&gt;пертактин (ПРН)³ (белок наружной мембраны 69&amp;nbsp;кДа) — 8&amp;nbsp;мкг.&lt;/li&gt;&lt;/ul&gt;
¹&amp;nbsp;Содержание дифтерийного анатоксина 25&amp;nbsp;Lf (флоккулирующих единиц).&lt;br&gt;
²&amp;nbsp;Содержание столбнячного анатоксина 10&amp;nbsp;Lf (флоккулирующих единиц).&lt;br&gt;
³&amp;nbsp;Адсорбированный на алюминия гидроксиде (0,5&amp;nbsp;мг в пересчете на алюминий).&lt;br&gt;&lt;br&gt;
&lt;i&gt;Перечень вспомогательных веществ:&lt;/i&gt;
&lt;ul&gt;&lt;li&gt;Натрия хлорид.&lt;/li&gt;
&lt;li&gt;Вода для инъекций.&lt;/li&gt;&lt;/ul&gt;&lt;/p&gt;</t>
  </si>
  <si>
    <t>https://lk.regmed.ru/Register/GetPDFfromDA?ID=1484709711</t>
  </si>
  <si>
    <r>
      <rPr>
        <rFont val="Arial"/>
        <color theme="1"/>
      </rPr>
      <t xml:space="preserve">В 1 дозе (0,5 мл) содержится:
</t>
    </r>
    <r>
      <rPr>
        <rFont val="Arial"/>
        <i/>
        <color theme="1"/>
      </rPr>
      <t>Препарат с консервантом.</t>
    </r>
    <r>
      <rPr>
        <rFont val="Arial"/>
        <color theme="1"/>
      </rPr>
      <t xml:space="preserve">
Действующие вещества:
• анатоксин дифтерийный¹ — 15 флокулирующих единиц (Lf);
• анатоксин столбнячный¹ — 5 единиц связывания (EC);
• коклюшная суспензия инактивированная — 10 млрд коклюшных микробных клеток.
¹ - Адсорбированный на алюминия гидроксиде (в пересчете на Al³⁺) — не более 0,55 мг;
</t>
    </r>
    <r>
      <rPr>
        <rFont val="Arial"/>
        <i/>
        <color theme="1"/>
      </rPr>
      <t>Препарат без консерванта.</t>
    </r>
    <r>
      <rPr>
        <rFont val="Arial"/>
        <color theme="1"/>
      </rPr>
      <t xml:space="preserve">
Действующие вещества:
• анатоксин дифтерийный¹ — 15 флокулирующих единиц (Lf);
• анатоксин столбнячный¹ — 5 единиц связывания (EC);
• коклюшная суспензия инактивированная без тиомерсала — 10 млрд коклюшных микробных клеток.
¹ - Адсорбированный на алюминия гидроксиде (в пересчете на Al³⁺) — не более 0,55 мг;
Перечень вспомогательных веществ:
</t>
    </r>
    <r>
      <rPr>
        <rFont val="Arial"/>
        <i/>
        <color theme="1"/>
      </rPr>
      <t>Препарат с консервантом</t>
    </r>
    <r>
      <rPr>
        <rFont val="Arial"/>
        <color theme="1"/>
      </rPr>
      <t xml:space="preserve">.
• Алюминия гидроксид;
• Формальдегид;
• Консервант — тиомерсал.
</t>
    </r>
    <r>
      <rPr>
        <rFont val="Arial"/>
        <i/>
        <color theme="1"/>
      </rPr>
      <t>Препарат без консерванта</t>
    </r>
    <r>
      <rPr>
        <rFont val="Arial"/>
        <color theme="1"/>
      </rPr>
      <t>.
• Алюминия гидроксид;
• Формальдегид.</t>
    </r>
  </si>
  <si>
    <r>
      <rPr>
        <rFont val="Arial"/>
        <color theme="1"/>
      </rPr>
      <t xml:space="preserve">&lt;p&gt;В 1&amp;nbsp;дозе (0,5&amp;nbsp;мл) содержится:&lt;br&gt;&lt;br&gt;
</t>
    </r>
    <r>
      <rPr>
        <rFont val="Arial"/>
        <i/>
        <color theme="1"/>
      </rPr>
      <t>&lt;i&gt;Препарат с консервантом.</t>
    </r>
    <r>
      <rPr>
        <rFont val="Arial"/>
        <color theme="1"/>
      </rPr>
      <t xml:space="preserve">&lt;/i&gt;&lt;br&gt;&lt;br&gt;
Действующие вещества:
&lt;ul&gt;&lt;li&gt;анатоксин дифтерийный¹ — 15&amp;nbsp;флокулирующих единиц (Lf);&lt;/li&gt;
&lt;li&gt;анатоксин столбнячный¹ — 5&amp;nbsp;единиц связывания (EC);&lt;/li&gt;
&lt;li&gt;коклюшная суспензия инактивированная — 10&amp;nbsp;млрд коклюшных микробных клеток.&lt;/li&gt;&lt;/ul&gt;
¹&amp;nbsp;- Адсорбированный на алюминия гидроксиде (в пересчете на Al³⁺) — не более 0,55&amp;nbsp;мг;&lt;br&gt;&lt;br&gt;
</t>
    </r>
    <r>
      <rPr>
        <rFont val="Arial"/>
        <i/>
        <color theme="1"/>
      </rPr>
      <t>&lt;i&gt;Препарат без консерванта.</t>
    </r>
    <r>
      <rPr>
        <rFont val="Arial"/>
        <color theme="1"/>
      </rPr>
      <t xml:space="preserve">&lt;/i&gt;&lt;br&gt;&lt;br&gt;
Действующие вещества:
&lt;ul&gt;&lt;li&gt;анатоксин дифтерийный¹ — 15&amp;nbsp;флокулирующих единиц (Lf);&lt;/li&gt;
&lt;li&gt;анатоксин столбнячный¹ — 5&amp;nbsp;единиц связывания (EC);&lt;/li&gt;
&lt;li&gt;коклюшная суспензия инактивированная без тиомерсала — 10&amp;nbsp;млрд коклюшных микробных клеток.&lt;/li&gt;&lt;/ul&gt;
¹&amp;nbsp;- Адсорбированный на алюминия гидроксиде (в пересчете на Al³⁺) — не более 0,55&amp;nbsp;мг;&lt;br&gt;&lt;br&gt;
Перечень вспомогательных веществ:&lt;br&gt;&lt;br&gt;
</t>
    </r>
    <r>
      <rPr>
        <rFont val="Arial"/>
        <i/>
        <color theme="1"/>
      </rPr>
      <t>&lt;i&gt;Препарат с консервантом.</t>
    </r>
    <r>
      <rPr>
        <rFont val="Arial"/>
        <color theme="1"/>
      </rPr>
      <t xml:space="preserve">&lt;/i&gt;
&lt;ul&gt;&lt;li&gt;Алюминия гидроксид;&lt;/li&gt;
&lt;li&gt;Формальдегид;&lt;/li&gt;
&lt;li&gt;Консервант — тиомерсал.&lt;/li&gt;&lt;/ul&gt;
</t>
    </r>
    <r>
      <rPr>
        <rFont val="Arial"/>
        <i/>
        <color theme="1"/>
      </rPr>
      <t>&lt;i&gt;Препарат без консерванта</t>
    </r>
    <r>
      <rPr>
        <rFont val="Arial"/>
        <color theme="1"/>
      </rPr>
      <t>.&lt;/i&gt;
&lt;ul&gt;&lt;li&gt;Алюминия гидроксид;&lt;/li&gt;
&lt;li&gt;Формальдегид.&lt;/li&gt;&lt;/ul&gt;&lt;/p&gt;</t>
    </r>
  </si>
  <si>
    <t>https://lk.regmed.ru/Register/GetPDFfromDA?ID=1587927891</t>
  </si>
  <si>
    <t>АКДС-вакцина состоит из взвеси убитых коклюшных микробов и очищенных дифтерийного и столбнячного анатоксинов, сорбированных на алюминия гидроксиде.
В одной дозе препарата (0,5 мл) содержится 10 международных единиц (МЕ) инактивированных коклюшных микробов, 15 флокулирующих единиц (Lf) дифтерийного, 5 единиц связывания (EC) столбнячного анатоксинов, от 0,25 до 0,55 мг алюминия гидроксида в пересчете на алюминий (сорбент), от 42,5 до 57,5 мкг тиомерсала (консервант).</t>
  </si>
  <si>
    <t>&lt;p&gt;В одной дозе препарата (0,5&amp;nbsp;мл) содержится 10&amp;nbsp;международных единиц (МЕ) инактивированных коклюшных микробов, 15&amp;nbsp;флокулирующих единиц (Lf) дифтерийного, 5&amp;nbsp;единиц связывания (EC) столбнячного анатоксинов, от 0,25 до 0,55&amp;nbsp;мг алюминия гидроксида в пересчете на алюминий (сорбент), от 42,5 до 57,5&amp;nbsp;мкг тиомерсала (консервант).&lt;/p&gt;</t>
  </si>
  <si>
    <t>https://grls.rosminzdrav.ru/InstrImg/2017/4/26/1416322/%D0%A0_N002666_01[2013]_0.pdf</t>
  </si>
  <si>
    <t xml:space="preserve">Препарат содержит в одной дозе (0,5 мл): 15 флокулирующих единиц (Lf) дифтерийного, 5 единиц связывания (EC) столбнячного анатоксинов, 10 млрд коклюшных бактерий, 5 мкг HBsAg, 0,4 мг алюминия гидроксида (Al³⁺), 50 мкг мертиолята (консервант). </t>
  </si>
  <si>
    <t>&lt;p&gt;Препарат содержит в одной дозе (0,5&amp;nbsp;мл): 15&amp;nbsp;флокулирующих единиц (Lf) дифтерийного, 5&amp;nbsp;единиц связывания (EC) столбнячного анатоксинов, 10&amp;nbsp;млрд коклюшных бактерий, 5&amp;nbsp;мкг HBsAg, 0,4&amp;nbsp;мг алюминия гидроксида (Al³⁺), 50&amp;nbsp;мкг мертиолята (консервант).&lt;/p&gt;</t>
  </si>
  <si>
    <t>https://grls.rosminzdrav.ru/InstrImg/2020/05/28/10700/9d141b34-47e7-48c8-9480-616cbbc792fc.pdf</t>
  </si>
  <si>
    <r>
      <rPr>
        <rFont val="Arial"/>
        <color theme="1"/>
      </rPr>
      <t xml:space="preserve">Действующими веществами являются:
После восстановления 1 доза (0,5 мл) содержит:
</t>
    </r>
    <r>
      <rPr>
        <rFont val="Arial"/>
        <i/>
        <color theme="1"/>
      </rPr>
      <t>Изначально в виде суспензии:</t>
    </r>
    <r>
      <rPr>
        <rFont val="Arial"/>
        <color theme="1"/>
      </rPr>
      <t xml:space="preserve">
• Анатоксин дифтерийный¹ — 30 Lf (≥ 30 МЕ²)³;
• Анатоксин столбнячный¹ — 10 LF (≥ 40 МЕ⁴)³;
• Анатоксин коклюшный¹ — 25 мкг;
• Гемагглютинин филаментозный¹ — 25 мкг;
• Вирус полиомиелита 1-го типа инактивированный (Mahoney)⁵ — 40 единиц D антигена⁶;
• Вирус полиомиелита 2-го типа инактивированный (MEF-1)⁵ — 8 единиц D антигена⁶;
• Вирус полиомиелита 3-го типа инактивированный (Saukett)⁵ — 32 единицы D антигена⁶.
</t>
    </r>
    <r>
      <rPr>
        <rFont val="Arial"/>
        <i/>
        <color theme="1"/>
      </rPr>
      <t xml:space="preserve">
Изначально в виде лиофилизата для приготовления суспензии:</t>
    </r>
    <r>
      <rPr>
        <rFont val="Arial"/>
        <color theme="1"/>
      </rPr>
      <t xml:space="preserve">
• Полисахарид </t>
    </r>
    <r>
      <rPr>
        <rFont val="Arial"/>
        <i/>
        <color theme="1"/>
      </rPr>
      <t>Haemophilus influenzae</t>
    </r>
    <r>
      <rPr>
        <rFont val="Arial"/>
        <color theme="1"/>
      </rPr>
      <t xml:space="preserve"> тип </t>
    </r>
    <r>
      <rPr>
        <rFont val="Arial"/>
        <i/>
        <color theme="1"/>
      </rPr>
      <t>b</t>
    </r>
    <r>
      <rPr>
        <rFont val="Arial"/>
        <color theme="1"/>
      </rPr>
      <t xml:space="preserve"> (полирибозилрибитол фосфат) — 10 мкг,
конъюгированный со столбнячным анатоксином — 18-30 мкг.
¹ — адсорбирован на алюминия гидроксида гидрате (0,3 мг в пересчете на алюминий);
² — в качестве среднего значения, нижний предел доверительного интервала (р = 0,95) не менее 20 МЕ/доза;
³ — или эквивалентная активность, определенная при оценке иммуногенности;
⁴ — нижний предел доверительного интервала (р = 0,95);
⁵ — культивированный на клетках VERO;
⁶ — или эквивалентное содержание антигена, определенное подходящим иммунохимическим методом.
Антибиотики (стрептомицин, неомицин и полимиксин В) и глутаральдегид используются при производстве вакцины, но не присутствуют в определяемых количествах в конечном продукте.
Вспомогательные вещества, наличие которых надо учитывать в составе вакцины: фенилаланин
Перечень вспомогательных веществ:
</t>
    </r>
    <r>
      <rPr>
        <rFont val="Arial"/>
        <i/>
        <color theme="1"/>
      </rPr>
      <t>Суспензия для внутримышечного введения:</t>
    </r>
    <r>
      <rPr>
        <rFont val="Arial"/>
        <color theme="1"/>
      </rPr>
      <t xml:space="preserve">
• Алюминия гидроксида гидрат;
• Раствор формальдегида;
• Феноксиэтанол;
• Этанол безводный;
• Среда Хенкса 199 (10×) без фенолового красного (представляет собой сложную смесь аминокислот (включая фенилаланин), минералов, витаминов и других компонентов (таких как глюкоза), разведенную в воде для инъекций);
• Натрия гидроксид или ледяная уксусная кислота используются для корректировки рН;
• Вода для инъекций.
</t>
    </r>
    <r>
      <rPr>
        <rFont val="Arial"/>
        <i/>
        <color theme="1"/>
      </rPr>
      <t>Лиофилизат для приготовления суспензии для внутримышечного введения:</t>
    </r>
    <r>
      <rPr>
        <rFont val="Arial"/>
        <color theme="1"/>
      </rPr>
      <t xml:space="preserve">
• Трометамол;
• Сахароза;
• Концентрированная хлористоводородная кислота для корректировки рН (до 7,2 ± 0,1).</t>
    </r>
  </si>
  <si>
    <r>
      <rPr>
        <rFont val="Arial"/>
        <color theme="1"/>
      </rPr>
      <t xml:space="preserve">&lt;p&gt;Действующими веществами являются:&lt;br&gt;
После восстановления 1&amp;nbsp;доза (0,5&amp;nbsp;мл) содержит:&lt;br&gt;&lt;br&gt;
</t>
    </r>
    <r>
      <rPr>
        <rFont val="Arial"/>
        <i/>
        <color theme="1"/>
      </rPr>
      <t>&lt;i&gt;Изначально в виде суспензии:&lt;/i&gt;</t>
    </r>
    <r>
      <rPr>
        <rFont val="Arial"/>
        <color theme="1"/>
      </rPr>
      <t xml:space="preserve">
&lt;ul&gt;&lt;li&gt;Анатоксин дифтерийный¹ — 30&amp;nbsp;Lf (≥&amp;nbsp;30&amp;nbsp;МЕ²)³;&lt;/li&gt;
&lt;li&gt;Анатоксин столбнячный¹ — 10&amp;nbsp;LF (≥&amp;nbsp;40&amp;nbsp;МЕ⁴)³;&lt;/li&gt;
&lt;li&gt;Анатоксин коклюшный¹ — 25&amp;nbsp;мкг;&lt;/li&gt;
&lt;li&gt;Гемагглютинин филаментозный¹ — 25&amp;nbsp;мкг;&lt;/li&gt;
&lt;li&gt;Вирус полиомиелита 1-го&amp;nbsp;типа инактивированный (Mahoney)⁵ — 40&amp;nbsp;единиц D&amp;nbsp;антигена⁶;&lt;/li&gt;
&lt;li&gt;Вирус полиомиелита 2-го&amp;nbsp;типа инактивированный (MEF-1)⁵ — 8&amp;nbsp;единиц D&amp;nbsp;антигена⁶;&lt;/li&gt;
&lt;li&gt;Вирус полиомиелита 3-го&amp;nbsp;типа инактивированный (Saukett)⁵ — 32&amp;nbsp;единицы D&amp;nbsp;антигена⁶.&lt;/li&gt;&lt;/ul&gt;
</t>
    </r>
    <r>
      <rPr>
        <rFont val="Arial"/>
        <i/>
        <color theme="1"/>
      </rPr>
      <t xml:space="preserve">
&lt;i&gt;Изначально в виде лиофилизата для приготовления суспензии:</t>
    </r>
    <r>
      <rPr>
        <rFont val="Arial"/>
        <color theme="1"/>
      </rPr>
      <t xml:space="preserve">&lt;/i&gt;
&lt;ul&gt;&lt;li&gt;Полисахарид </t>
    </r>
    <r>
      <rPr>
        <rFont val="Arial"/>
        <i/>
        <color theme="1"/>
      </rPr>
      <t>Haemophilus influenzae</t>
    </r>
    <r>
      <rPr>
        <rFont val="Arial"/>
        <color theme="1"/>
      </rPr>
      <t xml:space="preserve"> тип </t>
    </r>
    <r>
      <rPr>
        <rFont val="Arial"/>
        <i/>
        <color theme="1"/>
      </rPr>
      <t>b</t>
    </r>
    <r>
      <rPr>
        <rFont val="Arial"/>
        <color theme="1"/>
      </rPr>
      <t xml:space="preserve"> (полирибозилрибитол фосфат) — 10&amp;nbsp;мкг,&lt;br&gt;
конъюгированный со столбнячным анатоксином — 18-30&amp;nbsp;мкг.&lt;/li&gt;&lt;/ul&gt;
¹ — адсорбирован на алюминия гидроксида гидрате (0,3&amp;nbsp;мг в пересчете на алюминий);&lt;br&gt;
² — в качестве среднего значения, нижний предел доверительного интервала (р&amp;nbsp;=&amp;nbsp;0,95) не менее 20&amp;nbsp;МЕ/доза;&lt;br&gt;
³ — или эквивалентная активность, определенная при оценке иммуногенности;&lt;br&gt;
⁴ — нижний предел доверительного интервала (р&amp;nbsp;=&amp;nbsp;0,95);&lt;br&gt;
⁵ — культивированный на клетках VERO;&lt;br&gt;
⁶ — или эквивалентное содержание антигена, определенное подходящим иммунохимическим методом.&lt;br&gt;&lt;br&gt;
Антибиотики (стрептомицин, неомицин и полимиксин В) и глутаральдегид используются при производстве вакцины, но не присутствуют в определяемых количествах в конечном продукте.&lt;br&gt;
Вспомогательные вещества, наличие которых надо учитывать в составе вакцины: фенилаланин&lt;br&gt;&lt;br&gt;
Перечень вспомогательных веществ:&lt;br&gt;
</t>
    </r>
    <r>
      <rPr>
        <rFont val="Arial"/>
        <i/>
        <color theme="1"/>
      </rPr>
      <t>&lt;i&gt;Суспензия для внутримышечного введения:</t>
    </r>
    <r>
      <rPr>
        <rFont val="Arial"/>
        <color theme="1"/>
      </rPr>
      <t xml:space="preserve">&lt;/i&gt;
&lt;ul&gt;&lt;li&gt;Алюминия гидроксида гидрат;&lt;/li&gt;
&lt;li&gt;Раствор формальдегида;&lt;/li&gt;
&lt;li&gt;Феноксиэтанол;&lt;/li&gt;
&lt;li&gt;Этанол безводный;&lt;/li&gt;
&lt;li&gt;Среда Хенкса&amp;nbsp;199 (10×) без фенолового красного (представляет собой сложную смесь аминокислот (включая фенилаланин), минералов, витаминов и других компонентов (таких как глюкоза), разведенную в воде для инъекций);&lt;/li&gt;
&lt;li&gt;Натрия гидроксид или ледяная уксусная кислота используются для корректировки рН;&lt;/li&gt;
&lt;li&gt;Вода для инъекций.&lt;/li&gt;&lt;/ul&gt;
</t>
    </r>
    <r>
      <rPr>
        <rFont val="Arial"/>
        <i/>
        <color theme="1"/>
      </rPr>
      <t>&lt;i&gt;Лиофилизат для приготовления суспензии для внутримышечного введения:</t>
    </r>
    <r>
      <rPr>
        <rFont val="Arial"/>
        <color theme="1"/>
      </rPr>
      <t>&lt;/i&gt;
&lt;ul&gt;&lt;li&gt;Трометамол;&lt;/li&gt;
&lt;li&gt;Сахароза;&lt;/li&gt;
&lt;li&gt;Концентрированная хлористоводородная кислота для корректировки рН (до 7,2&amp;nbsp;±&amp;nbsp;0,1).&lt;/li&gt;&lt;/ul&gt;&lt;/p&gt;</t>
    </r>
  </si>
  <si>
    <t>https://grls.rosminzdrav.ru/InstrImg/2026/05/27/1530421/6bdc8421-6c08-4bf7-be7f-0ae5d96a478d.pdf</t>
  </si>
  <si>
    <t>zaytseva@vaccina.info не нашла символ запятой в верхнем индексе, который бы нормально копировался сюда, поэтому здесь и далее в столбце "ingredients_text_w/o_html" вместо него символ "·". В столбце "ingredients_text_html" запятая в верхнем индексе поставлена с помощью тэга &lt;sup&gt;.</t>
  </si>
  <si>
    <r>
      <rPr>
        <rFont val="Arial"/>
        <color theme="1"/>
      </rPr>
      <t xml:space="preserve">1 доза (0,5 мл) вакцины содержит:
Вакцина для профилактики дифтерии, столбняка, коклюша (бесклеточная), полиомиелита (инактивированная), гепатита В комбинированная, адсорбированная
</t>
    </r>
    <r>
      <rPr>
        <rFont val="Arial"/>
        <i/>
        <color theme="1"/>
      </rPr>
      <t>Действующие вещества:</t>
    </r>
    <r>
      <rPr>
        <rFont val="Arial"/>
        <color theme="1"/>
      </rPr>
      <t xml:space="preserve">
• Анатоксин дифтерийный¹·³ — Не менее 30 МЕ;
• Анатоксин столбнячный²·³ — Не менее 40 МЕ;
• Анатоксин коклюшный (АК)³ — 25 мкг;
• Гемагглютинин филаментозный (ФГА)³ — 25 мкг;
• Пертактин (белок наружной мембраны 69 кДа)³ — 8 мкг;
• Антиген поверхностный рекомбинантный вируса гепатита B (HBsAg)⁴ — 10 мкг;
• Вирус полиомиелита тип 1 инактивированный — 40 ЕД D-антигена;
• Вирус полиомиелита тип 2 инактивированный — 8 ЕД D-антигена;
• Вирус полиомиелита тип 3 инактивированный — 32 ЕД D-антигена.
Вакцина для профилактики инфекции, вызываемой </t>
    </r>
    <r>
      <rPr>
        <rFont val="Arial"/>
        <i/>
        <color theme="1"/>
      </rPr>
      <t>Haemophilus influenzae</t>
    </r>
    <r>
      <rPr>
        <rFont val="Arial"/>
        <color theme="1"/>
      </rPr>
      <t xml:space="preserve"> тип </t>
    </r>
    <r>
      <rPr>
        <rFont val="Arial"/>
        <i/>
        <color theme="1"/>
      </rPr>
      <t>b</t>
    </r>
    <r>
      <rPr>
        <rFont val="Arial"/>
        <color theme="1"/>
      </rPr>
      <t xml:space="preserve"> конъюгированная, адсорбированная
</t>
    </r>
    <r>
      <rPr>
        <rFont val="Arial"/>
        <i/>
        <color theme="1"/>
      </rPr>
      <t>Действующее вещество:</t>
    </r>
    <r>
      <rPr>
        <rFont val="Arial"/>
        <color theme="1"/>
      </rPr>
      <t xml:space="preserve">
• Капсульный полисахарид </t>
    </r>
    <r>
      <rPr>
        <rFont val="Arial"/>
        <i/>
        <color theme="1"/>
      </rPr>
      <t>Haemophilus influenzae</t>
    </r>
    <r>
      <rPr>
        <rFont val="Arial"/>
        <color theme="1"/>
      </rPr>
      <t xml:space="preserve"> тип </t>
    </r>
    <r>
      <rPr>
        <rFont val="Arial"/>
        <i/>
        <color theme="1"/>
      </rPr>
      <t>b</t>
    </r>
    <r>
      <rPr>
        <rFont val="Arial"/>
        <color theme="1"/>
      </rPr>
      <t xml:space="preserve">⁴ — 10 мкг;
конъюгированный со столбнячным анатоксином — ≈25 мкг.
¹ Содержание дифтерийного анатоксина 25 Lf (флоккулирующих единиц).
² Содержание столбнячного анатоксина 10 Lf (флоккулирующих единиц).
³ Адсорбированный на алюминия гидроксиде (0,5 мг в пересчете на алюминий).
⁴ Адсорбированный на алюминия фосфате (0,32 мг в пересчете на алюминий).
</t>
    </r>
    <r>
      <rPr>
        <rFont val="Arial"/>
        <i/>
        <color theme="1"/>
      </rPr>
      <t>Перечень вспомогательных веществ:</t>
    </r>
    <r>
      <rPr>
        <rFont val="Arial"/>
        <color theme="1"/>
      </rPr>
      <t xml:space="preserve">
Вакцина для профилактики дифтерии, столбняка, коклюша (бесклеточная), полиомиелита (инактивированная), гепатита В комбинированная, адсорбированная:
• Натрия хлорид.
• Среда 199 (М 199)¹ (включая аминокислоты).
• Вода для инъекций.
¹ Состав среды 199 (М 199):
кальция хлорида дигидрат, железа нитрата нонагидрат, калия хлорид, калия дигидрофосфат, магния сульфата гептагидрат, натрия хлорид, натрия гидрокарбонат, натрия гидрофосфат, L-аланин, L-аргинина гидрохлорид, L-аспарагиновая кислота, L-цистеина гидрохлорид, L-цистин, L-глутаминовая кислота, L-глутамин, глицин, L-гистидина гидрохлорида моногидрат, L-гидроксипролин, L-изолейцин, L-лейцин, L-лизина гидрохлорид, L-метионин, L-фенилаланин, L-пролин, L-серин, L-треонин, L-триптофан, L-тирозин, L-валин, аскорбиновая кислота, альфа-токоферол, биотин, кальциферол, кальция пантотенат, холина хлорид, фолиевая кислота, инозитол, менадион, никотиновая кислота, никотинамид, пара-аминобензойная кислота, пиридоксаль гидрохлорид, пиридоксина гидрохлорид, рибофлавин, тиамина гидрохлорид, ретинола ацетат, аденин, аденозина фосфат, аденозина трифосфат натрия, холестерол, дезоксирибоза, глюкоза, глутатион, гуанина гидрохлорид, гипоксантин, рибоза, натрия ацетат, тимин, твин-80, урацил, ксантин.
Вакцина для профилактики инфекции, вызываемой </t>
    </r>
    <r>
      <rPr>
        <rFont val="Arial"/>
        <i/>
        <color theme="1"/>
      </rPr>
      <t>Haemophilus influenzae</t>
    </r>
    <r>
      <rPr>
        <rFont val="Arial"/>
        <color theme="1"/>
      </rPr>
      <t xml:space="preserve"> тип </t>
    </r>
    <r>
      <rPr>
        <rFont val="Arial"/>
        <i/>
        <color theme="1"/>
      </rPr>
      <t>b</t>
    </r>
    <r>
      <rPr>
        <rFont val="Arial"/>
        <color theme="1"/>
      </rPr>
      <t>, конъюгированная, адсорбированная:
• Лактоза.
Данный препарат содержит менее 1 ммоль (23 мг) натрия на 1 дозу, то есть по сути не содержит натрия.</t>
    </r>
  </si>
  <si>
    <r>
      <rPr>
        <rFont val="Arial"/>
        <color theme="1"/>
      </rPr>
      <t xml:space="preserve">&lt;p&gt;1&amp;nbsp;доза (0,5&amp;nbsp;мл) вакцины содержит:&lt;br&gt;&lt;br&gt;
Вакцина для профилактики дифтерии, столбняка, коклюша (бесклеточная), полиомиелита (инактивированная), гепатита В комбинированная, адсорбированная
</t>
    </r>
    <r>
      <rPr>
        <rFont val="Arial"/>
        <i/>
        <color theme="1"/>
      </rPr>
      <t>&lt;ul&gt;&lt;i&gt;Действующие вещества:&lt;/i&gt;</t>
    </r>
    <r>
      <rPr>
        <rFont val="Arial"/>
        <color theme="1"/>
      </rPr>
      <t xml:space="preserve">
&lt;li&gt;Анатоксин дифтерийный¹&lt;sup&gt;,&lt;/sup&gt;³ — Не менее 30&amp;nbsp;МЕ;&lt;/li&gt;
&lt;li&gt;Анатоксин столбнячный²&lt;sup&gt;,&lt;/sup&gt;³ — Не менее 40&amp;nbsp;МЕ;&lt;/li&gt;
&lt;li&gt;Анатоксин коклюшный (АК)³ — 25&amp;nbsp;мкг;&lt;/li&gt;
&lt;li&gt;Гемагглютинин филаментозный (ФГА)³ — 25&amp;nbsp;мкг;&lt;/li&gt;
&lt;li&gt;Пертактин (белок наружной мембраны 69&amp;nbsp;кДа)³ — 8&amp;nbsp;мкг;&lt;/li&gt;
&lt;li&gt;Антиген поверхностный рекомбинантный вируса гепатита B (HBsAg)⁴ — 10&amp;nbsp;мкг;&lt;/li&gt;
&lt;li&gt;Вирус полиомиелита тип&amp;nbsp;1 инактивированный — 40&amp;nbsp;ЕД D-антигена;&lt;/li&gt;
&lt;li&gt;Вирус полиомиелита тип&amp;nbsp;2 инактивированный — 8&amp;nbsp;ЕД D-антигена;&lt;/li&gt;
&lt;li&gt;Вирус полиомиелита тип&amp;nbsp;3 инактивированный — 32&amp;nbsp;ЕД D-антигена.&lt;/li&gt;&lt;/ul&gt;
Вакцина для профилактики инфекции, вызываемой &lt;i&gt;</t>
    </r>
    <r>
      <rPr>
        <rFont val="Arial"/>
        <i/>
        <color theme="1"/>
      </rPr>
      <t>Haemophilus influenzae&lt;/i&gt;</t>
    </r>
    <r>
      <rPr>
        <rFont val="Arial"/>
        <color theme="1"/>
      </rPr>
      <t xml:space="preserve"> тип &lt;i&gt;</t>
    </r>
    <r>
      <rPr>
        <rFont val="Arial"/>
        <i/>
        <color theme="1"/>
      </rPr>
      <t>b&lt;/i&gt;</t>
    </r>
    <r>
      <rPr>
        <rFont val="Arial"/>
        <color theme="1"/>
      </rPr>
      <t xml:space="preserve"> конъюгированная, адсорбированная
</t>
    </r>
    <r>
      <rPr>
        <rFont val="Arial"/>
        <i/>
        <color theme="1"/>
      </rPr>
      <t>&lt;ul&gt;&lt;i&gt;Действующее вещество:&lt;/i&gt;</t>
    </r>
    <r>
      <rPr>
        <rFont val="Arial"/>
        <color theme="1"/>
      </rPr>
      <t xml:space="preserve">
&lt;li&gt;Капсульный полисахарид </t>
    </r>
    <r>
      <rPr>
        <rFont val="Arial"/>
        <i/>
        <color theme="1"/>
      </rPr>
      <t>Haemophilus influenzae</t>
    </r>
    <r>
      <rPr>
        <rFont val="Arial"/>
        <color theme="1"/>
      </rPr>
      <t xml:space="preserve"> тип </t>
    </r>
    <r>
      <rPr>
        <rFont val="Arial"/>
        <i/>
        <color theme="1"/>
      </rPr>
      <t>b</t>
    </r>
    <r>
      <rPr>
        <rFont val="Arial"/>
        <color theme="1"/>
      </rPr>
      <t xml:space="preserve">⁴ — 10&amp;nbsp;мкг;&lt;br&gt;
конъюгированный со столбнячным анатоксином — ≈25&amp;nbsp;мкг.&lt;/li&gt;&lt;/ul&gt;
¹ Содержание дифтерийного анатоксина 25&amp;nbsp;Lf (флоккулирующих единиц).&lt;br&gt;
² Содержание столбнячного анатоксина 10&amp;nbsp;Lf (флоккулирующих единиц).&lt;br&gt;
³ Адсорбированный на алюминия гидроксиде (0,5&amp;nbsp;мг в пересчете на алюминий).&lt;br&gt;
⁴ Адсорбированный на алюминия фосфате (0,32&amp;nbsp;мг в пересчете на алюминий).&lt;/p&gt;
</t>
    </r>
    <r>
      <rPr>
        <rFont val="Arial"/>
        <i/>
        <color theme="1"/>
      </rPr>
      <t>&lt;p&gt;&lt;i&gt;Перечень вспомогательных веществ:</t>
    </r>
    <r>
      <rPr>
        <rFont val="Arial"/>
        <color theme="1"/>
      </rPr>
      <t xml:space="preserve">&lt;/i&gt;&lt;br&gt;&lt;br&gt;
Вакцина для профилактики дифтерии, столбняка, коклюша (бесклеточная), полиомиелита (инактивированная), гепатита В комбинированная, адсорбированная:
&lt;ul&gt;&lt;li&gt;Натрия хлорид.&lt;/li&gt;
&lt;li&gt;Среда&amp;nbsp;199 (М&amp;nbsp;199)¹ (включая аминокислоты).&lt;/li&gt;
&lt;li&gt;Вода для инъекций.&lt;/li&gt;&lt;/ul&gt;
¹ Состав среды&amp;nbsp;199 (М&amp;nbsp;199):&lt;br&gt;
кальция хлорида дигидрат, железа нитрата нонагидрат, калия хлорид, калия дигидрофосфат, магния сульфата гептагидрат, натрия хлорид, натрия гидрокарбонат, натрия гидрофосфат, L-аланин, L-аргинина гидрохлорид, L-аспарагиновая кислота, L-цистеина гидрохлорид, L-цистин, L-глутаминовая кислота, L-глутамин, глицин, L-гистидина гидрохлорида моногидрат, L-гидроксипролин, L-изолейцин, L-лейцин, L-лизина гидрохлорид, L-метионин, L-фенилаланин, L-пролин, L-серин, L-треонин, L-триптофан, L-тирозин, L-валин, аскорбиновая кислота, альфа-токоферол, биотин, кальциферол, кальция пантотенат, холина хлорид, фолиевая кислота, инозитол, менадион, никотиновая кислота, никотинамид, пара-аминобензойная кислота, пиридоксаль гидрохлорид, пиридоксина гидрохлорид, рибофлавин, тиамина гидрохлорид, ретинола ацетат, аденин, аденозина фосфат, аденозина трифосфат натрия, холестерол, дезоксирибоза, глюкоза, глутатион, гуанина гидрохлорид, гипоксантин, рибоза, натрия ацетат, тимин, твин-80, урацил, ксантин.&lt;br&gt;&lt;br&gt;
Вакцина для профилактики инфекции, вызываемой </t>
    </r>
    <r>
      <rPr>
        <rFont val="Arial"/>
        <i/>
        <color theme="1"/>
      </rPr>
      <t>&lt;i&gt;Haemophilus influenzae</t>
    </r>
    <r>
      <rPr>
        <rFont val="Arial"/>
        <color theme="1"/>
      </rPr>
      <t>&lt;/i&gt; тип &lt;i&gt;</t>
    </r>
    <r>
      <rPr>
        <rFont val="Arial"/>
        <i/>
        <color theme="1"/>
      </rPr>
      <t>b&lt;/i&gt;</t>
    </r>
    <r>
      <rPr>
        <rFont val="Arial"/>
        <color theme="1"/>
      </rPr>
      <t>, конъюгированная, адсорбированная:
&lt;ul&gt;&lt;li&gt;Лактоза.&lt;/li&gt;&lt;/ul&gt;
Данный препарат содержит менее 1&amp;nbsp;ммоль (23&amp;nbsp;мг) натрия на 1&amp;nbsp;дозу, то есть по сути не содержит натрия.&lt;/p&gt;</t>
    </r>
  </si>
  <si>
    <t>https://grls.rosminzdrav.ru/InstrImg/2025/12/04/1523945/374687b9-516b-4eb9-9e34-640e88c2e1e2.pdf</t>
  </si>
  <si>
    <r>
      <rPr>
        <rFont val="Arial"/>
        <color theme="1"/>
      </rPr>
      <t xml:space="preserve">1 доза (0,5 мл) содержит действующие вещества:
• Антиген вируса гепатита В поверхностный рекомбинантный (HBsAg) (серотип ay и/или ad)¹ — 10 мкг;
• дифтерийный анатоксин очищенный концентрированный жидкий (ОКДА)¹ — 5 Lf (флокулирующих единиц);
• столбнячный анатоксин очищенный концентрированный жидкий (ОКСА)¹ — 5 ЕС (антитоксинсвязывающих единиц).
¹ — адсорбированный на алюминия гидроксиде (Al³⁺) — 0,45 мг.
</t>
    </r>
    <r>
      <rPr>
        <rFont val="Arial"/>
        <i/>
        <color theme="1"/>
      </rPr>
      <t>Перечень вспомогательных веществ:</t>
    </r>
    <r>
      <rPr>
        <rFont val="Arial"/>
        <color theme="1"/>
      </rPr>
      <t xml:space="preserve">
• Тиомерсал (консервант).</t>
    </r>
  </si>
  <si>
    <r>
      <rPr>
        <rFont val="Arial"/>
        <color theme="1"/>
      </rPr>
      <t xml:space="preserve">&lt;p&gt;1&amp;nbsp;доза (0,5&amp;nbsp;мл) содержит действующие вещества:
&lt;ul&gt;&lt;li&gt;Антиген вируса гепатита&amp;nbsp;В поверхностный рекомбинантный (HBsAg) (серотип ay и/или ad)¹ — 10&amp;nbsp;мкг;&lt;/li&gt;
&lt;li&gt;дифтерийный анатоксин очищенный концентрированный жидкий (ОКДА)¹ — 5&amp;nbsp;Lf (флокулирующих единиц);&lt;/li&gt;
&lt;li&gt;столбнячный анатоксин очищенный концентрированный жидкий (ОКСА)¹ — 5&amp;nbsp;ЕС (антитоксинсвязывающих единиц).&lt;/li&gt;&lt;/ul&gt;
¹&amp;nbsp;—&amp;nbsp;адсорбированный на алюминия гидроксиде (Al³⁺) — 0,45&amp;nbsp;мг.&lt;br&gt;&lt;br&gt;
</t>
    </r>
    <r>
      <rPr>
        <rFont val="Arial"/>
        <i/>
        <color theme="1"/>
      </rPr>
      <t>&lt;i&gt;Перечень вспомогательных веществ:&lt;/i&gt;</t>
    </r>
    <r>
      <rPr>
        <rFont val="Arial"/>
        <color theme="1"/>
      </rPr>
      <t xml:space="preserve">
&lt;ul&gt;&lt;li&gt;Тиомерсал (консервант).&lt;/li&gt;&lt;/ul&gt;&lt;/p&gt;</t>
    </r>
  </si>
  <si>
    <t>https://grls.rosminzdrav.ru/InstrImg/2026/06/02/1530636/e301156c-c7d5-45d7-bf58-5346c270c493.pdf</t>
  </si>
  <si>
    <r>
      <rPr>
        <rFont val="Arial"/>
        <color theme="1"/>
      </rPr>
      <t xml:space="preserve">В 1 дозе (0,5 мл) содержится:
</t>
    </r>
    <r>
      <rPr>
        <rFont val="Arial"/>
        <i/>
        <color theme="1"/>
      </rPr>
      <t>Препарат с консервантом и без консерванта</t>
    </r>
    <r>
      <rPr>
        <rFont val="Arial"/>
        <color theme="1"/>
      </rPr>
      <t xml:space="preserve">
Действующее вещество:
• Анатоксин дифтерийный¹ — 5 Lf.
Вспомогательные вещества, наличие которых надо учитывать в составе лекарственного препарата:
• Содержит формальдегид — не более 50 мкг.
¹ Адсорбированный на алюминия гидроксиде (в пересчете на Al³⁺) — не более 0,55 мг.
Полный перечень вспомогательных веществ приведен в разделе 6.1.
</t>
    </r>
    <r>
      <rPr>
        <rFont val="Arial"/>
        <b/>
        <color theme="1"/>
      </rPr>
      <t>6.1. Перечень вспомогательных веществ</t>
    </r>
    <r>
      <rPr>
        <rFont val="Arial"/>
        <color theme="1"/>
      </rPr>
      <t xml:space="preserve">
</t>
    </r>
    <r>
      <rPr>
        <rFont val="Arial"/>
        <i/>
        <color theme="1"/>
      </rPr>
      <t>Препарат с консервантом:</t>
    </r>
    <r>
      <rPr>
        <rFont val="Arial"/>
        <color theme="1"/>
      </rPr>
      <t xml:space="preserve">
• Алюминия гидроксид
• Тиомерсал (консервант)
</t>
    </r>
    <r>
      <rPr>
        <rFont val="Arial"/>
        <i/>
        <color theme="1"/>
      </rPr>
      <t>Препарат без консерванта:</t>
    </r>
    <r>
      <rPr>
        <rFont val="Arial"/>
        <color theme="1"/>
      </rPr>
      <t xml:space="preserve">
• Алюминия гидроксид</t>
    </r>
  </si>
  <si>
    <r>
      <rPr>
        <rFont val="Arial"/>
        <color theme="1"/>
      </rPr>
      <t xml:space="preserve">&lt;p&gt;В 1&amp;nbsp;дозе (0,5&amp;nbsp;мл) содержится:&lt;br&gt;&lt;br&gt;
</t>
    </r>
    <r>
      <rPr>
        <rFont val="Arial"/>
        <i/>
        <color theme="1"/>
      </rPr>
      <t>&lt;i&gt;Препарат с консервантом и без консерванта</t>
    </r>
    <r>
      <rPr>
        <rFont val="Arial"/>
        <color theme="1"/>
      </rPr>
      <t xml:space="preserve">&lt;/i&gt;&lt;br&gt;&lt;br&gt;
Действующее вещество:
&lt;ul&gt;&lt;li&gt;Анатоксин дифтерийный¹ — 5&amp;nbsp;Lf.&lt;/li&gt;&lt;/ul&gt;
Вспомогательные вещества, наличие которых надо учитывать в составе лекарственного препарата:
&lt;ul&gt;&lt;li&gt;Содержит формальдегид — не более 50&amp;nbsp;мкг.&lt;/li&gt;&lt;/ul&gt;
¹&amp;nbsp;Адсорбированный на алюминия гидроксиде (в пересчете на Al³⁺) — не более 0,55&amp;nbsp;мг.&lt;br&gt;&lt;br&gt;
Полный перечень вспомогательных веществ приведен в разделе&amp;nbsp;6.1.&lt;/p&gt;
</t>
    </r>
    <r>
      <rPr>
        <rFont val="Arial"/>
        <b/>
        <color theme="1"/>
      </rPr>
      <t>&lt;p&gt;&lt;b&gt;6.1.&amp;nbsp;Перечень вспомогательных веществ</t>
    </r>
    <r>
      <rPr>
        <rFont val="Arial"/>
        <color theme="1"/>
      </rPr>
      <t xml:space="preserve">&lt;/b&gt;&lt;br&gt;&lt;br&gt;
</t>
    </r>
    <r>
      <rPr>
        <rFont val="Arial"/>
        <i/>
        <color theme="1"/>
      </rPr>
      <t>&lt;i&gt;Препарат с консервантом:</t>
    </r>
    <r>
      <rPr>
        <rFont val="Arial"/>
        <color theme="1"/>
      </rPr>
      <t xml:space="preserve">&lt;/i&gt;
&lt;ul&gt;&lt;li&gt;Алюминия гидроксид&lt;/li&gt;
&lt;li&gt;Тиомерсал (консервант)&lt;/li&gt;&lt;/ul&gt;
</t>
    </r>
    <r>
      <rPr>
        <rFont val="Arial"/>
        <i/>
        <color theme="1"/>
      </rPr>
      <t>&lt;i&gt;Препарат без консерванта:</t>
    </r>
    <r>
      <rPr>
        <rFont val="Arial"/>
        <color theme="1"/>
      </rPr>
      <t>&lt;/i&gt;
&lt;ul&gt;&lt;li&gt;Алюминия гидроксид&lt;/li&gt;&lt;/ul&gt;&lt;/p&gt;</t>
    </r>
  </si>
  <si>
    <t>https://lk.regmed.ru/Register/GetPDFfromDA?ID=1601683231</t>
  </si>
  <si>
    <r>
      <rPr>
        <rFont val="Arial"/>
        <color theme="1"/>
      </rPr>
      <t xml:space="preserve">В 1 дозе (0,5 мл) содержится:
</t>
    </r>
    <r>
      <rPr>
        <rFont val="Arial"/>
        <i/>
        <color theme="1"/>
      </rPr>
      <t>Препарат с консервантом:</t>
    </r>
    <r>
      <rPr>
        <rFont val="Arial"/>
        <color theme="1"/>
      </rPr>
      <t xml:space="preserve">
Действующие вещества:
• Анатоксин дифтерийный¹ — 30 Lf;
• Анатоксин столбнячный¹ — 10 ЕС.
Вспомогательные вещества, наличие которых надо учитывать в составе лекарственного препарата: тиомерсал.
Содержит формальдегид — не более 50 мкг.
</t>
    </r>
    <r>
      <rPr>
        <rFont val="Arial"/>
        <i/>
        <color theme="1"/>
      </rPr>
      <t>Препарат без консерванта:</t>
    </r>
    <r>
      <rPr>
        <rFont val="Arial"/>
        <color theme="1"/>
      </rPr>
      <t xml:space="preserve">
Действующие вещества:
• Анатоксин дифтерийный¹ — 30 Lf;
• Анатоксин столбнячный¹ — 10 ЕС.
Содержит формальдегид — не более 50 мкг.
¹ Адсорбированный на алюминия гидроксиде (в пересчете на Al³⁺) — не более 0,55 мг.
Полный перечень вспомогательных веществ приведен в разделе 6.1.
</t>
    </r>
    <r>
      <rPr>
        <rFont val="Arial"/>
        <b/>
        <color theme="1"/>
      </rPr>
      <t>6.1. Перечень вспомогательных веществ</t>
    </r>
    <r>
      <rPr>
        <rFont val="Arial"/>
        <color theme="1"/>
      </rPr>
      <t xml:space="preserve">
</t>
    </r>
    <r>
      <rPr>
        <rFont val="Arial"/>
        <i/>
        <color theme="1"/>
      </rPr>
      <t>Препарат с консервантом:</t>
    </r>
    <r>
      <rPr>
        <rFont val="Arial"/>
        <color theme="1"/>
      </rPr>
      <t xml:space="preserve">
• Алюминия гидроксид
• Тиомерсал (консервант)
</t>
    </r>
    <r>
      <rPr>
        <rFont val="Arial"/>
        <i/>
        <color theme="1"/>
      </rPr>
      <t>Препарат без консерванта:</t>
    </r>
    <r>
      <rPr>
        <rFont val="Arial"/>
        <color theme="1"/>
      </rPr>
      <t xml:space="preserve">
• Алюминия гидроксид</t>
    </r>
  </si>
  <si>
    <r>
      <rPr>
        <rFont val="Arial"/>
        <color theme="1"/>
      </rPr>
      <t xml:space="preserve">&lt;p&gt;В 1&amp;nbsp;дозе (0,5&amp;nbsp;мл) содержится:&lt;br&gt;&lt;br&gt;
&lt;i&gt;Препарат с консервантом:&lt;/i&gt;&lt;br&gt;&lt;br&gt;
Действующие вещества:
&lt;ul&gt;&lt;li&gt;Анатоксин дифтерийный¹ — 30&amp;nbsp;Lf;&lt;/li&gt;
&lt;li&gt;Анатоксин столбнячный¹ — 10&amp;nbsp;ЕС.&lt;/li&gt;&lt;/ul&gt;
Вспомогательные вещества, наличие которых надо учитывать в составе лекарственного препарата: тиомерсал.&lt;br&gt;
Содержит формальдегид — не более 50&amp;nbsp;мкг.&lt;br&gt;&lt;br&gt;
&lt;i&gt;Препарат без консерванта:&lt;/i&gt;&lt;br&gt;&lt;br&gt;
Действующие вещества:
&lt;ul&gt;&lt;li&gt;Анатоксин дифтерийный¹ — 30&amp;nbsp;Lf;&lt;/li&gt;
&lt;li&gt;Анатоксин столбнячный¹ — 10&amp;nbsp;ЕС.&lt;/li&gt;&lt;/ul&gt;
Содержит формальдегид — не более 50&amp;nbsp;мкг.&lt;br&gt;&lt;br&gt;
¹&amp;nbsp;Адсорбированный на алюминия гидроксиде (в пересчете на Al³⁺) — не более 0,55&amp;nbsp;мг.&lt;br&gt;&lt;br&gt;
Полный перечень вспомогательных веществ приведен в разделе&amp;nbsp;6.1.&lt;/p&gt;
</t>
    </r>
    <r>
      <rPr>
        <rFont val="Arial"/>
        <b/>
        <color theme="1"/>
      </rPr>
      <t>&lt;p&gt;&lt;b&gt;6.1.&amp;nbsp;Перечень вспомогательных веществ</t>
    </r>
    <r>
      <rPr>
        <rFont val="Arial"/>
        <color theme="1"/>
      </rPr>
      <t>&lt;/b&gt;&lt;br&gt;&lt;br&gt;
&lt;i&gt;Препарат с консервантом:&lt;/i&gt;
&lt;ul&gt;&lt;li&gt;Алюминия гидроксид&lt;/li&gt;
&lt;li&gt;Тиомерсал (консервант)&lt;/li&gt;&lt;/ul&gt;
&lt;i&gt;Препарат без консерванта:&lt;/i&gt;
&lt;ul&gt;&lt;li&gt;Алюминия гидроксид&lt;/li&gt;&lt;/ul&gt;&lt;/p&gt;</t>
    </r>
  </si>
  <si>
    <t>https://lk.regmed.ru/Register/GetPDFfromDA?ID=1605321651</t>
  </si>
  <si>
    <r>
      <rPr>
        <rFont val="Arial"/>
        <color theme="1"/>
      </rPr>
      <t xml:space="preserve">В 1 дозе (0,5 мл) содержится:
</t>
    </r>
    <r>
      <rPr>
        <rFont val="Arial"/>
        <i/>
        <color theme="1"/>
      </rPr>
      <t>Препарат с консервантом:</t>
    </r>
    <r>
      <rPr>
        <rFont val="Arial"/>
        <color theme="1"/>
      </rPr>
      <t xml:space="preserve">
Действующие вещества:
• Анатоксин дифтерийный¹ — 5 Lf;
• Анатоксин столбнячный¹ — 5 ЕС.
Вспомогательные вещества:
• Формальдегид — не более 50 мкг.
¹ Адсорбированный на алюминия гидроксиде (в пересчете на Al³⁺) — не более 0,55 мг.
</t>
    </r>
    <r>
      <rPr>
        <rFont val="Arial"/>
        <i/>
        <color theme="1"/>
      </rPr>
      <t>Препарат без консерванта:</t>
    </r>
    <r>
      <rPr>
        <rFont val="Arial"/>
        <color theme="1"/>
      </rPr>
      <t xml:space="preserve">
Действующие вещества:
• Анатоксин дифтерийный¹ — 5 Lf;
• Анатоксин столбнячный¹ — 5 ЕС.
Вспомогательные вещества:
• Формальдегид — не более 50 мкг.
¹ Адсорбированный на алюминия гидроксиде (в пересчете на Al³⁺) — не более 0,55 мг.
Полный перечень вспомогательных веществ приведен в разделе 6.1.
</t>
    </r>
    <r>
      <rPr>
        <rFont val="Arial"/>
        <b/>
        <color theme="1"/>
      </rPr>
      <t>6.1. Перечень вспомогательных веществ</t>
    </r>
    <r>
      <rPr>
        <rFont val="Arial"/>
        <color theme="1"/>
      </rPr>
      <t xml:space="preserve">
</t>
    </r>
    <r>
      <rPr>
        <rFont val="Arial"/>
        <i/>
        <color theme="1"/>
      </rPr>
      <t>Препарат с консервантом:</t>
    </r>
    <r>
      <rPr>
        <rFont val="Arial"/>
        <color theme="1"/>
      </rPr>
      <t xml:space="preserve">
• Алюминия гидроксид (в пересчете на алюминий Аl³⁺)
• Тиомерсал (консервант)
</t>
    </r>
    <r>
      <rPr>
        <rFont val="Arial"/>
        <i/>
        <color theme="1"/>
      </rPr>
      <t>Препарат без консерванта:</t>
    </r>
    <r>
      <rPr>
        <rFont val="Arial"/>
        <color theme="1"/>
      </rPr>
      <t xml:space="preserve">
• Алюминия гидроксид (в пересчете на алюминий Аl³⁺)</t>
    </r>
  </si>
  <si>
    <r>
      <rPr>
        <rFont val="Arial"/>
        <color theme="1"/>
      </rPr>
      <t xml:space="preserve">&lt;p&gt;В 1&amp;nbsp;дозе (0,5&amp;nbsp;мл) содержится:&lt;br&gt;&lt;br&gt;
</t>
    </r>
    <r>
      <rPr>
        <rFont val="Arial"/>
        <i/>
        <color theme="1"/>
      </rPr>
      <t>&lt;i&gt;Препарат с консервантом:</t>
    </r>
    <r>
      <rPr>
        <rFont val="Arial"/>
        <color theme="1"/>
      </rPr>
      <t xml:space="preserve">&lt;/i&gt;&lt;br&gt;&lt;br&gt;
Действующие вещества:
&lt;ul&gt;&lt;li&gt;Анатоксин дифтерийный¹ — 5&amp;nbsp;Lf;&lt;/li&gt;
&lt;li&gt;Анатоксин столбнячный¹ — 5&amp;nbsp;ЕС.&lt;/li&gt;&lt;/ul&gt;
Вспомогательные вещества:
&lt;ul&gt;&lt;li&gt;Формальдегид — не более 50&amp;nbsp;мкг.&lt;/li&gt;&lt;/ul&gt;
¹&amp;nbsp;Адсорбированный на алюминия гидроксиде (в пересчете на Al³⁺) — не более 0,55&amp;nbsp;мг.&lt;br&gt;&lt;br&gt;
</t>
    </r>
    <r>
      <rPr>
        <rFont val="Arial"/>
        <i/>
        <color theme="1"/>
      </rPr>
      <t>&lt;i&gt;Препарат без консерванта:</t>
    </r>
    <r>
      <rPr>
        <rFont val="Arial"/>
        <color theme="1"/>
      </rPr>
      <t xml:space="preserve">&lt;/i&gt;&lt;br&gt;&lt;br&gt;
Действующие вещества:
&lt;ul&gt;&lt;li&gt;Анатоксин дифтерийный¹ — 5&amp;nbsp;Lf;&lt;/li&gt;
&lt;li&gt;Анатоксин столбнячный¹ — 5&amp;nbsp;ЕС.&lt;/li&gt;&lt;/ul&gt;
Вспомогательные вещества:
&lt;ul&gt;&lt;li&gt;Формальдегид — не более 50&amp;nbsp;мкг.&lt;/li&gt;&lt;/ul&gt;
¹&amp;nbsp;Адсорбированный на алюминия гидроксиде (в пересчете на Al³⁺) — не более 0,55&amp;nbsp;мг.&lt;br&gt;&lt;br&gt;
Полный перечень вспомогательных веществ приведен в разделе&amp;nbsp;6.1.&lt;/p&gt;
</t>
    </r>
    <r>
      <rPr>
        <rFont val="Arial"/>
        <b/>
        <color theme="1"/>
      </rPr>
      <t>&lt;p&gt;&lt;b&gt;6.1.&amp;nbsp;Перечень вспомогательных веществ</t>
    </r>
    <r>
      <rPr>
        <rFont val="Arial"/>
        <color theme="1"/>
      </rPr>
      <t xml:space="preserve">&lt;/b&gt;&lt;br&gt;&lt;br&gt;
</t>
    </r>
    <r>
      <rPr>
        <rFont val="Arial"/>
        <i/>
        <color theme="1"/>
      </rPr>
      <t>&lt;i&gt;Препарат с консервантом:</t>
    </r>
    <r>
      <rPr>
        <rFont val="Arial"/>
        <color theme="1"/>
      </rPr>
      <t xml:space="preserve">&lt;/i&gt;
&lt;ul&gt;&lt;li&gt;Алюминия гидроксид (в пересчете на алюминий Аl³⁺)&lt;/li&gt;
&lt;li&gt;Тиомерсал (консервант)&lt;/li&gt;&lt;/ul&gt;
</t>
    </r>
    <r>
      <rPr>
        <rFont val="Arial"/>
        <i/>
        <color theme="1"/>
      </rPr>
      <t>&lt;i&gt;Препарат без консерванта:</t>
    </r>
    <r>
      <rPr>
        <rFont val="Arial"/>
        <color theme="1"/>
      </rPr>
      <t>&lt;/i&gt;
&lt;ul&gt;&lt;li&gt;Алюминия гидроксид (в пересчете на алюминий Аl³⁺)&lt;/li&gt;&lt;/ul&gt;&lt;/p&gt;</t>
    </r>
  </si>
  <si>
    <t>https://grls.rosminzdrav.ru/InstrImg/2024/12/16/1511954/43eafc3c-33ac-4e33-969c-259e9a175ebb.pdf</t>
  </si>
  <si>
    <t>В одной дозе препарата (0,5 мл) содержится:
Активные вещества: 5 флокулирующих единиц (Lf) дифтерийного и 5 единиц связывания (EC) столбнячного анатоксинов.
Вспомогательные вещества: от 0,25 до 0,55 мг алюминия гидроксида в пересчете на алюминий (сорбент), от 42,5 до 57,5 мкг тиомерсала (консервант).</t>
  </si>
  <si>
    <t>&lt;p&gt;В одной дозе препарата (0,5&amp;nbsp;мл) содержится:&lt;/p&gt;
&lt;p&gt;Активные вещества: 5&amp;nbsp;флокулирующих единиц (Lf) дифтерийного и 5&amp;nbsp;единиц связывания (EC) столбнячного анатоксинов.&lt;/p&gt;
&lt;p&gt;Вспомогательные вещества: от 0,25 до 0,55&amp;nbsp;мг алюминия гидроксида в пересчете на алюминий (сорбент), от 42,5 до 57,5&amp;nbsp;мкг тиомерсала (консервант).&lt;/p&gt;</t>
  </si>
  <si>
    <t>https://grls.rosminzdrav.ru/InstrImg/2018/7/19/1423955/%D0%A0_N002668_01[2012]_0.pdf</t>
  </si>
  <si>
    <t>1 доза вакцины (0,5 мл) содержит действующие вещества:
• Столбнячный анатоксин, адсорбированный¹ — 5 Lf (не менее 20 ME).
• Дифтерийный анатоксин, адсорбированный¹ — 2 Lf (не менее 2 ME).
• Бесклеточная коклюшная вакцина, содержащая:
коклюшный анатоксин (КА), адсорбированный¹ — 2,5 мкг.
филаментозный гемагглютинин (ФГА), адсорбированный¹ — 5 мкг.
агглютиногены фимбрий типов 2 и 3 (ФИМ), адсорбированные¹ — 5 мкг.
пертактин (ПРН), адсорбированный¹ — 3 мкг.
¹ — адсорбирована на алюминия фосфате (в пересчете на алюминий) — 1,5 мг (0,33 мг).
Остаточные продукты производственного процесса, присутствующие в 1 дозе вакцины (0,5 мл) в следовых количествах (указано их расчетное количество): формальдегид (≤ 5 мкг) и глутаральдегид (&lt; 50 нг).
Перечень вспомогательных веществ:
• Алюминия фосфат.
• 2-феноксиэтанол (не консервант).
• Вода для инъекций.</t>
  </si>
  <si>
    <t>&lt;p&gt;1&amp;nbsp;доза вакцины (0,5&amp;nbsp;мл) содержит действующие вещества:
&lt;ul&gt;&lt;li&gt;Столбнячный анатоксин, адсорбированный¹ — 5&amp;nbsp;Lf (не менее 20&amp;nbsp;ME).&lt;/li&gt;
&lt;li&gt;Дифтерийный анатоксин, адсорбированный¹ — 2&amp;nbsp;Lf (не менее 2&amp;nbsp;ME).&lt;/li&gt;
&lt;li&gt;Бесклеточная коклюшная вакцина, содержащая:&lt;br&gt;
коклюшный анатоксин (КА), адсорбированный¹ — 2,5&amp;nbsp;мкг.&lt;br&gt;
филаментозный гемагглютинин (ФГА), адсорбированный¹ — 5&amp;nbsp;мкг.&lt;br&gt;
агглютиногены фимбрий типов 2 и 3 (ФИМ), адсорбированные¹ — 5&amp;nbsp;мкг.&lt;br&gt;
пертактин (ПРН), адсорбированный¹ — 3&amp;nbsp;мкг.&lt;/li&gt;&lt;/ul&gt;
¹ — адсорбирована на алюминия фосфате (в пересчете на алюминий) — 1,5&amp;nbsp;мг (0,33&amp;nbsp;мг).&lt;/p&gt;
&lt;p&gt;Остаточные продукты производственного процесса, присутствующие в 1&amp;nbsp;дозе вакцины (0,5&amp;nbsp;мл) в следовых количествах (указано их расчетное количество): формальдегид (≤&amp;nbsp;5&amp;nbsp;мкг) и глутаральдегид (&lt;&amp;nbsp;50&amp;nbsp;нг).&lt;/p&gt;
&lt;p&gt;Перечень вспомогательных веществ:
&lt;ul&gt;&lt;li&gt;Алюминия фосфат.
&lt;li&gt;2-феноксиэтанол (не консервант).&lt;/li&gt;
&lt;li&gt;Вода для инъекций.&lt;/li&gt;&lt;/ul&gt;&lt;/p&gt;</t>
  </si>
  <si>
    <t>https://lk.regmed.ru/Register/GetPDFfromDA?ID=1592320751</t>
  </si>
  <si>
    <r>
      <rPr>
        <rFont val="Arial"/>
        <color theme="1"/>
      </rPr>
      <t xml:space="preserve">1 прививочная доза для взрослых (1 мл) содержит:
</t>
    </r>
    <r>
      <rPr>
        <rFont val="Arial"/>
        <i/>
        <color theme="1"/>
      </rPr>
      <t>Действующее вещество:</t>
    </r>
    <r>
      <rPr>
        <rFont val="Arial"/>
        <color theme="1"/>
      </rPr>
      <t xml:space="preserve">
Инактивированный антиген вируса гепатита А (АГ ВГА) — не менее 320 ИФА ЕД.
</t>
    </r>
    <r>
      <rPr>
        <rFont val="Arial"/>
        <i/>
        <color theme="1"/>
      </rPr>
      <t>Вспомогательные вещества:</t>
    </r>
    <r>
      <rPr>
        <rFont val="Arial"/>
        <color theme="1"/>
      </rPr>
      <t xml:space="preserve">
Алюминия гидроксид, формальдегид, 0,01 М фосфатно-солевой буферный раствор (натрия гидрофосфата додекагидрат, натрия хлорид, вода для инъекций).
Вакцина не содержит консервантов и антибиотиков.
1 прививочная доза для детей (0,5 мл) содержит:
</t>
    </r>
    <r>
      <rPr>
        <rFont val="Arial"/>
        <i/>
        <color theme="1"/>
      </rPr>
      <t>Действующее вещество:</t>
    </r>
    <r>
      <rPr>
        <rFont val="Arial"/>
        <color theme="1"/>
      </rPr>
      <t xml:space="preserve">
Инактивированный антиген вируса гепатита А (АГ ВГА) — не менее 160 ИФА ЕД.
</t>
    </r>
    <r>
      <rPr>
        <rFont val="Arial"/>
        <i/>
        <color theme="1"/>
      </rPr>
      <t>Вспомогательные вещества:</t>
    </r>
    <r>
      <rPr>
        <rFont val="Arial"/>
        <color theme="1"/>
      </rPr>
      <t xml:space="preserve">
Алюминия гидроксид, формальдегид, 0,01 М фосфатно-солевой буферный раствор (натрия гидрофосфата додекагидрат, натрия хлорид, вода для инъекций). 
Вакцина не содержит консервантов и антибиотиков.</t>
    </r>
  </si>
  <si>
    <r>
      <rPr>
        <rFont val="Arial"/>
        <color theme="1"/>
      </rPr>
      <t xml:space="preserve">&lt;p&gt;1&amp;nbsp;прививочная доза для взрослых (1&amp;nbsp;мл) содержит:&lt;/p&gt;
</t>
    </r>
    <r>
      <rPr>
        <rFont val="Arial"/>
        <i/>
        <color theme="1"/>
      </rPr>
      <t>&lt;p&gt;&lt;i&gt;Действующее вещество:</t>
    </r>
    <r>
      <rPr>
        <rFont val="Arial"/>
        <color theme="1"/>
      </rPr>
      <t xml:space="preserve">&lt;/i&gt;
&lt;ul&gt;Инактивированный антиген вируса гепатита А (АГ ВГА) — не менее 320&amp;nbsp;ИФА ЕД.&lt;/ul&gt;
</t>
    </r>
    <r>
      <rPr>
        <rFont val="Arial"/>
        <i/>
        <color theme="1"/>
      </rPr>
      <t>&lt;i&gt;Вспомогательные вещества:</t>
    </r>
    <r>
      <rPr>
        <rFont val="Arial"/>
        <color theme="1"/>
      </rPr>
      <t xml:space="preserve">&lt;/i&gt;
&lt;ul&gt;Алюминия гидроксид, формальдегид, 0,01&amp;nbsp;М фосфатно-солевой буферный раствор (натрия гидрофосфата додекагидрат, натрия хлорид, вода для инъекций).&lt;/ul&gt;&lt;/p&gt;
&lt;p&gt;Вакцина не содержит консервантов и антибиотиков.&lt;/p&gt;
&lt;p&gt;1&amp;nbsp;прививочная доза для детей (0,5&amp;nbsp;мл) содержит:&lt;/p&gt;
</t>
    </r>
    <r>
      <rPr>
        <rFont val="Arial"/>
        <i/>
        <color theme="1"/>
      </rPr>
      <t>&lt;p&gt;&lt;i&gt;Действующее вещество:</t>
    </r>
    <r>
      <rPr>
        <rFont val="Arial"/>
        <color theme="1"/>
      </rPr>
      <t xml:space="preserve">&lt;/i&gt;
&lt;ul&gt;Инактивированный антиген вируса гепатита А (АГ ВГА) — не менее 160&amp;nbsp;ИФА ЕД.&lt;/ul&gt;
</t>
    </r>
    <r>
      <rPr>
        <rFont val="Arial"/>
        <i/>
        <color theme="1"/>
      </rPr>
      <t>&lt;i&gt;Вспомогательные вещества:</t>
    </r>
    <r>
      <rPr>
        <rFont val="Arial"/>
        <color theme="1"/>
      </rPr>
      <t>&lt;/i&gt;
&lt;ul&gt;Алюминия гидроксид, формальдегид, 0,01&amp;nbsp;М фосфатно-солевой буферный раствор (натрия гидрофосфата додекагидрат, натрия хлорид, вода для инъекций).&lt;/ul&gt;&lt;/p&gt;
&lt;p&gt;Вакцина не содержит консервантов и антибиотиков.&lt;/p&gt;</t>
    </r>
  </si>
  <si>
    <t>https://grls.rosminzdrav.ru/InstrImg/2020/9/29/1461721/%D0%A0_N000461_01[2018]_0.pdf</t>
  </si>
  <si>
    <r>
      <rPr>
        <rFont val="Arial"/>
        <color theme="1"/>
      </rPr>
      <t xml:space="preserve">1 доза для взрослых (1 мл) содержит:
</t>
    </r>
    <r>
      <rPr>
        <rFont val="Arial"/>
        <i/>
        <color theme="1"/>
      </rPr>
      <t>Действующее вещество:</t>
    </r>
    <r>
      <rPr>
        <rFont val="Arial"/>
        <color theme="1"/>
      </rPr>
      <t xml:space="preserve">
• Инактивированный антиген вируса гепатита А (АГ ВГА) — не менее 320 ИФА ЕД
(получен с использованием клеток почки зеленой мартышки 4647)
</t>
    </r>
    <r>
      <rPr>
        <rFont val="Arial"/>
        <i/>
        <color theme="1"/>
      </rPr>
      <t>Адсорбент</t>
    </r>
    <r>
      <rPr>
        <rFont val="Arial"/>
        <color theme="1"/>
      </rPr>
      <t xml:space="preserve">
• Алюминия гидроксид (в пересчете на Al³⁺) — 0,35-0,65 мг
Вакцина не содержит консервантов и антибиотиков.
</t>
    </r>
    <r>
      <rPr>
        <rFont val="Arial"/>
        <i/>
        <color theme="1"/>
      </rPr>
      <t>Перечень вспомогательных веществ:</t>
    </r>
    <r>
      <rPr>
        <rFont val="Arial"/>
        <color theme="1"/>
      </rPr>
      <t xml:space="preserve">
• Алюминия гидроксид;
• Формальдегид;
• 0,01&amp;nbsp;М фосфатно-солевой буферный раствор, содержащий:
- натрия гидрофосфата додекагидрат;
- натрия хлорид;
- воду для инъекций.</t>
    </r>
  </si>
  <si>
    <r>
      <rPr>
        <rFont val="Arial"/>
        <color theme="1"/>
      </rPr>
      <t xml:space="preserve">&lt;p&gt;1&amp;nbsp;доза для взрослых (1&amp;nbsp;мл) содержит:&lt;br&gt;&lt;br&gt;
</t>
    </r>
    <r>
      <rPr>
        <rFont val="Arial"/>
        <i/>
        <color theme="1"/>
      </rPr>
      <t>&lt;i&gt;Действующее вещество:</t>
    </r>
    <r>
      <rPr>
        <rFont val="Arial"/>
        <color theme="1"/>
      </rPr>
      <t xml:space="preserve">&lt;/i&gt;
&lt;ul&gt;&lt;li&gt;Инактивированный антиген вируса гепатита А (АГ ВГА) — не менее 320&amp;nbsp;ИФА ЕД&lt;br&gt;
(получен с использованием клеток почки зеленой мартышки&amp;nbsp;4647)&lt;/li&gt;&lt;/ul&gt;
</t>
    </r>
    <r>
      <rPr>
        <rFont val="Arial"/>
        <i/>
        <color theme="1"/>
      </rPr>
      <t>&lt;i&gt;Адсорбент</t>
    </r>
    <r>
      <rPr>
        <rFont val="Arial"/>
        <color theme="1"/>
      </rPr>
      <t xml:space="preserve">&lt;/i&gt;
&lt;ul&gt;&lt;li&gt;Алюминия гидроксид (в пересчете на Al³⁺) — 0,35-0,65&amp;nbsp;мг&lt;/li&gt;&lt;/ul&gt;
Вакцина не содержит консервантов и антибиотиков.&lt;br&gt;&lt;br&gt;
</t>
    </r>
    <r>
      <rPr>
        <rFont val="Arial"/>
        <i/>
        <color theme="1"/>
      </rPr>
      <t>&lt;i&gt;Перечень вспомогательных веществ:&lt;/i&gt;</t>
    </r>
    <r>
      <rPr>
        <rFont val="Arial"/>
        <color theme="1"/>
      </rPr>
      <t xml:space="preserve">
&lt;ul&gt;&lt;li&gt;Алюминия гидроксид;&lt;/li&gt;
&lt;li&gt;Формальдегид;&lt;/li&gt;
&lt;li&gt;0,01&amp;nbsp;М фосфатно-солевой буферный раствор, содержащий:
&lt;ul&gt;&lt;li&gt;натрия гидрофосфата додекагидрат;&lt;/li&gt;
&lt;li&gt;натрия хлорид;&lt;/li&gt;
&lt;li&gt;воду для инъекций.&lt;/li&gt;&lt;/ul&gt;&lt;/p&gt;</t>
    </r>
  </si>
  <si>
    <t>https://grls.rosminzdrav.ru/InstrImg/2026/05/07/1529632/54e13522-5efa-4c8c-a9b0-7ea539b4f9d1.pdf</t>
  </si>
  <si>
    <r>
      <rPr>
        <rFont val="Arial"/>
        <color theme="1"/>
      </rPr>
      <t xml:space="preserve">Одна прививочная доза содержит:
Действующее вещество:
• Антиген вируса гепатита А — 720 ИФА единиц.
Адъювант:
• Алюминия гидроксид — 0,25 мг.
Вакцина содержит следовые количества неомицина сульфата.
Вспомогательные вещества, наличие которых надо учитывать в составе лекарственного препарата: фенилаланин, натрия гидрофосфат, натрия хлорид, калия дигидрофосфат, калия хлорид.
Полный перечень вспомогательных веществ приведен в разделе 6.1.
</t>
    </r>
    <r>
      <rPr>
        <rFont val="Arial"/>
        <b/>
        <color theme="1"/>
      </rPr>
      <t>6.1. Перечень вспомогательных веществ</t>
    </r>
    <r>
      <rPr>
        <rFont val="Arial"/>
        <color theme="1"/>
      </rPr>
      <t xml:space="preserve">
• Алюминия гидроксид — 0,25 мг;
• Полисорбат-20 — 0,025 мг;
• Натрия гидрофосфат — Не более 0,575 мг;
• Калия дигидрофосфат — Не более 0,10 мг;
• Натрия хлорид — Не более 4,50 мг;
• Калия хлорид — Не более 0,115 мг;
• Аминокислотный компонент¹ — 1,50 мг;
• Вода для инъекций — до 0,5 мл.
¹ Аминокислотный компонент: L-аланин, L-аргинин, глицин, L-гистидин, L-изолейцин, L-лейцин, L-лизин, L-метионин, L-фенилаланин, L-пролин, L-серин, L-треонин, L-триптофан, L-тирозин, L-валин.</t>
    </r>
  </si>
  <si>
    <r>
      <rPr>
        <rFont val="Arial"/>
        <color theme="1"/>
      </rPr>
      <t xml:space="preserve">&lt;p&gt;Одна прививочная доза содержит:&lt;br&gt;&lt;br&gt;
&lt;i&gt;Действующее вещество:&lt;/i&gt;
&lt;ul&gt;&lt;li&gt;Антиген вируса гепатита А — 720&amp;nbsp;ИФА единиц.&lt;/li&gt;&lt;/ul&gt;
&lt;i&gt;Адъювант:&lt;/i&gt;
&lt;ul&gt;&lt;li&gt;Алюминия гидроксид — 0,25&amp;nbsp;мг.&lt;/li&gt;&lt;/ul&gt;
Вакцина содержит следовые количества неомицина сульфата.&lt;br&gt;
Вспомогательные вещества, наличие которых надо учитывать в составе лекарственного препарата: фенилаланин, натрия гидрофосфат, натрия хлорид, калия дигидрофосфат, калия хлорид.&lt;br&gt;
Полный перечень вспомогательных веществ приведен в разделе&amp;nbsp;6.1.&lt;/p&gt;
</t>
    </r>
    <r>
      <rPr>
        <rFont val="Arial"/>
        <b/>
        <color theme="1"/>
      </rPr>
      <t>&lt;p&gt;&lt;b&gt;6.1. Перечень вспомогательных веществ</t>
    </r>
    <r>
      <rPr>
        <rFont val="Arial"/>
        <color theme="1"/>
      </rPr>
      <t>&lt;/b&gt;
&lt;ul&gt;&lt;li&gt;Алюминия гидроксид — 0,25&amp;nbsp;мг;&lt;/li&gt;
&lt;li&gt;Полисорбат-20 — 0,025&amp;nbsp;мг;&lt;/li&gt;
&lt;li&gt;Натрия гидрофосфат — Не более 0,575&amp;nbsp;мг;&lt;/li&gt;
&lt;li&gt;Калия дигидрофосфат — Не более 0,10&amp;nbsp;мг;&lt;/li&gt;
&lt;li&gt;Натрия хлорид — Не более 4,50&amp;nbsp;мг;&lt;/li&gt;
&lt;li&gt;Калия хлорид — Не более 0,115&amp;nbsp;мг;&lt;/li&gt;
&lt;li&gt;Аминокислотный компонент¹ — 1,50&amp;nbsp;мг;&lt;/li&gt;
&lt;li&gt;Вода для инъекций — до 0,5&amp;nbsp;мл.&lt;/li&gt;&lt;/ul&gt;
¹&amp;nbsp;Аминокислотный компонент: L-аланин, L-аргинин, глицин, L-гистидин, L-изолейцин, L-лейцин, L-лизин, L-метионин, L-фенилаланин, L-пролин, L-серин, L-треонин, L-триптофан, L-тирозин, L-валин.&lt;/p&gt;</t>
    </r>
  </si>
  <si>
    <t>https://lk.regmed.ru/Register/GetPDFfromDA?ID=1607490831</t>
  </si>
  <si>
    <r>
      <rPr>
        <rFont val="Arial"/>
        <color theme="1"/>
      </rPr>
      <t xml:space="preserve">Одна прививочная доза содержит:
Действующее вещество:
• Антиген вируса гепатита А — 1440 ИФА единиц.
Адъювант:
• Алюминия гидроксид — 0,50 мг.
Вакцина содержит следовые количества неомицина сульфата.
Вспомогательные вещества, наличие которых надо учитывать в составе лекарственного препарата: фенилаланин, натрия гидрофосфат, натрия хлорид, калия дигидрофосфат, калия хлорид.
Полный перечень вспомогательных веществ приведен в разделе 6.1.
</t>
    </r>
    <r>
      <rPr>
        <rFont val="Arial"/>
        <b/>
        <color theme="1"/>
      </rPr>
      <t>6.1. Перечень вспомогательных веществ</t>
    </r>
    <r>
      <rPr>
        <rFont val="Arial"/>
        <color theme="1"/>
      </rPr>
      <t xml:space="preserve">
• Алюминия гидроксид — 0,50 мг;
• Полисорбат-20 — 0,050 мг;
• Натрия гидрофосфат — Не более 1,150 мг;
• Калия дигидрофосфат — Не более 0,20 мг;
• Натрия хлорид — Не более 9,00 мг;
• Калия хлорид — Не более 0,230 мг;
• Аминокислотный компонент¹ — 3,00 мг;
• Вода для инъекций — до 1,0 мл.
¹ Аминокислотный компонент: L-аланин, L-аргинин, глицин, L-гистидин, L-изолейцин, L-лейцин, L-лизин, L-метионин, L-фенилаланин, L-пролин, L-серин, L-треонин, L-триптофан, L-тирозин, L-валин.</t>
    </r>
  </si>
  <si>
    <r>
      <rPr>
        <rFont val="Arial"/>
        <color theme="1"/>
      </rPr>
      <t xml:space="preserve">&lt;p&gt;Одна прививочная доза содержит:&lt;br&gt;&lt;br&gt;
&lt;i&gt;Действующее вещество:&lt;/i&gt;
&lt;ul&gt;&lt;li&gt;Антиген вируса гепатита А — 1440&amp;nbsp;ИФА единиц.&lt;/li&gt;&lt;/ul&gt;
&lt;i&gt;Адъювант:&lt;/i&gt;
&lt;ul&gt;&lt;li&gt;Алюминия гидроксид — 0,50&amp;nbsp;мг.&lt;/li&gt;&lt;/ul&gt;
Вакцина содержит следовые количества неомицина сульфата.&lt;br&gt;
Вспомогательные вещества, наличие которых надо учитывать в составе лекарственного препарата: фенилаланин, натрия гидрофосфат, натрия хлорид, калия дигидрофосфат, калия хлорид.&lt;br&gt;
Полный перечень вспомогательных веществ приведен в разделе&amp;nbsp;6.1.&lt;/p&gt;
</t>
    </r>
    <r>
      <rPr>
        <rFont val="Arial"/>
        <b/>
        <color theme="1"/>
      </rPr>
      <t>&lt;p&gt;&lt;b&gt;6.1. Перечень вспомогательных веществ</t>
    </r>
    <r>
      <rPr>
        <rFont val="Arial"/>
        <color theme="1"/>
      </rPr>
      <t>&lt;/b&gt;
&lt;ul&gt;&lt;li&gt;Алюминия гидроксид — 0,50&amp;nbsp;мг;&lt;/li&gt;
&lt;li&gt;Полисорбат-20 — 0,050&amp;nbsp;мг;&lt;/li&gt;
&lt;li&gt;Натрия гидрофосфат — Не более 1,150&amp;nbsp;мг;&lt;/li&gt;
&lt;li&gt;Калия дигидрофосфат — Не более 0,20&amp;nbsp;мг;&lt;/li&gt;
&lt;li&gt;Натрия хлорид — Не более 9,00&amp;nbsp;мг;&lt;/li&gt;
&lt;li&gt;Калия хлорид — Не более 0,230&amp;nbsp;мг;&lt;/li&gt;
&lt;li&gt;Аминокислотный компонент¹ — 3,00&amp;nbsp;мг;&lt;/li&gt;
&lt;li&gt;Вода для инъекций — до 1,0&amp;nbsp;мл.&lt;/li&gt;&lt;/ul&gt;
¹&amp;nbsp;Аминокислотный компонент: L-аланин, L-аргинин, глицин, L-гистидин, L-изолейцин, L-лейцин, L-лизин, L-метионин, L-фенилаланин, L-пролин, L-серин, L-треонин, L-триптофан, L-тирозин, L-валин.&lt;/p&gt;</t>
    </r>
  </si>
  <si>
    <r>
      <rPr>
        <rFont val="Arial"/>
        <color theme="1"/>
      </rPr>
      <t xml:space="preserve">На 1 дозу (0,5 мл):
</t>
    </r>
    <r>
      <rPr>
        <rFont val="Arial"/>
        <i/>
        <color theme="1"/>
      </rPr>
      <t>Активный компонент:</t>
    </r>
    <r>
      <rPr>
        <rFont val="Arial"/>
        <color theme="1"/>
      </rPr>
      <t xml:space="preserve">
• Вирус гепатита А¹·² инактивированный — 80 единиц антигена³.
¹ - штамм GBM, культивированный в культуре диплоидных клеток человека MRC-5;
² - инактивированный формальдегидом и адсорбированный на алюминия гидроксиде;
³ - содержание антигена выражено с использованием внутреннего референс-стандарта компании-производителя.
</t>
    </r>
    <r>
      <rPr>
        <rFont val="Arial"/>
        <i/>
        <color theme="1"/>
      </rPr>
      <t>Вспомогательные вещества:</t>
    </r>
    <r>
      <rPr>
        <rFont val="Arial"/>
        <color theme="1"/>
      </rPr>
      <t xml:space="preserve">
• Алюминия гидроксид (в пересчете на алюминий) — 0,15 мг, 2-феноксиэтанол — 2,5 мкл, формальдегид — 12,5 мкг, среда Хэнкс 199⁴ — до 0,5 мл, кислота хлористоводородная или натрия гидроксид для регулировки значения pH.
• Неомицин (производственная примесь) — не более 5 мкг/мл.
⁴ - среда Хэнкс 199 (без фенолового красного) является смесью аминокислот (D,L-аланин, L-аргинина гидрохлорид, D,L-аспарагиновая кислота, L-цистеина гидрохлорида моногидрат, L-цистина дигидрохлорид, D,L-глутаминовой кислоты моногидрат, L-глутамин, глицин, L-гистидина гидрохлорида моногидрат, D,L-изолейцин, L-гидроксипролин, D,L-лейцин, L-лизина гидрохлорид, D,L-метионин, D,L-фенилаланин, L-пролин, D,L-серин, D,L-треонин, D,L-триптофан, L-тирозин динатрия, D,L-валин), минеральных солей(кальция хлорид безводный, железа нитрата нонагидрат, калия хлорид, магния сульфата гептагидрат, натрия хлорид, калия дигидрофосфат, натрия гидрофосфат безводный), витаминов (аскорбиновая кислота, D-биотин, эргокальциферол, кальция пантотенат, холина хлорид, фолиевая кислота, I-инозитол, менадион, никотиновая кислота, никотинамид, парааминобензойная кислота, пиридоксаля гидрохлорид, пиридоксина гидрохлорид, рибофлавин, тиамина гидрохлорид, ретинола ацетат, альфа-токоферола фосфат натрия) и других компонентов (аденина сульфат, трифосаденин динатрия, аденозина фосфат, холестерол, дезоксирибоза, декстроза, глутатион восстановленный, гуанина гидрохлорид, гипоксантин динатрия, рибоза, натрия ацетат, тимин, полисорбат 80, урацил, ксантин динатрия), растворенных в воде для инъекций.</t>
    </r>
  </si>
  <si>
    <r>
      <rPr>
        <rFont val="Arial"/>
        <color theme="1"/>
      </rPr>
      <t xml:space="preserve">&lt;p&gt;На 1&amp;nbsp;дозу (0,5&amp;nbsp;мл):&lt;/p&gt;
</t>
    </r>
    <r>
      <rPr>
        <rFont val="Arial"/>
        <i/>
        <color theme="1"/>
      </rPr>
      <t>&lt;p&gt;&lt;i&gt;Активный компонент:&lt;/i&gt;</t>
    </r>
    <r>
      <rPr>
        <rFont val="Arial"/>
        <color theme="1"/>
      </rPr>
      <t xml:space="preserve">
&lt;ul&gt;&lt;li&gt;Вирус гепатита&amp;nbsp;А¹&lt;sup&gt;,&lt;/sup&gt;² инактивированный — 80&amp;nbsp;единиц антигена³.&lt;/li&gt;&lt;/ul&gt;&lt;/p&gt;
&lt;p&gt;¹ - штамм GBM, культивированный в культуре диплоидных клеток человека MRC-5;&lt;br&gt;
² - инактивированный формальдегидом и адсорбированный на алюминия гидроксиде;&lt;br&gt;
³ - содержание антигена выражено с использованием внутреннего референс-стандарта компании-производителя.&lt;/p&gt;
</t>
    </r>
    <r>
      <rPr>
        <rFont val="Arial"/>
        <i/>
        <color theme="1"/>
      </rPr>
      <t>&lt;p&gt;&lt;i&gt;Вспомогательные вещества:&lt;/i&gt;</t>
    </r>
    <r>
      <rPr>
        <rFont val="Arial"/>
        <color theme="1"/>
      </rPr>
      <t xml:space="preserve">
&lt;ul&gt;&lt;li&gt;Алюминия гидроксид (в пересчете на алюминий) — 0,15&amp;nbsp;мг, 2-феноксиэтанол — 2,5&amp;nbsp;мкл, формальдегид — 12,5&amp;nbsp;мкг, среда Хэнкс&amp;nbsp;199⁴ — до 0,5&amp;nbsp;мл, кислота хлористоводородная или натрия гидроксид для регулировки значения pH.&lt;/li&gt;
&lt;li&gt;Неомицин (производственная примесь) — не более 5&amp;nbsp;мкг/мл.&lt;/li&gt;&lt;/ul&gt;&lt;/p&gt;
&lt;p&gt;⁴ - среда Хэнкс&amp;nbsp;199 (без фенолового красного) является смесью аминокислот (D,L-аланин, L-аргинина гидрохлорид, D,L-аспарагиновая кислота, L-цистеина гидрохлорида моногидрат, L-цистина дигидрохлорид, D,L-глутаминовой кислоты моногидрат, L-глутамин, глицин, L-гистидина гидрохлорида моногидрат, D,L-изолейцин, L-гидроксипролин, D,L-лейцин, L-лизина гидрохлорид, D,L-метионин, D,L-фенилаланин, L-пролин, D,L-серин, D,L-треонин, D,L-триптофан, L-тирозин динатрия, D,L-валин), минеральных солей(кальция хлорид безводный, железа нитрата нонагидрат, калия хлорид, магния сульфата гептагидрат, натрия хлорид, калия дигидрофосфат, натрия гидрофосфат безводный), витаминов (аскорбиновая кислота, D-биотин, эргокальциферол, кальция пантотенат, холина хлорид, фолиевая кислота, I-инозитол, менадион, никотиновая кислота, никотинамид, парааминобензойная кислота, пиридоксаля гидрохлорид, пиридоксина гидрохлорид, рибофлавин, тиамина гидрохлорид, ретинола ацетат, альфа-токоферола фосфат натрия) и других компонентов (аденина сульфат, трифосаденин динатрия, аденозина фосфат, холестерол, дезоксирибоза, декстроза, глутатион восстановленный, гуанина гидрохлорид, гипоксантин динатрия, рибоза, натрия ацетат, тимин, полисорбат 80, урацил, ксантин динатрия), растворенных в воде для инъекций.&lt;/p&gt;</t>
    </r>
  </si>
  <si>
    <t>https://grls.rosminzdrav.ru/InstrImg/2021/10/06/1474149/bd8cf367-32be-419a-a06f-cb35a0ecd9d1.pdf</t>
  </si>
  <si>
    <t>На 1 дозу (0,5 мл):
Активный компонент:
• Вирус гепатита А¹·² инактивированный — 160 единиц антигена³.
¹ - штамм GBM, культивированный в культуре диплоидных клеток человека MRC-5;
² - инактивированный формальдегидом и адсорбированный на алюминия гидроксиде;
³ - содержание антигена выражено с использованием внутреннего референс-стандарта компании-производителя.
Вспомогательные вещества:
• Алюминия гидроксид (в пересчете на алюминий) — 0,3 мг, 2-феноксиэтанол — 2,5 мкл, формальдегид — 12,5 мкг, среда Хэнкс 199⁴ — до 0,5 мл, кислота хлористоводородная или натрия гидроксид для регулировки значения pH.
• Неомицин (производственная примесь) — не более 5 мкг/мл.
⁴ - среда Хэнкс 199 (без фенолового красного) является смесью аминокислот (D,L-аланин, L-аргинина гидрохлорид, D,L-аспарагиновая кислота, L-цистеина гидрохлорида моногидрат, L-цистина дигидрохлорид, D,L-глутаминовой кислоты моногидрат, L-глутамин, глицин, L-гистидина гидрохлорида моногидрат, D,L-изолейцин, L-гидроксипролин, D,L-лейцин, L-лизина гидрохлорид, D,L-метионин, D,L-фенилаланин, L-пролин, D,L-серин, D,L-треонин, D,L-триптофан, L-тирозин динатрия, D,L-валин), минеральных солей(кальция хлорид безводный, железа нитрата нонагидрат, калия хлорид, магния сульфата гептагидрат, натрия хлорид, калия дигидрофосфат, натрия гидрофосфат безводный), витаминов (аскорбиновая кислота, D-биотин, эргокальциферол, кальция пантотенат, холина хлорид, фолиевая кислота, I-инозитол, менадион, никотиновая кислота, никотинамид, парааминобензойная кислота, пиридоксаля гидрохлорид, пиридоксина гидрохлорид, рибофлавин, тиамина гидрохлорид, ретинола ацетат, альфа-токоферола фосфат натрия) и других компонентов (аденина сульфат, трифосаденин динатрия, аденозина фосфат, холестерол, дезоксирибоза, декстроза, глутатион восстановленный, гуанина гидрохлорид, гипоксантин динатрия, рибоза, натрия ацетат, тимин, полисорбат 80, урацил, ксантин динатрия), растворенных в воде для инъекций.</t>
  </si>
  <si>
    <t>&lt;p&gt;На 1&amp;nbsp;дозу (0,5&amp;nbsp;мл):&lt;/p&gt;
&lt;p&gt;&lt;i&gt;Активный компонент:&lt;/i&gt;
&lt;ul&gt;&lt;li&gt;Вирус гепатита&amp;nbsp;А¹&lt;sup&gt;,&lt;/sup&gt;² инактивированный — 160&amp;nbsp;единиц антигена³.&lt;/li&gt;&lt;/ul&gt;&lt;/p&gt;
&lt;p&gt;¹ - штамм GBM, культивированный в культуре диплоидных клеток человека MRC-5;&lt;br&gt;
² - инактивированный формальдегидом и адсорбированный на алюминия гидроксиде;&lt;br&gt;
³ - содержание антигена выражено с использованием внутреннего референс-стандарта компании-производителя.&lt;/p&gt;
&lt;p&gt;&lt;i&gt;Вспомогательные вещества:&lt;/i&gt;
&lt;ul&gt;&lt;li&gt;Алюминия гидроксид (в пересчете на алюминий) — 0,3&amp;nbsp;мг, 2-феноксиэтанол — 2,5&amp;nbsp;мкл, формальдегид — 12,5&amp;nbsp;мкг, среда Хэнкс&amp;nbsp;199⁴ — до 0,5&amp;nbsp;мл, кислота хлористоводородная или натрия гидроксид для регулировки значения pH.&lt;/li&gt;
&lt;li&gt;Неомицин (производственная примесь) — не более 5&amp;nbsp;мкг/мл.&lt;/li&gt;&lt;/ul&gt;&lt;/p&gt;
&lt;p&gt;⁴ - среда Хэнкс&amp;nbsp;199 (без фенолового красного) является смесью аминокислот (D,L-аланин, L-аргинина гидрохлорид, D,L-аспарагиновая кислота, L-цистеина гидрохлорида моногидрат, L-цистина дигидрохлорид, D,L-глутаминовой кислоты моногидрат, L-глутамин, глицин, L-гистидина гидрохлорида моногидрат, D,L-изолейцин, L-гидроксипролин, D,L-лейцин, L-лизина гидрохлорид, D,L-метионин, D,L-фенилаланин, L-пролин, D,L-серин, D,L-треонин, D,L-триптофан, L-тирозин динатрия, D,L-валин), минеральных солей(кальция хлорид безводный, железа нитрата нонагидрат, калия хлорид, магния сульфата гептагидрат, натрия хлорид, калия дигидрофосфат, натрия гидрофосфат безводный), витаминов (аскорбиновая кислота, D-биотин, эргокальциферол, кальция пантотенат, холина хлорид, фолиевая кислота, I-инозитол, менадион, никотиновая кислота, никотинамид, парааминобензойная кислота, пиридоксаля гидрохлорид, пиридоксина гидрохлорид, рибофлавин, тиамина гидрохлорид, ретинола ацетат, альфа-токоферола фосфат натрия) и других компонентов (аденина сульфат, трифосаденин динатрия, аденозина фосфат, холестерол, дезоксирибоза, декстроза, глутатион восстановленный, гуанина гидрохлорид, гипоксантин динатрия, рибоза, натрия ацетат, тимин, полисорбат 80, урацил, ксантин динатрия), растворенных в воде для инъекций.&lt;/p&gt;</t>
  </si>
  <si>
    <t>https://grls.rosminzdrav.ru/InstrImg/2021/10/06/1474147/01e6e663-0f1b-4047-bdc9-365d6ba31c8a.pdf</t>
  </si>
  <si>
    <r>
      <rPr>
        <rFont val="Arial"/>
        <color theme="1"/>
      </rPr>
      <t xml:space="preserve">1 детская доза (0,5 мл) вакцины содержит: 
</t>
    </r>
    <r>
      <rPr>
        <rFont val="Arial"/>
        <i/>
        <color theme="1"/>
      </rPr>
      <t>Действующее вещество:</t>
    </r>
    <r>
      <rPr>
        <rFont val="Arial"/>
        <color theme="1"/>
      </rPr>
      <t xml:space="preserve"> очищенный поверхностный антиген вируса гепатита В (HBsAg) — 10 мкг.
</t>
    </r>
    <r>
      <rPr>
        <rFont val="Arial"/>
        <i/>
        <color theme="1"/>
      </rPr>
      <t>Вспомогательные вещества:</t>
    </r>
    <r>
      <rPr>
        <rFont val="Arial"/>
        <color theme="1"/>
      </rPr>
      <t xml:space="preserve"> алюминия гидроксид — 0,25 мг.
</t>
    </r>
    <r>
      <rPr>
        <rFont val="Arial"/>
        <i/>
        <color theme="1"/>
      </rPr>
      <t>Компоненты буферного раствора:</t>
    </r>
    <r>
      <rPr>
        <rFont val="Arial"/>
        <color theme="1"/>
      </rPr>
      <t xml:space="preserve"> натрия хлорид; натрия гидрофосфат; натрия дигидрофосфата дигидрат; 2 М раствор натрия гидроксида до рН 6,95–7,05; вода для инъекций.
Данный препарат содержит менее 1 ммоль (23 мг) натрия на дозу.</t>
    </r>
  </si>
  <si>
    <t>&lt;p&gt;1&amp;nbsp;детская доза (0,5&amp;nbsp;мл) вакцины содержит:&lt;/p&gt;
&lt;p&gt;&lt;i&gt;Действующее вещество:&lt;/i&gt; очищенный поверхностный антиген вируса гепатита В (HBsAg) — 10&amp;nbsp;мкг.&lt;/p&gt;
&lt;p&gt;&lt;i&gt;Вспомогательные вещества:&lt;/i&gt; алюминия гидроксид — 0,25&amp;nbsp;мг.&lt;/p&gt;
&lt;p&gt;&lt;i&gt;Компоненты буферного раствора:&lt;/i&gt; натрия хлорид; натрия гидрофосфат; натрия дигидрофосфата дигидрат; 2&amp;nbsp;М раствор натрия гидроксида до рН&amp;nbsp;6,95–7,05; вода для инъекций.&lt;/p&gt;
&lt;p&gt;Данный препарат содержит менее 1&amp;nbsp;ммоль (23&amp;nbsp;мг) натрия на дозу.&lt;/p&gt;</t>
  </si>
  <si>
    <t>https://grls.rosminzdrav.ru/InstrImg/2025/06/16/1518193/6df836e1-9750-4ca5-be05-590641b808ac.pdf</t>
  </si>
  <si>
    <r>
      <rPr>
        <rFont val="Arial"/>
        <color theme="1"/>
      </rPr>
      <t xml:space="preserve">1 доза для детей (0,5 мл) содержит:
• Антиген вируса гепатита В поверхностный рекомбинантный (HBsAg) (серотип </t>
    </r>
    <r>
      <rPr>
        <rFont val="Arial"/>
        <i/>
        <color theme="1"/>
      </rPr>
      <t>ау</t>
    </r>
    <r>
      <rPr>
        <rFont val="Arial"/>
        <color theme="1"/>
      </rPr>
      <t xml:space="preserve"> и/или </t>
    </r>
    <r>
      <rPr>
        <rFont val="Arial"/>
        <i/>
        <color theme="1"/>
      </rPr>
      <t>ad</t>
    </r>
    <r>
      <rPr>
        <rFont val="Arial"/>
        <color theme="1"/>
      </rPr>
      <t xml:space="preserve">)¹·² — 10 мкг
¹ Получен из дрожжевых клеток </t>
    </r>
    <r>
      <rPr>
        <rFont val="Arial"/>
        <i/>
        <color theme="1"/>
      </rPr>
      <t>Saccharomyces cerevisiae</t>
    </r>
    <r>
      <rPr>
        <rFont val="Arial"/>
        <color theme="1"/>
      </rPr>
      <t xml:space="preserve"> (серотип </t>
    </r>
    <r>
      <rPr>
        <rFont val="Arial"/>
        <i/>
        <color theme="1"/>
      </rPr>
      <t>ау</t>
    </r>
    <r>
      <rPr>
        <rFont val="Arial"/>
        <color theme="1"/>
      </rPr>
      <t xml:space="preserve">) и/или </t>
    </r>
    <r>
      <rPr>
        <rFont val="Arial"/>
        <i/>
        <color theme="1"/>
      </rPr>
      <t>Hansenula polymorpha</t>
    </r>
    <r>
      <rPr>
        <rFont val="Arial"/>
        <color theme="1"/>
      </rPr>
      <t xml:space="preserve"> (серотип </t>
    </r>
    <r>
      <rPr>
        <rFont val="Arial"/>
        <i/>
        <color theme="1"/>
      </rPr>
      <t xml:space="preserve">ау </t>
    </r>
    <r>
      <rPr>
        <rFont val="Arial"/>
        <color theme="1"/>
      </rPr>
      <t xml:space="preserve">и/или </t>
    </r>
    <r>
      <rPr>
        <rFont val="Arial"/>
        <i/>
        <color theme="1"/>
      </rPr>
      <t>ad</t>
    </r>
    <r>
      <rPr>
        <rFont val="Arial"/>
        <color theme="1"/>
      </rPr>
      <t xml:space="preserve">) по технологии рекомбинантной ДНК.
² Адсорбированный на алюминия гидроксиде (0,25 мг Al³⁺).
</t>
    </r>
    <r>
      <rPr>
        <rFont val="Arial"/>
        <i/>
        <color theme="1"/>
      </rPr>
      <t>Перечень вспомогательных веществ:</t>
    </r>
    <r>
      <rPr>
        <rFont val="Arial"/>
        <color theme="1"/>
      </rPr>
      <t xml:space="preserve">
• Натрия дигидрофосфат дигидрат;
• Натрия хлорид;
• Натрия гидроксид;
• Вода для инъекций.</t>
    </r>
  </si>
  <si>
    <r>
      <rPr>
        <rFont val="Arial"/>
        <color theme="1"/>
      </rPr>
      <t>&lt;p&gt;1&amp;nbsp;доза для детей (0,5&amp;nbsp;мл) содержит:
&lt;ul&gt;&lt;li&gt;Антиген вируса гепатита В поверхностный рекомбинантный (HBsAg) (серотип &lt;i&gt;</t>
    </r>
    <r>
      <rPr>
        <rFont val="Arial"/>
        <i/>
        <color theme="1"/>
      </rPr>
      <t>ау&lt;/i&gt;</t>
    </r>
    <r>
      <rPr>
        <rFont val="Arial"/>
        <color theme="1"/>
      </rPr>
      <t xml:space="preserve"> и/или &lt;i&gt;</t>
    </r>
    <r>
      <rPr>
        <rFont val="Arial"/>
        <i/>
        <color theme="1"/>
      </rPr>
      <t>ad&lt;/i&gt;</t>
    </r>
    <r>
      <rPr>
        <rFont val="Arial"/>
        <color theme="1"/>
      </rPr>
      <t xml:space="preserve">)¹&lt;sup&gt;,&lt;/sup&gt;² — 10&amp;nbsp;мкг&lt;/li&gt;&lt;/ul&gt;
¹&amp;nbsp;Получен из дрожжевых клеток </t>
    </r>
    <r>
      <rPr>
        <rFont val="Arial"/>
        <i/>
        <color theme="1"/>
      </rPr>
      <t>&lt;i&gt;Saccharomyces cerevisiae&lt;/i&gt;</t>
    </r>
    <r>
      <rPr>
        <rFont val="Arial"/>
        <color theme="1"/>
      </rPr>
      <t xml:space="preserve"> (серотип &lt;i&gt;</t>
    </r>
    <r>
      <rPr>
        <rFont val="Arial"/>
        <i/>
        <color theme="1"/>
      </rPr>
      <t>ау&lt;/i&gt;</t>
    </r>
    <r>
      <rPr>
        <rFont val="Arial"/>
        <color theme="1"/>
      </rPr>
      <t xml:space="preserve">) и/или </t>
    </r>
    <r>
      <rPr>
        <rFont val="Arial"/>
        <i/>
        <color theme="1"/>
      </rPr>
      <t>&lt;i&gt;Hansenula polymorpha&lt;/i&gt;</t>
    </r>
    <r>
      <rPr>
        <rFont val="Arial"/>
        <color theme="1"/>
      </rPr>
      <t xml:space="preserve"> (серотип </t>
    </r>
    <r>
      <rPr>
        <rFont val="Arial"/>
        <i/>
        <color theme="1"/>
      </rPr>
      <t xml:space="preserve">&lt;i&gt;ау&lt;/i&gt; </t>
    </r>
    <r>
      <rPr>
        <rFont val="Arial"/>
        <color theme="1"/>
      </rPr>
      <t>и/или &lt;i&gt;</t>
    </r>
    <r>
      <rPr>
        <rFont val="Arial"/>
        <i/>
        <color theme="1"/>
      </rPr>
      <t>ad&lt;/i&gt;</t>
    </r>
    <r>
      <rPr>
        <rFont val="Arial"/>
        <color theme="1"/>
      </rPr>
      <t xml:space="preserve">) по технологии рекомбинантной ДНК.&lt;br&gt;
²&amp;nbsp;Адсорбированный на алюминия гидроксиде (0,25&amp;nbsp;мг Al³⁺).&lt;br&gt;&lt;br&gt;
</t>
    </r>
    <r>
      <rPr>
        <rFont val="Arial"/>
        <i/>
        <color theme="1"/>
      </rPr>
      <t>&lt;i&gt;Перечень вспомогательных веществ:&lt;/i&gt;</t>
    </r>
    <r>
      <rPr>
        <rFont val="Arial"/>
        <color theme="1"/>
      </rPr>
      <t xml:space="preserve">
&lt;ul&gt;&lt;li&gt;Натрия дигидрофосфат дигидрат;&lt;/li&gt;
&lt;li&gt;Натрия хлорид;&lt;/li&gt;
&lt;li&gt;Натрия гидроксид;&lt;/li&gt;
&lt;li&gt;Вода для инъекций.&lt;/li&gt;&lt;/ul&gt;&lt;/p&gt;</t>
    </r>
  </si>
  <si>
    <t>https://grls.rosminzdrav.ru/InstrImg/2026/03/04/1527238/fe2adafe-5094-4da2-bbba-1a640a0ceb4e.pdf</t>
  </si>
  <si>
    <r>
      <rPr>
        <rFont val="Arial"/>
        <color theme="1"/>
      </rPr>
      <t xml:space="preserve">Доза для детей (0,5 мл):
</t>
    </r>
    <r>
      <rPr>
        <rFont val="Arial"/>
        <i/>
        <color theme="1"/>
      </rPr>
      <t>Активный компонент:</t>
    </r>
    <r>
      <rPr>
        <rFont val="Arial"/>
        <color theme="1"/>
      </rPr>
      <t xml:space="preserve">
• Поверхностный антиген вируса гепатита В (HBsAg) очищенный — 10 мкг.
</t>
    </r>
    <r>
      <rPr>
        <rFont val="Arial"/>
        <i/>
        <color theme="1"/>
      </rPr>
      <t>Вспомогательные вещества:</t>
    </r>
    <r>
      <rPr>
        <rFont val="Arial"/>
        <color theme="1"/>
      </rPr>
      <t xml:space="preserve">
• Гель алюминия гидроксида (по алюминию) — 0,25 мг.
• Калия дигидрофосфат (буферный агент) — q.s.
• Натрия гидрофосфат (буферный агент) — q.s.
• Натрия хлорид — 4,25 мг.
• Вода для инъекций — до 0,5 мл.</t>
    </r>
  </si>
  <si>
    <r>
      <rPr>
        <rFont val="Arial"/>
        <color theme="1"/>
      </rPr>
      <t xml:space="preserve">&lt;p&gt;Доза для детей (0,5&amp;nbsp;мл):&lt;/p&gt;
</t>
    </r>
    <r>
      <rPr>
        <rFont val="Arial"/>
        <i/>
        <color theme="1"/>
      </rPr>
      <t>&lt;p&gt;&lt;i&gt;Активный компонент:&lt;/i&gt;</t>
    </r>
    <r>
      <rPr>
        <rFont val="Arial"/>
        <color theme="1"/>
      </rPr>
      <t xml:space="preserve">
&lt;ul&gt;&lt;li&gt;Поверхностный антиген вируса гепатита В (HBsAg) очищенный — 10&amp;nbsp;мкг.&lt;/li&gt;&lt;/ul&gt;
</t>
    </r>
    <r>
      <rPr>
        <rFont val="Arial"/>
        <i/>
        <color theme="1"/>
      </rPr>
      <t>&lt;i&gt;Вспомогательные вещества:&lt;/i&gt;</t>
    </r>
    <r>
      <rPr>
        <rFont val="Arial"/>
        <color theme="1"/>
      </rPr>
      <t xml:space="preserve">
&lt;ul&gt;&lt;li&gt;Гель алюминия гидроксида (по алюминию) — 0,25&amp;nbsp;мг.&lt;/li&gt;
&lt;li&gt;Калия дигидрофосфат (буферный агент) — q.s.&lt;/li&gt;
&lt;li&gt;Натрия гидрофосфат (буферный агент) — q.s.&lt;/li&gt;
&lt;li&gt;Натрия хлорид — 4,25&amp;nbsp;мг.&lt;/li&gt;
&lt;li&gt;Вода для инъекций — до 0,5&amp;nbsp;мл.&lt;/li&gt;&lt;/ul&gt;&lt;/p&gt;</t>
    </r>
  </si>
  <si>
    <t>https://grls.rosminzdrav.ru/InstrImg/2019/8/6/1445331/%D0%9F_N011073[2016]_1.pdf</t>
  </si>
  <si>
    <r>
      <rPr>
        <rFont val="Arial"/>
        <color theme="1"/>
      </rPr>
      <t xml:space="preserve">Доза для взрослых (1,0 мл):
</t>
    </r>
    <r>
      <rPr>
        <rFont val="Arial"/>
        <i/>
        <color theme="1"/>
      </rPr>
      <t>Активный компонент:</t>
    </r>
    <r>
      <rPr>
        <rFont val="Arial"/>
        <color theme="1"/>
      </rPr>
      <t xml:space="preserve">
• Поверхностный антиген вируса гепатита В (HBsAg) очищенный — 20 мкг.
</t>
    </r>
    <r>
      <rPr>
        <rFont val="Arial"/>
        <i/>
        <color theme="1"/>
      </rPr>
      <t>Вспомогательные вещества:</t>
    </r>
    <r>
      <rPr>
        <rFont val="Arial"/>
        <color theme="1"/>
      </rPr>
      <t xml:space="preserve">
• Гель алюминия гидроксида (по алюминию) — 0,50 мг.
• Калия дигидрофосфат (буферный агент) — q.s.
• Натрия гидрофосфат (буферный агент) — q.s.
• Натрия хлорид — 8,50 мг.
• Вода для инъекций — до 1,0 мл.</t>
    </r>
  </si>
  <si>
    <r>
      <rPr>
        <rFont val="Arial"/>
        <color theme="1"/>
      </rPr>
      <t xml:space="preserve">&lt;p&gt;Доза для взрослых (1,0&amp;nbsp;мл):&lt;/p&gt;
</t>
    </r>
    <r>
      <rPr>
        <rFont val="Arial"/>
        <i/>
        <color theme="1"/>
      </rPr>
      <t>&lt;p&gt;&lt;i&gt;Активный компонент:&lt;/i&gt;</t>
    </r>
    <r>
      <rPr>
        <rFont val="Arial"/>
        <color theme="1"/>
      </rPr>
      <t xml:space="preserve">
&lt;ul&gt;&lt;li&gt;Поверхностный антиген вируса гепатита В (HBsAg) очищенный — 20&amp;nbsp;мкг.&lt;/li&gt;&lt;/ul&gt;
</t>
    </r>
    <r>
      <rPr>
        <rFont val="Arial"/>
        <i/>
        <color theme="1"/>
      </rPr>
      <t>&lt;i&gt;Вспомогательные вещества:&lt;/i&gt;</t>
    </r>
    <r>
      <rPr>
        <rFont val="Arial"/>
        <color theme="1"/>
      </rPr>
      <t xml:space="preserve">
&lt;ul&gt;&lt;li&gt;Гель алюминия гидроксида (по алюминию) — 0,50&amp;nbsp;мг.&lt;/li&gt;
&lt;li&gt;Калия дигидрофосфат (буферный агент) — q.s.&lt;/li&gt;
&lt;li&gt;Натрия гидрофосфат (буферный агент) — q.s.&lt;/li&gt;
&lt;li&gt;Натрия хлорид — 8,50&amp;nbsp;мг.&lt;/li&gt;
&lt;li&gt;Вода для инъекций — до 1,0&amp;nbsp;мл.&lt;/li&gt;&lt;/ul&gt;&lt;/p&gt;</t>
    </r>
  </si>
  <si>
    <r>
      <rPr>
        <rFont val="Arial"/>
        <color theme="1"/>
      </rPr>
      <t xml:space="preserve">1 прививочная доза (0,5 мл) содержит: 
</t>
    </r>
    <r>
      <rPr>
        <rFont val="Arial"/>
        <i/>
        <color theme="1"/>
      </rPr>
      <t>Действующие вещества:</t>
    </r>
    <r>
      <rPr>
        <rFont val="Arial"/>
        <color theme="1"/>
      </rPr>
      <t xml:space="preserve">
• L1 протеин вируса папилломы человека типа 16 (ВПЧ-16L1) — 20 мкг.
• L1 протеин вируса папилломы человека типа 18 (ВПЧ-18L1) — 20 мкг.
</t>
    </r>
    <r>
      <rPr>
        <rFont val="Arial"/>
        <i/>
        <color theme="1"/>
      </rPr>
      <t>Адъювантная система AS04:</t>
    </r>
    <r>
      <rPr>
        <rFont val="Arial"/>
        <color theme="1"/>
      </rPr>
      <t xml:space="preserve">
• Алюминия гидроксид — 0,5 мг.
• 3-О-дезацил-4’-монофосфориллипид А — 50 мкг.
</t>
    </r>
    <r>
      <rPr>
        <rFont val="Arial"/>
        <i/>
        <color theme="1"/>
      </rPr>
      <t>Перечень вспомогательных веществ:</t>
    </r>
    <r>
      <rPr>
        <rFont val="Arial"/>
        <color theme="1"/>
      </rPr>
      <t xml:space="preserve">
• Натрия хлорид — 4,4 мг.
• Натрия дигидрофосфата дигидрат — 0,624 мг.
• Вода для инъекций — q.s. до 0,5 мл.</t>
    </r>
  </si>
  <si>
    <r>
      <rPr>
        <rFont val="Arial"/>
        <color theme="1"/>
      </rPr>
      <t xml:space="preserve">&lt;p&gt;1&amp;nbsp;прививочная доза (0,5&amp;nbsp;мл) содержит:&lt;/p&gt;
</t>
    </r>
    <r>
      <rPr>
        <rFont val="Arial"/>
        <i/>
        <color theme="1"/>
      </rPr>
      <t>&lt;p&gt;&lt;i&gt;Действующие вещества:&lt;/i&gt;</t>
    </r>
    <r>
      <rPr>
        <rFont val="Arial"/>
        <color theme="1"/>
      </rPr>
      <t xml:space="preserve">
&lt;ul&gt;&lt;li&gt;L1&amp;nbsp;протеин вируса папилломы человека типа&amp;nbsp;16 (ВПЧ-16L1) — 20&amp;nbsp;мкг.&lt;/li&gt;
&lt;li&gt;L1&amp;nbsp;протеин вируса папилломы человека типа&amp;nbsp;18 (ВПЧ-18L1) — 20&amp;nbsp;мкг.&lt;/li&gt;&lt;/ul&gt;
</t>
    </r>
    <r>
      <rPr>
        <rFont val="Arial"/>
        <i/>
        <color theme="1"/>
      </rPr>
      <t>&lt;i&gt;</t>
    </r>
    <r>
      <rPr>
        <rFont val="Arial"/>
        <color theme="1"/>
      </rPr>
      <t>Адъювантная система AS04:&lt;/i&gt;
&lt;ul&gt;&lt;li&gt;Алюминия гидроксид — 0,5&amp;nbsp;мг.&lt;/li&gt;
&lt;li&gt;3-О-дезацил-4’-монофосфориллипид&amp;nbsp;А — 50&amp;nbsp;мкг.&lt;/li&gt;&lt;/ul&gt;
&lt;i&gt;Перечень вспомогательных веществ:&lt;/i&gt;
&lt;ul&gt;&lt;li&gt;Натрия хлорид — 4,4&amp;nbsp;мг.&lt;/li&gt;
&lt;li&gt;Натрия дигидрофосфата дигидрат — 0,624&amp;nbsp;мг.&lt;/li&gt;
&lt;li&gt;Вода для инъекций — q.s. до 0,5&amp;nbsp;мл.&lt;/li&gt;&lt;/ul&gt;&lt;/p&gt;</t>
    </r>
  </si>
  <si>
    <t>https://lk.regmed.ru/Register/GetPDFfromDA?ID=1611660161</t>
  </si>
  <si>
    <r>
      <rPr>
        <rFont val="Arial"/>
        <color theme="1"/>
      </rPr>
      <t xml:space="preserve">Одна доза (0,5 мл) содержит 
</t>
    </r>
    <r>
      <rPr>
        <rFont val="Arial"/>
        <i/>
        <color theme="1"/>
      </rPr>
      <t>Действующие вещества:</t>
    </r>
    <r>
      <rPr>
        <rFont val="Arial"/>
        <color theme="1"/>
      </rPr>
      <t xml:space="preserve"> рекомбинантные антигены — L1 белок вируса папилломы человека в следующих количествах: тип 6 — 20 мкг, тип 11 — 40 мкг, тип 16 — 40 мкг, тип 18 — 20 мкг.
</t>
    </r>
    <r>
      <rPr>
        <rFont val="Arial"/>
        <i/>
        <color theme="1"/>
      </rPr>
      <t>Перечень вспомогательных веществ:</t>
    </r>
    <r>
      <rPr>
        <rFont val="Arial"/>
        <color theme="1"/>
      </rPr>
      <t xml:space="preserve">
• Алюминий в виде алюминия гидроксифосфата сульфата аморфного.
• Натрия хлорид.
• L-гистидин.
• Полисорбат-80.
• Натрия борат.
• Вода для инъекций.
Консервантов и антибиотиков не содержит.</t>
    </r>
  </si>
  <si>
    <r>
      <rPr>
        <rFont val="Arial"/>
        <color theme="1"/>
      </rPr>
      <t xml:space="preserve">&lt;p&gt;Одна доза (0,5&amp;nbsp;мл) содержит &lt;/p&gt;
</t>
    </r>
    <r>
      <rPr>
        <rFont val="Arial"/>
        <i/>
        <color theme="1"/>
      </rPr>
      <t>&lt;p&gt;&lt;i&gt;Действующие вещества:&lt;/i&gt;</t>
    </r>
    <r>
      <rPr>
        <rFont val="Arial"/>
        <color theme="1"/>
      </rPr>
      <t xml:space="preserve"> рекомбинантные антигены — L1&amp;nbsp;белок вируса папилломы человека в следующих количествах: тип&amp;nbsp;6 — 20&amp;nbsp;мкг, тип&amp;nbsp;11 — 40&amp;nbsp;мкг, тип&amp;nbsp;16 — 40&amp;nbsp;мкг, тип&amp;nbsp;18 — 20&amp;nbsp;мкг.&lt;/p&gt;
</t>
    </r>
    <r>
      <rPr>
        <rFont val="Arial"/>
        <i/>
        <color theme="1"/>
      </rPr>
      <t>&lt;p&gt;&lt;i&gt;</t>
    </r>
    <r>
      <rPr>
        <rFont val="Arial"/>
        <color theme="1"/>
      </rPr>
      <t>Перечень вспомогательных веществ:&lt;/i&gt;
&lt;ul&gt;&lt;li&gt;Алюминий в виде алюминия гидроксифосфата сульфата аморфного.&lt;/li&gt;
&lt;li&gt;Натрия хлорид.&lt;/li&gt;
&lt;li&gt;L-гистидин.&lt;/li&gt;
&lt;li&gt;Полисорбат-80.&lt;/li&gt;
&lt;li&gt;Натрия борат.&lt;/li&gt;
&lt;li&gt;Вода для инъекций.&lt;/li&gt;&lt;/ul&gt;
Консервантов и антибиотиков не содержит.&lt;/p&gt;</t>
    </r>
  </si>
  <si>
    <t>https://lk.regmed.ru/Register/GetPDFfromDA?ID=1575625191</t>
  </si>
  <si>
    <r>
      <rPr>
        <rFont val="Arial"/>
        <color theme="1"/>
      </rPr>
      <t xml:space="preserve">1 доза (0,5 мл) содержит:
</t>
    </r>
    <r>
      <rPr>
        <rFont val="Arial"/>
        <i/>
        <color theme="1"/>
      </rPr>
      <t>Компонент I</t>
    </r>
    <r>
      <rPr>
        <rFont val="Arial"/>
        <color theme="1"/>
      </rPr>
      <t xml:space="preserve">
рекомбинантные аденовирусные частицы 26 серотипа¹, содержащие ген белка S вируса SARS-CoV-2² — (1,0±0,5)х10¹¹ частиц;
</t>
    </r>
    <r>
      <rPr>
        <rFont val="Arial"/>
        <i/>
        <color theme="1"/>
      </rPr>
      <t>Компонент II</t>
    </r>
    <r>
      <rPr>
        <rFont val="Arial"/>
        <color theme="1"/>
      </rPr>
      <t xml:space="preserve">
рекомбинантные аденовирусные частицы 5 серотипа¹, содержащие ген белка S вируса SARS-CoV-2² — (1,0±0,5)х10¹¹ частиц.
¹ получены из клеток человека (НЕК29З) после трансдукции этих клеток.
² вариант ХВВ штамма омикрон коронавируса SARS-CoV-2.
Перечень вспомогательных веществ:
</t>
    </r>
    <r>
      <rPr>
        <rFont val="Arial"/>
        <i/>
        <color theme="1"/>
      </rPr>
      <t>Компонент I</t>
    </r>
    <r>
      <rPr>
        <rFont val="Arial"/>
        <color theme="1"/>
      </rPr>
      <t xml:space="preserve">
• Трис(гидроксиметил)аминометан;
• Натрия хлорид;
• Сахароза;
• Полисорбат 80;
• Магния хлорида гексагидрат;
• ЭДТА динатриевая соль дигидрат;
• Этанол 95 %;
• Вода для инъекций.
</t>
    </r>
    <r>
      <rPr>
        <rFont val="Arial"/>
        <i/>
        <color theme="1"/>
      </rPr>
      <t>Компонент II</t>
    </r>
    <r>
      <rPr>
        <rFont val="Arial"/>
        <color theme="1"/>
      </rPr>
      <t xml:space="preserve">
• Трис(гидроксиметил)аминометан;
• Натрия хлорид;
• Сахароза;
• Полисорбат 80;
• Магния хлорида гексагидрат;
• ЭДТА динатриевая соль дигидрат;
• Этанол 95 %;
• Вода для инъекций.</t>
    </r>
  </si>
  <si>
    <r>
      <rPr>
        <rFont val="Arial"/>
        <color theme="1"/>
      </rPr>
      <t xml:space="preserve">&lt;p&gt;1&amp;nbsp;доза (0,5&amp;nbsp;мл) содержит:
</t>
    </r>
    <r>
      <rPr>
        <rFont val="Arial"/>
        <i/>
        <color theme="1"/>
      </rPr>
      <t>&lt;ul&gt;&lt;i&gt;Компонент&amp;nbsp;I&lt;/i&gt;</t>
    </r>
    <r>
      <rPr>
        <rFont val="Arial"/>
        <color theme="1"/>
      </rPr>
      <t xml:space="preserve">&lt;br&gt;
&lt;li&gt;рекомбинантные аденовирусные частицы 26&amp;nbsp;серотипа¹, содержащие ген белка&amp;nbsp;S вируса SARS-CoV-2² — (1,0±0,5)х10¹¹&amp;nbsp;частиц;&lt;/li&gt;&lt;br&gt;
</t>
    </r>
    <r>
      <rPr>
        <rFont val="Arial"/>
        <i/>
        <color theme="1"/>
      </rPr>
      <t>&lt;i&gt;Компонент&amp;nbsp;II&lt;/i&gt;&lt;br&gt;</t>
    </r>
    <r>
      <rPr>
        <rFont val="Arial"/>
        <color theme="1"/>
      </rPr>
      <t xml:space="preserve">
&lt;li&gt;рекомбинантные аденовирусные частицы 5&amp;nbsp;серотипа¹, содержащие ген белка&amp;nbsp;S вируса SARS-CoV-2² — (1,0±0,5)х10¹¹&amp;nbsp;частиц.&lt;/li&gt;&lt;/ul&gt;
¹&amp;nbsp;получены из клеток человека (НЕК29З) после трансдукции этих клеток.&lt;br&gt;
²&amp;nbsp;вариант ХВВ штамма омикрон коронавируса SARS-CoV-2.&lt;br&gt;&lt;br&gt;
Перечень вспомогательных веществ:
</t>
    </r>
    <r>
      <rPr>
        <rFont val="Arial"/>
        <i/>
        <color theme="1"/>
      </rPr>
      <t>&lt;ul&gt;&lt;i&gt;Компонент&amp;nbsp;I&lt;/i&gt;&lt;br&gt;</t>
    </r>
    <r>
      <rPr>
        <rFont val="Arial"/>
        <color theme="1"/>
      </rPr>
      <t xml:space="preserve">
&lt;li&gt;Трис(гидроксиметил)аминометан;&lt;/li&gt;
&lt;li&gt;Натрия хлорид;&lt;/li&gt;
&lt;li&gt;Сахароза;&lt;/li&gt;
&lt;li&gt;Полисорбат&amp;nbsp;80;&lt;/li&gt;
&lt;li&gt;Магния хлорида гексагидрат;&lt;/li&gt;
&lt;li&gt;ЭДТА динатриевая соль дигидрат;&lt;/li&gt;
&lt;li&gt;Этанол 95&amp;nbsp;%;&lt;/li&gt;
&lt;li&gt;Вода для инъекций.&lt;/li&gt;&lt;br&gt;
</t>
    </r>
    <r>
      <rPr>
        <rFont val="Arial"/>
        <i/>
        <color theme="1"/>
      </rPr>
      <t>&lt;i&gt;Компонент&amp;nbsp;II&lt;/i&gt;&lt;br&gt;</t>
    </r>
    <r>
      <rPr>
        <rFont val="Arial"/>
        <color theme="1"/>
      </rPr>
      <t xml:space="preserve">
&lt;li&gt;Трис(гидроксиметил)аминометан;&lt;/li&gt;
&lt;li&gt;Натрия хлорид;&lt;/li&gt;
&lt;li&gt;Сахароза;&lt;/li&gt;
&lt;li&gt;Полисорбат&amp;nbsp;80;&lt;/li&gt;
&lt;li&gt;Магния хлорида гексагидрат;&lt;/li&gt;
&lt;li&gt;ЭДТА динатриевая соль дигидрат;&lt;/li&gt;
&lt;li&gt;Этанол 95&amp;nbsp;%;&lt;/li&gt;
&lt;li&gt;Вода для инъекций.&lt;/li&gt;&lt;/ul&gt;&lt;/p&gt;</t>
    </r>
  </si>
  <si>
    <t>https://grls.rosminzdrav.ru/InstrImg/2025/07/21/1519595/f7c8e9e3-baf4-4c2e-949f-a41b75a8ad7c.pdf</t>
  </si>
  <si>
    <r>
      <rPr>
        <rFont val="Arial"/>
        <color theme="1"/>
      </rPr>
      <t xml:space="preserve">Состав на 1 дозу:
Компонент I содержит:
</t>
    </r>
    <r>
      <rPr>
        <rFont val="Arial"/>
        <i/>
        <color theme="1"/>
      </rPr>
      <t xml:space="preserve">Действующее вещество: </t>
    </r>
    <r>
      <rPr>
        <rFont val="Arial"/>
        <color theme="1"/>
      </rPr>
      <t xml:space="preserve">рекомбинантные аденовирусные частицы 26 серотипа, содержащие ген белка S вируса SARS-CoV-2, в количестве (1,0±0,5)х10¹¹ частиц.
</t>
    </r>
    <r>
      <rPr>
        <rFont val="Arial"/>
        <i/>
        <color theme="1"/>
      </rPr>
      <t xml:space="preserve">Вспомогательные вещества: </t>
    </r>
    <r>
      <rPr>
        <rFont val="Arial"/>
        <color theme="1"/>
      </rPr>
      <t xml:space="preserve">трис(гидроксиметил)аминометан — 0,24 мг, натрия хлорид — 1,40 мг, сахароза — 73,5 мг, магния хлорида гексагидрат — 20,4 мкг, ЭДТА динатриевая соль дигидрат — 3,8 мкг, полисорбат 80 — 0,05 мкг.
Компонент II содержит:
</t>
    </r>
    <r>
      <rPr>
        <rFont val="Arial"/>
        <i/>
        <color theme="1"/>
      </rPr>
      <t xml:space="preserve">Действующее вещество: </t>
    </r>
    <r>
      <rPr>
        <rFont val="Arial"/>
        <color theme="1"/>
      </rPr>
      <t xml:space="preserve">рекомбинантные аденовирусные частицы 5 серотипа, содержащие ген белка S вируса SARS-CoV-2, в количестве (1,0±0,5)х10¹¹ частиц.
</t>
    </r>
    <r>
      <rPr>
        <rFont val="Arial"/>
        <i/>
        <color theme="1"/>
      </rPr>
      <t xml:space="preserve">Вспомогательные вещества: </t>
    </r>
    <r>
      <rPr>
        <rFont val="Arial"/>
        <color theme="1"/>
      </rPr>
      <t>трис(гидроксиметил)аминометан — 0,24 мг, натрия хлорид — 1,40 мг, сахароза — 73,5 мг, магния хлорида гексагидрат — 20,4 мкг, ЭДТА динатриевая соль дигидрат — 3,8 мкг, полисорбат 80 — 0,05 мкг.</t>
    </r>
  </si>
  <si>
    <r>
      <rPr>
        <rFont val="Arial"/>
        <color theme="1"/>
      </rPr>
      <t xml:space="preserve">&lt;p&gt;Состав на 1&amp;nbsp;дозу:&lt;/p&gt;
&lt;p&gt;Компонент&amp;nbsp;I содержит:&lt;/p&gt;
</t>
    </r>
    <r>
      <rPr>
        <rFont val="Arial"/>
        <i/>
        <color theme="1"/>
      </rPr>
      <t xml:space="preserve">&lt;p&gt;&lt;i&gt;Действующее вещество:&lt;/i&gt; </t>
    </r>
    <r>
      <rPr>
        <rFont val="Arial"/>
        <color theme="1"/>
      </rPr>
      <t xml:space="preserve">рекомбинантные аденовирусные частицы 26&amp;nbsp;серотипа, содержащие ген белка&amp;nbsp;S вируса SARS-CoV-2, в количестве (1,0±0,5)х10¹¹&amp;nbsp;частиц.&lt;/p&gt;
</t>
    </r>
    <r>
      <rPr>
        <rFont val="Arial"/>
        <i/>
        <color theme="1"/>
      </rPr>
      <t xml:space="preserve">&lt;p&gt;&lt;i&gt;Вспомогательные вещества:&lt;/i&gt; </t>
    </r>
    <r>
      <rPr>
        <rFont val="Arial"/>
        <color theme="1"/>
      </rPr>
      <t xml:space="preserve">трис(гидроксиметил)аминометан — 0,24&amp;nbsp;мг, натрия хлорид — 1,40&amp;nbsp;мг, сахароза — 73,5&amp;nbsp;мг, магния хлорида гексагидрат — 20,4&amp;nbsp;мкг, ЭДТА динатриевая соль дигидрат — 3,8&amp;nbsp;мкг, полисорбат&amp;nbsp;80 — 0,05&amp;nbsp;мкг.&lt;/p&gt;
&lt;p&gt;Компонент&amp;nbsp;II содержит:&lt;/p&gt;
</t>
    </r>
    <r>
      <rPr>
        <rFont val="Arial"/>
        <i/>
        <color theme="1"/>
      </rPr>
      <t xml:space="preserve">&lt;p&gt;&lt;i&gt;Действующее вещество:&lt;/i&gt; </t>
    </r>
    <r>
      <rPr>
        <rFont val="Arial"/>
        <color theme="1"/>
      </rPr>
      <t xml:space="preserve">рекомбинантные аденовирусные частицы 5&amp;nbsp;серотипа, содержащие ген белка&amp;nbsp;S вируса SARS-CoV-2, в количестве (1,0±0,5)х10¹¹&amp;nbsp;частиц.&lt;/p&gt;
</t>
    </r>
    <r>
      <rPr>
        <rFont val="Arial"/>
        <i/>
        <color theme="1"/>
      </rPr>
      <t xml:space="preserve">&lt;p&gt;&lt;i&gt;Вспомогательные вещества:&lt;/i&gt; </t>
    </r>
    <r>
      <rPr>
        <rFont val="Arial"/>
        <color theme="1"/>
      </rPr>
      <t>трис(гидроксиметил)аминометан — 0,24&amp;nbsp;мг, натрия хлорид — 1,40&amp;nbsp;мг, сахароза — 73,5&amp;nbsp;мг, магния хлорида гексагидрат — 20,4&amp;nbsp;мкг, ЭДТА динатриевая соль дигидрат — 3,8&amp;nbsp;мкг, полисорбат&amp;nbsp;80 — 0,05&amp;nbsp;мкг.&lt;/p&gt;</t>
    </r>
  </si>
  <si>
    <t>https://grls.rosminzdrav.ru/InstrImg/2022/03/24/1479420/567f4c1a-9b51-46b3-aa9d-6be72c91e48b.pdf</t>
  </si>
  <si>
    <r>
      <rPr>
        <rFont val="Arial"/>
        <color theme="1"/>
      </rPr>
      <t xml:space="preserve">1 доза (0,5 мл) вакцины содержит:
</t>
    </r>
    <r>
      <rPr>
        <rFont val="Arial"/>
        <i/>
        <color theme="1"/>
      </rPr>
      <t>Действующие вещества:</t>
    </r>
    <r>
      <rPr>
        <rFont val="Arial"/>
        <color theme="1"/>
      </rPr>
      <t xml:space="preserve">
• пептидный антиген № 1 белка S вируса SARS-CoV-2, конъюгированный на белок-носитель — (75±15) мкг;
• пептидный антиген № 2 белка S вируса SARS-CoV-2, конъюгированный на белок-носитель — (75±15) мкг;
• пептидный антиген № 3 белка S вируса SARS-CoV-2, конъюгированный на белок-носитель — (75±15) мкг.
</t>
    </r>
    <r>
      <rPr>
        <rFont val="Arial"/>
        <i/>
        <color theme="1"/>
      </rPr>
      <t>Вспомогательные вещества:</t>
    </r>
    <r>
      <rPr>
        <rFont val="Arial"/>
        <color theme="1"/>
      </rPr>
      <t xml:space="preserve">
• алюминия гидроксид в пересчете на (Al³⁺) — (0,60±0,10) мг;
• калия дигидрофосфат — (0,12±0,01) мг;
• калия хлорид — (0,10±0,01) мг;
• натрия гидрофосфата додекагидрат — (1,82±0,10) мг;
• натрия хлорид — (4,00±0,20) мг;
• вода для инъекций — до 0,5 мл.
Консервантов и антибиотиков не содержит.</t>
    </r>
  </si>
  <si>
    <r>
      <rPr>
        <rFont val="Arial"/>
        <color theme="1"/>
      </rPr>
      <t xml:space="preserve">&lt;p&gt;1&amp;nbsp;доза (0,5&amp;nbsp;мл) вакцины содержит:&lt;/p&gt;
</t>
    </r>
    <r>
      <rPr>
        <rFont val="Arial"/>
        <i/>
        <color theme="1"/>
      </rPr>
      <t>&lt;p&gt;&lt;i&gt;Действующие вещества:&lt;/i&gt;</t>
    </r>
    <r>
      <rPr>
        <rFont val="Arial"/>
        <color theme="1"/>
      </rPr>
      <t xml:space="preserve">
&lt;ul&gt;&lt;li&gt;пептидный антиген №&amp;nbsp;1 белка&amp;nbsp;S вируса SARS-CoV-2, конъюгированный на белок-носитель — (75±15)&amp;nbsp;мкг;&lt;/li&gt;
&lt;li&gt;пептидный антиген №&amp;nbsp;2 белка&amp;nbsp;S вируса SARS-CoV-2, конъюгированный на белок-носитель — (75±15)&amp;nbsp;мкг;&lt;/li&gt;
&lt;li&gt;пептидный антиген №&amp;nbsp;3 белка&amp;nbsp;S вируса SARS-CoV-2, конъюгированный на белок-носитель — (75±15)&amp;nbsp;мкг.&lt;/li&gt;&lt;/ul&gt;
</t>
    </r>
    <r>
      <rPr>
        <rFont val="Arial"/>
        <i/>
        <color theme="1"/>
      </rPr>
      <t>&lt;i&gt;Вспомогательные вещества:</t>
    </r>
    <r>
      <rPr>
        <rFont val="Arial"/>
        <color theme="1"/>
      </rPr>
      <t>&lt;/i&gt;
&lt;ul&gt;&lt;li&gt;алюминия гидроксид в пересчете на (Al³⁺) — (0,60±0,10)&amp;nbsp;мг;&lt;/li&gt;
&lt;li&gt;калия дигидрофосфат — (0,12±0,01)&amp;nbsp;мг;&lt;/li&gt;
&lt;li&gt;калия хлорид — (0,10±0,01)&amp;nbsp;мг;&lt;/li&gt;
&lt;li&gt;натрия гидрофосфата додекагидрат — (1,82±0,10)&amp;nbsp;мг;&lt;/li&gt;
&lt;li&gt;натрия хлорид — (4,00±0,20)&amp;nbsp;мг;&lt;/li&gt;
&lt;li&gt;вода для инъекций — до 0,5&amp;nbsp;мл.&lt;/li&gt;&lt;/ul&gt;
Консервантов и антибиотиков не содержит.&lt;/p&gt;</t>
    </r>
  </si>
  <si>
    <t>https://grls.rosminzdrav.ru/InstrImg/2023/01/09/1490224/e76560fa-e72e-49eb-8daf-91f3d1403e22.pdf</t>
  </si>
  <si>
    <r>
      <rPr>
        <rFont val="Arial"/>
        <color theme="1"/>
      </rPr>
      <t xml:space="preserve">1 доза (0,5 мл) содержит:
</t>
    </r>
    <r>
      <rPr>
        <rFont val="Arial"/>
        <i/>
        <color theme="1"/>
      </rPr>
      <t>Вакцина без консерванта</t>
    </r>
    <r>
      <rPr>
        <rFont val="Arial"/>
        <color theme="1"/>
      </rPr>
      <t xml:space="preserve">:
• гемагглютинин вируса гриппа подтипа A(H₁N₁) — 5 мкг;
• гемагглютинин вируса гриппа подтипа A(H₃N₂) — 5 мкг;
• гемагглютинин вируса гриппа типа В — 11 мкг;
• азоксимера бромид (Полиоксидоний) — 500 мкг.
</t>
    </r>
    <r>
      <rPr>
        <rFont val="Arial"/>
        <i/>
        <color theme="1"/>
      </rPr>
      <t>Вакцина с консервантом</t>
    </r>
    <r>
      <rPr>
        <rFont val="Arial"/>
        <color theme="1"/>
      </rPr>
      <t>:
• гемагглютинин вируса гриппа подтипа A(H₁N₁) — 5 мкг;
• гемагглютинин вируса гриппа подтипа A(H₃N₂) — 5 мкг;
• гемагглютинин вируса гриппа типа В — 11 мкг;
• азоксимера бромид (Полиоксидоний) — 500 мкг;
• консервант — тиомерсал (мертиолят) — (50,0±7,5) мкг.
Примечание. 1. На стадиях производства препарата в качестве растворителя и стабилизатора pH используется фосфатный буферный раствор (ФБР):
для препарата без консерванта ФБР №1,
препарата с консервантом — ФБР №2.
Состав ФБР №1: 9 г натрия хлорида, 1,5 г натрия гидрофосфата, 0,12 – 0,14 г калия дигидрофосфата, вода для инъекций до 1 л.
Состав ФБР №2: 9 г натрия хлорида, 1,5 г натрия гидрофосфата, 0,12 – 0,14 г калия дигидрофосфата, 0,85 мл тиомерсала (мертиолята) раствора 1%, вода для инъекций до 1 л.
2. Полиоксидоний представляет собой смесь активного вещества полиоксидония (азоксимера бромида) и вспомогательных веществ: маннитола, повидона и бета-каротена водного раствора, получаемая в результате непрерывного технологического цикла.</t>
    </r>
  </si>
  <si>
    <r>
      <rPr>
        <rFont val="Arial"/>
        <color theme="1"/>
      </rPr>
      <t xml:space="preserve">&lt;p&gt;1&amp;nbsp;доза (0,5&amp;nbsp;мл) содержит:&lt;/p&gt;
</t>
    </r>
    <r>
      <rPr>
        <rFont val="Arial"/>
        <i/>
        <color theme="1"/>
      </rPr>
      <t>&lt;p&gt;&lt;i&gt;Вакцина без консерванта:&lt;/i&gt;</t>
    </r>
    <r>
      <rPr>
        <rFont val="Arial"/>
        <color theme="1"/>
      </rPr>
      <t xml:space="preserve">
&lt;ul&gt;&lt;li&gt;гемагглютинин вируса гриппа подтипа&amp;nbsp;A(H₁N₁) — 5&amp;nbsp;мкг;&lt;/li&gt;
&lt;li&gt;гемагглютинин вируса гриппа подтипа&amp;nbsp;A(H₃N₂) — 5&amp;nbsp;мкг;&lt;/li&gt;
&lt;li&gt;гемагглютинин вируса гриппа типа&amp;nbsp;В — 11&amp;nbsp;мкг;&lt;/li&gt;
&lt;li&gt;азоксимера бромид (Полиоксидоний) — 500&amp;nbsp;мкг.&lt;/li&gt;&lt;/ul&gt;
</t>
    </r>
    <r>
      <rPr>
        <rFont val="Arial"/>
        <i/>
        <color theme="1"/>
      </rPr>
      <t>&lt;i&gt;Вакцина с консервантом</t>
    </r>
    <r>
      <rPr>
        <rFont val="Arial"/>
        <color theme="1"/>
      </rPr>
      <t>:&lt;/i&gt;
&lt;ul&gt;&lt;li&gt;гемагглютинин вируса гриппа подтипа&amp;nbsp;A(H₁N₁) — 5&amp;nbsp;мкг;&lt;/li&gt;
&lt;li&gt;гемагглютинин вируса гриппа подтипа&amp;nbsp;A(H₃N₂) — 5&amp;nbsp;мкг;&lt;/li&gt;
&lt;li&gt;гемагглютинин вируса гриппа типа&amp;nbsp;В — 11&amp;nbsp;мкг;&lt;/li&gt;
&lt;li&gt;азоксимера бромид (Полиоксидоний) — 500&amp;nbsp;мкг;&lt;/li&gt;
&lt;li&gt;консервант — тиомерсал (мертиолят) — (50,0±7,5)&amp;nbsp;мкг.&lt;/li&gt;&lt;/ul&gt;&lt;/p&gt;
&lt;p&gt;&lt;ul&gt;Примечание. 1. На стадиях производства препарата в качестве растворителя и стабилизатора pH используется фосфатный буферный раствор (ФБР):&lt;br&gt;
для препарата без консерванта ФБР&amp;nbsp;№1,&lt;br&gt;
препарата с консервантом — ФБР&amp;nbsp;№2.&lt;br&gt;
Состав ФБР&amp;nbsp;№1: 9&amp;nbsp;г натрия хлорида, 1,5&amp;nbsp;г натрия гидрофосфата, 0,12&amp;nbsp;–&amp;nbsp;0,14&amp;nbsp;г калия дигидрофосфата, вода для инъекций до 1&amp;nbsp;л.&lt;br&gt;
Состав ФБР&amp;nbsp;№2: 9&amp;nbsp;г натрия хлорида, 1,5&amp;nbsp;г натрия гидрофосфата, 0,12&amp;nbsp;–&amp;nbsp;0,14&amp;nbsp;г калия дигидрофосфата, 0,85&amp;nbsp;мл тиомерсала (мертиолята) раствора 1%, вода для инъекций до 1&amp;nbsp;л.&lt;br&gt;
2. Полиоксидоний представляет собой смесь активного вещества полиоксидония (азоксимера бромида) и вспомогательных веществ: маннитола, повидона и бета-каротена водного раствора, получаемая в результате непрерывного технологического цикла.&lt;/ul&gt;&lt;/p&gt;</t>
    </r>
  </si>
  <si>
    <t>https://grls.rosminzdrav.ru/InstrImg/2020/11/12/37422/bb3f3b49-b450-42cf-a999-bcc087b2eb05.pdf</t>
  </si>
  <si>
    <t>Одна иммунизирующая доза (0,5 мл) содержит по 5 мкг гемагглютинина эпидемически актуальных штаммов вирусов гриппа подтипов A (H₁N₁ и H₃N₂) и 11 мкг гемагглютинина вируса гриппа типа В, 500 мкг иммуноадъюванта Полиоксидоний® в фосфатно-солевом буферном растворе; консервант: мертиолят — 50 мкг.</t>
  </si>
  <si>
    <t>&lt;p&gt;Одна иммунизирующая доза (0,5&amp;nbsp;мл) содержит по 5&amp;nbsp;мкг гемагглютинина эпидемически актуальных штаммов вирусов гриппа подтипов&amp;nbsp;A (H₁N₁ и H₃N₂) и 11&amp;nbsp;мкг гемагглютинина вируса гриппа типа&amp;nbsp;В, 500&amp;nbsp;мкг иммуноадъюванта Полиоксидоний® в фосфатно-солевом буферном растворе; консервант: мертиолят — 50&amp;nbsp;мкг.&lt;/p&gt;</t>
  </si>
  <si>
    <t>https://grls.rosminzdrav.ru/InstrImg/2020/11/23/1413288/cb3a391e-05f5-41e6-9963-8f102193f7e0.pdf</t>
  </si>
  <si>
    <t>1 доза (0,5 мл) содержит:
Действующие вещества:
Антиген вируса гриппа типа А (H₁N₁)* с содержанием гемагглютинина — 5 мкг
Антиген вируса гриппа типа А (H₃N₂)* с содержанием гемагглютинина — 5 мкг
Антиген вируса гриппа типа В* с содержанием гемагглютинина — 5 мкг
Полиоксидоний® (Азоксимера бромид) — 500 мкг
* 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
Вакцинные штаммы выращены на куриных эмбрионах.
Перечень вспомогательных веществ:
Фосфатно-солевой буферный раствор
Состав фосфатно-солевого буферного раствора на 1 дозу (0,5 мл) лекарственного средства: калия хлорид — 100 мкг, калия дигидрофосфат — 100 мкг, динатрия гидрофосфат дигидрат — 670 мкг, натрия хлорид — 4000 мкг, вода для инъекций — до 0,5 мл.
Данный препарат содержит менее 1 ммоль (23 мг) натрия на 1 дозу, то есть по сути не содержит натрия.
Данный препарат содержит калий менее 1 ммоль (39 мг) на 1 дозу, то есть по сути не содержит калия.</t>
  </si>
  <si>
    <t>&lt;p&gt;1&amp;nbsp;доза (0,5&amp;nbsp;мл) содержит:&lt;br&gt;&lt;br&gt;
&lt;i&gt;Действующие вещества:&lt;/i&gt;
&lt;ul&gt;&lt;li&gt;Антиген вируса гриппа типа А (H₁N₁)* с содержанием гемагглютинина — 5&amp;nbsp;мкг&lt;/li&gt;
&lt;li&gt;Антиген вируса гриппа типа А (H₃N₂)* с содержанием гемагглютинина — 5&amp;nbsp;мкг&lt;/li&gt;
&lt;li&gt;Антиген вируса гриппа типа В* с содержанием гемагглютинина — 5&amp;nbsp;мкг&lt;/li&gt;
&lt;li&gt;Полиоксидоний® (Азоксимера бромид) — 500&amp;nbsp;мкг&lt;/li&gt;&lt;/ul&gt;
*&amp;nbsp;Штаммы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полушария.&lt;br&gt;&lt;br&gt;
Вакцинные штаммы выращены на куриных эмбрионах.&lt;/p&gt;
&lt;p&gt;&lt;i&gt;Перечень вспомогательных веществ:&lt;/i&gt;
&lt;ul&gt;&lt;li&gt;Фосфатно-солевой буферный раствор&lt;/li&gt;
Состав фосфатно-солевого буферного раствора на 1&amp;nbsp;дозу (0,5&amp;nbsp;мл) лекарственного средства: калия хлорид — 100&amp;nbsp;мкг, калия дигидрофосфат — 100&amp;nbsp;мкг, динатрия гидрофосфат дигидрат — 670&amp;nbsp;мкг, натрия хлорид — 4000&amp;nbsp;мкг, вода для инъекций — до 0,5&amp;nbsp;мл.&lt;/ul&gt;
Данный препарат содержит менее 1&amp;nbsp;ммоль (23&amp;nbsp;мг) натрия на 1&amp;nbsp;дозу, то есть по сути не содержит натрия.&lt;br&gt;
Данный препарат содержит калий менее 1&amp;nbsp;ммоль (39&amp;nbsp;мг) на 1&amp;nbsp;дозу, то есть по сути не содержит калия.&lt;/p&gt;</t>
  </si>
  <si>
    <t>https://lk.regmed.ru/Register/GetPDFfromDA?ID=1512826451</t>
  </si>
  <si>
    <r>
      <rPr>
        <rFont val="Arial"/>
        <color theme="1"/>
      </rPr>
      <t xml:space="preserve">Действующие вещества*: гемагглютинин вируса гриппа подтипа А(H₁N₁); гемагглютинин вируса гриппа подтипа А(H₃N₂); гемагглютинин вируса гриппа типа В.
0,5 мл (1 доза) содержит:
</t>
    </r>
    <r>
      <rPr>
        <rFont val="Arial"/>
        <i/>
        <color theme="1"/>
      </rPr>
      <t>Вакцина с консервантом</t>
    </r>
    <r>
      <rPr>
        <rFont val="Arial"/>
        <color theme="1"/>
      </rPr>
      <t xml:space="preserve">
• гемагглютинин вируса гриппа подтипа A(H₁N₁) — 5 мкг;
• гемагглютинин вируса гриппа подтипа A(H₃N₂) —  5 мкг;
• гемагглютинин вируса гриппа типа В — 11 мкг.
</t>
    </r>
    <r>
      <rPr>
        <rFont val="Arial"/>
        <i/>
        <color theme="1"/>
      </rPr>
      <t>Вакцина без консерванта</t>
    </r>
    <r>
      <rPr>
        <rFont val="Arial"/>
        <color theme="1"/>
      </rPr>
      <t xml:space="preserve">
• гемагглютинин вируса гриппа подтипа A(H₁N₁) — 5 мкг;
• гемагглютинин вируса гриппа подтипа A(H₃N₂) — 5 мкг;
• гемагглютинин вируса гриппа типа В — 11 мкг.
* Действующие вещества выделены из очищенных вирионов вируса гриппа А и В, полученных из вируссодержащей аллантоисной жидкости куриных эмбрионов от клинически здоровых кур с использованием в производственном процессе двух технологий (эритроцитарной или безэритроцитарной).
Штаммовый состав вакцины соответствует рекомендациям Всемирной организации здравоохранения (ВОЗ) для Северного полушария.
Вакцина содержит адъювант: сополимер 2-метил-5-винилпиридина и N-винилпирролидона (торговое наименование — СОВИДОН) — 500 мкг.
СОВИГРИПП Вакцина гриппозная инактивированная субъединичная может содержать следы яиц (белки куриного яйца, в том числе овальбумин не более 0,1 мкг/мл).
Перечень вспомогательных веществ:
</t>
    </r>
    <r>
      <rPr>
        <rFont val="Arial"/>
        <i/>
        <color theme="1"/>
      </rPr>
      <t>Вакцина с консервантом</t>
    </r>
    <r>
      <rPr>
        <rFont val="Arial"/>
        <color theme="1"/>
      </rPr>
      <t xml:space="preserve">
• Сополимер 2-метил-5-винилпиридина и N-винилпирролидона (адъювант).
• Тиомерсал (консервант).
• Фосфатно-солевой буферный раствор (натрия хлорид, динатрия гидрофосфат додекагидрат, калия дигидрофосфат, тиомерсал, вода для инъекций).
</t>
    </r>
    <r>
      <rPr>
        <rFont val="Arial"/>
        <i/>
        <color theme="1"/>
      </rPr>
      <t>Вакцина без консерванта</t>
    </r>
    <r>
      <rPr>
        <rFont val="Arial"/>
        <color theme="1"/>
      </rPr>
      <t xml:space="preserve">
• Сополимер 2-метил-5-винилпиридина и N-винилпирролидона (адъювант).
• Фосфатно-солевой буферный раствор (натрия хлорид, динатрия гидрофосфат додекагидрат, калия дигидрофосфат, вода для инъекций).</t>
    </r>
  </si>
  <si>
    <r>
      <rPr>
        <rFont val="Arial"/>
        <color theme="1"/>
      </rPr>
      <t xml:space="preserve">&lt;p&gt;Действующие вещества*: гемагглютинин вируса гриппа подтипа А(H₁N₁); гемагглютинин вируса гриппа подтипа А(H₃N₂); гемагглютинин вируса гриппа типа В.&lt;br&gt;&lt;br&gt;
0,5&amp;nbsp;мл (1&amp;nbsp;доза) содержит:&lt;br&gt;
</t>
    </r>
    <r>
      <rPr>
        <rFont val="Arial"/>
        <i/>
        <color theme="1"/>
      </rPr>
      <t>&lt;i&gt;Вакцина с консервантом&lt;/i&gt;</t>
    </r>
    <r>
      <rPr>
        <rFont val="Arial"/>
        <color theme="1"/>
      </rPr>
      <t xml:space="preserve">
&lt;ul&gt;&lt;li&gt;гемагглютинин вируса гриппа подтипа&amp;nbsp;A(H₁N₁) — 5&amp;nbsp;мкг;&lt;/li&gt;
&lt;li&gt;гемагглютинин вируса гриппа подтипа&amp;nbsp;A(H₃N₂) — 5&amp;nbsp;мкг;&lt;/li&gt;
&lt;li&gt;гемагглютинин вируса гриппа типа&amp;nbsp;В — 11&amp;nbsp;мкг.&lt;/li&gt;&lt;/ul&gt;
</t>
    </r>
    <r>
      <rPr>
        <rFont val="Arial"/>
        <i/>
        <color theme="1"/>
      </rPr>
      <t>&lt;i&gt;Вакцина без консерванта&lt;/i&gt;</t>
    </r>
    <r>
      <rPr>
        <rFont val="Arial"/>
        <color theme="1"/>
      </rPr>
      <t xml:space="preserve">
&lt;ul&gt;&lt;li&gt;гемагглютинин вируса гриппа подтипа&amp;nbsp;A(H₁N₁) — 5&amp;nbsp;мкг;&lt;/li&gt;
&lt;li&gt;гемагглютинин вируса гриппа подтипа&amp;nbsp;A(H₃N₂) — 5&amp;nbsp;мкг;&lt;/li&gt;
&lt;li&gt;гемагглютинин вируса гриппа типа&amp;nbsp;В — 11&amp;nbsp;мкг.&lt;/li&gt;&lt;/ul&gt;
*&amp;nbsp;Действующие вещества выделены из очищенных вирионов вируса гриппа А и В, полученных из вируссодержащей аллантоисной жидкости куриных эмбрионов от клинически здоровых кур с использованием в производственном процессе двух технологий (эритроцитарной или безэритроцитарной).&lt;br&gt;&lt;br&gt;
Штаммовый состав вакцины соответствует рекомендациям Всемирной организации здравоохранения (ВОЗ) для Северного полушария.&lt;br&gt;
Вакцина содержит адъювант: сополимер 2-метил-5-винилпиридина и N-винилпирролидона (торговое наименование — СОВИДОН) — 500&amp;nbsp;мкг.&lt;br&gt;
СОВИГРИПП Вакцина гриппозная инактивированная субъединичная может содержать следы яиц (белки куриного яйца, в том числе овальбумин не более 0,1&amp;nbsp;мкг/мл).&lt;br&gt;&lt;br&gt;
Перечень вспомогательных веществ:&lt;br&gt;
</t>
    </r>
    <r>
      <rPr>
        <rFont val="Arial"/>
        <i/>
        <color theme="1"/>
      </rPr>
      <t>&lt;i&gt;Вакцина с консервантом</t>
    </r>
    <r>
      <rPr>
        <rFont val="Arial"/>
        <color theme="1"/>
      </rPr>
      <t xml:space="preserve">&lt;/i&gt;
&lt;ul&gt;&lt;li&gt;Сополимер 2-метил-5-винилпиридина и N-винилпирролидона (адъювант).&lt;/li&gt;
&lt;li&gt;Тиомерсал (консервант).&lt;/li&gt;
&lt;li&gt;Фосфатно-солевой буферный раствор (натрия хлорид, динатрия гидрофосфат додекагидрат, калия дигидрофосфат, тиомерсал, вода для инъекций).&lt;/li&gt;&lt;/ul&gt;
</t>
    </r>
    <r>
      <rPr>
        <rFont val="Arial"/>
        <i/>
        <color theme="1"/>
      </rPr>
      <t>&lt;i&gt;Вакцина без консерванта&lt;/i&gt;</t>
    </r>
    <r>
      <rPr>
        <rFont val="Arial"/>
        <color theme="1"/>
      </rPr>
      <t xml:space="preserve">
&lt;ul&gt;&lt;li&gt;Сополимер 2-метил-5-винилпиридина и N-винилпирролидона (адъювант).&lt;/li&gt;
&lt;li&gt;Фосфатно-солевой буферный раствор (натрия хлорид, динатрия гидрофосфат додекагидрат, калия дигидрофосфат, вода для инъекций).&lt;/li&gt;&lt;/ul&gt;&lt;/p&gt;</t>
    </r>
  </si>
  <si>
    <t>https://lk.regmed.ru/Register/GetPDFfromDA?ID=1633580161</t>
  </si>
  <si>
    <r>
      <rPr>
        <rFont val="Arial"/>
        <color theme="1"/>
      </rPr>
      <t xml:space="preserve">1 доза (0,5 мл) содержит
</t>
    </r>
    <r>
      <rPr>
        <rFont val="Arial"/>
        <i/>
        <color theme="1"/>
      </rPr>
      <t>Действующие вещества:</t>
    </r>
    <r>
      <rPr>
        <rFont val="Arial"/>
        <color theme="1"/>
      </rPr>
      <t xml:space="preserve">
Вирусы гриппа, культивированные на куриных эмбрионах, инактивированные, расщепленные, представленные штаммами, эквивалентными следующим:
• А/(H₁N₁) — (15±2,0) мкг ГА;
• А/(H₃N₂) — (15±2,0) мкг ГА;
• В/ — (15±2,0) мкг ГА.
</t>
    </r>
    <r>
      <rPr>
        <rFont val="Arial"/>
        <i/>
        <color theme="1"/>
      </rPr>
      <t>Перечень вспомогательных веществ:</t>
    </r>
    <r>
      <rPr>
        <rFont val="Arial"/>
        <color theme="1"/>
      </rPr>
      <t xml:space="preserve">
Консервант – мертиолят или не содержит консерванта, фосфатно-солевой буферный раствор (натрия хлорид, динатрия гидрофосфат дигидрат, натрия дигидрофосфат дигидрат, вода для инъекций).</t>
    </r>
  </si>
  <si>
    <t>&lt;p&gt;1&amp;nbsp;доза (0,5&amp;nbsp;мл) содержит&lt;/p&gt;
&lt;p&gt;&lt;i&gt;Действующие вещества:&lt;/i&gt;&lt;br&gt;
Вирусы гриппа, культивированные на куриных эмбрионах, инактивированные, расщепленные, представленные штаммами, эквивалентными следующим:
&lt;ul&gt;&lt;li&gt;А/(H₁N₁) — (15±2,0)&amp;nbsp;мкг ГА;&lt;/li&gt;
&lt;li&gt;А/(H₃N₂) — (15±2,0)&amp;nbsp;мкг ГА;&lt;/li&gt;
&lt;li&gt;В/ — (15±2,0)&amp;nbsp;мкг ГА.&lt;/li&gt;&lt;/ul&gt;
&lt;i&gt;Перечень вспомогательных веществ:&lt;/i&gt;&lt;br&gt;
Консервант – мертиолят или не содержит консерванта, фосфатно-солевой буферный раствор (натрия хлорид, динатрия гидрофосфат дигидрат, натрия дигидрофосфат дигидрат, вода для инъекций).&lt;/p&gt;</t>
  </si>
  <si>
    <t>https://lk.regmed.ru/Register/GetPDFfromDA?ID=1523760571</t>
  </si>
  <si>
    <r>
      <rPr>
        <rFont val="Arial"/>
        <color theme="1"/>
      </rPr>
      <t xml:space="preserve">1 доза (0,5 мл) содержит:
</t>
    </r>
    <r>
      <rPr>
        <rFont val="Arial"/>
        <i/>
        <color theme="1"/>
      </rPr>
      <t>Препарат с консервантом:</t>
    </r>
    <r>
      <rPr>
        <rFont val="Arial"/>
        <color theme="1"/>
      </rPr>
      <t xml:space="preserve">
• Гемагглютинин вируса гриппа подтипа А(Н1N1)¹·² — 15 мкг
• Гемагглютинин вируса гриппа подтипа A(H3N2)¹·² — 15 мкг
• Гемагглютинин вируса гриппа типа В¹·² — 15 мкг
</t>
    </r>
    <r>
      <rPr>
        <rFont val="Arial"/>
        <i/>
        <color theme="1"/>
      </rPr>
      <t>Препарат без консерванта:</t>
    </r>
    <r>
      <rPr>
        <rFont val="Arial"/>
        <color theme="1"/>
      </rPr>
      <t xml:space="preserve">
• Гемагглютинин вируса гриппа подтипа А(Н1N1)¹·² — 15 мкг
• Гемагглютинин вируса гриппа подтипа A(H3N2)¹·² — 15 мкг
• Гемагглютинин вируса гриппа типа В¹·² — 15 мкг
¹ Действующие вещества выделены из очищенных вирионов вируса гриппа А и В, полученных из вируссодержащей аллантоисной жидкости куриных эмбрионов.
² Штаммовый состав вакцины изменяется каждый год в соответствии с эпидемиологической ситуацией и рекомендациями Всемирной организации здравоохранения (ВОЗ) для Северного полушария.
</t>
    </r>
    <r>
      <rPr>
        <rFont val="Arial"/>
        <i/>
        <color theme="1"/>
      </rPr>
      <t>Вспомогательные вещества препарата с консервантом:</t>
    </r>
    <r>
      <rPr>
        <rFont val="Arial"/>
        <color theme="1"/>
      </rPr>
      <t xml:space="preserve">
• Тиомерсал (консервант)
• Тритон Х-100 (стабилизатор)
• Фосфатно-солевой буферный раствор
</t>
    </r>
    <r>
      <rPr>
        <rFont val="Arial"/>
        <i/>
        <color theme="1"/>
      </rPr>
      <t>Вспомогательные вещества препарата без консерванта:</t>
    </r>
    <r>
      <rPr>
        <rFont val="Arial"/>
        <color theme="1"/>
      </rPr>
      <t xml:space="preserve">
• Тритон Х-100 (стабилизатор)
• Фосфатно-солевой буферный раствор
Состав фосфатно-солевого буферного раствора на дозу лекарственного препарата (0,5 мл): натрия хлорид, динатрия фосфата додекагидрат, калия дигидрофосфат, вода для инъекций.</t>
    </r>
  </si>
  <si>
    <t>&lt;p&gt;1&amp;nbsp;доза (0,5&amp;nbsp;мл) содержит:&lt;br&gt;&lt;br&gt;
&lt;i&gt;Препарат с консервантом:&lt;/i&gt;
&lt;ul&gt;&lt;li&gt;Гемагглютинин вируса гриппа подтипа А(Н1N1)¹&lt;sup&gt;,&lt;/sup&gt;² — 15&amp;nbsp;мкг&lt;/li&gt;
&lt;li&gt;Гемагглютинин вируса гриппа подтипа A(H3N2)¹&lt;sup&gt;,&lt;/sup&gt;² — 15&amp;nbsp;мкг&lt;/li&gt;
&lt;li&gt;Гемагглютинин вируса гриппа типа В¹&lt;sup&gt;,&lt;/sup&gt;² — 15&amp;nbsp;мкг&lt;/li&gt;&lt;/ul&gt;
&lt;i&gt;Препарат без консерванта:&lt;/i&gt;
&lt;ul&gt;&lt;li&gt;Гемагглютинин вируса гриппа подтипа А(Н1N1)¹&lt;sup&gt;,&lt;/sup&gt;² — 15&amp;nbsp;мкг&lt;/li&gt;
&lt;li&gt;Гемагглютинин вируса гриппа подтипа A(H3N2)¹&lt;sup&gt;,&lt;/sup&gt;² — 15&amp;nbsp;мкг&lt;/li&gt;
&lt;li&gt;Гемагглютинин вируса гриппа типа В¹&lt;sup&gt;,&lt;/sup&gt;² — 15&amp;nbsp;мкг&lt;/li&gt;&lt;/ul&gt;
¹ Действующие вещества выделены из очищенных вирионов вируса гриппа А и В, полученных из вируссодержащей аллантоисной жидкости куриных эмбрионов.&lt;br&gt;
² Штаммовый состав вакцины изменяется каждый год в соответствии с эпидемиологической ситуацией и рекомендациями Всемирной организации здравоохранения (ВОЗ) для Северного полушария.&lt;br&gt;&lt;br&gt;
&lt;i&gt;Вспомогательные вещества препарата с консервантом:&lt;/i&gt;
&lt;ul&gt;&lt;li&gt;Тиомерсал (консервант)&lt;/li&gt;
&lt;li&gt;Тритон Х-100 (стабилизатор)&lt;/li&gt;
&lt;li&gt;Фосфатно-солевой буферный раствор&lt;/li&gt;&lt;/ul&gt;
&lt;i&gt;Вспомогательные вещества препарата без консерванта:&lt;/i&gt;
&lt;ul&gt;&lt;li&gt;Тритон Х-100 (стабилизатор)&lt;/li&gt;
&lt;li&gt;Фосфатно-солевой буферный раствор&lt;/li&gt;&lt;/ul&gt;
Состав фосфатно-солевого буферного раствора на дозу лекарственного препарата (0,5&amp;nbsp;мл): натрия хлорид, динатрия фосфата додекагидрат, калия дигидрофосфат, вода для инъекций.&lt;/p&gt;</t>
  </si>
  <si>
    <t>https://grls.rosminzdrav.ru/InstrImg/2026/02/10/1526281/07a2f661-6334-4894-8117-0ad7563ba4ef.pdf</t>
  </si>
  <si>
    <r>
      <rPr>
        <rFont val="Arial"/>
        <color theme="1"/>
      </rPr>
      <t xml:space="preserve">На 1 дозу вакцины (0,5 мл):
</t>
    </r>
    <r>
      <rPr>
        <rFont val="Arial"/>
        <i/>
        <color theme="1"/>
      </rPr>
      <t>Действующие вещества</t>
    </r>
    <r>
      <rPr>
        <rFont val="Arial"/>
        <color theme="1"/>
      </rPr>
      <t xml:space="preserve">:
Вирусы гриппа, культивированные на куриных эмбрионах, инактивированные расщепленные, представленные штаммами, эквивалентными следующим:
• А/(H₁N₁)* — 15 мкг гемагглютинина;
• А/(H₃N₂)* — 15 мкг гемагглютинина;
• В/* — 15 мкг гемагглютинина.
* - Указываются актуальные штаммы, рекомендованные ВОЗ и решением ЕС для Северного полушария на текущий эпидемический сезон.
</t>
    </r>
    <r>
      <rPr>
        <rFont val="Arial"/>
        <i/>
        <color theme="1"/>
      </rPr>
      <t>Вспомогательные вещества:</t>
    </r>
    <r>
      <rPr>
        <rFont val="Arial"/>
        <color theme="1"/>
      </rPr>
      <t xml:space="preserve">
• Буферный раствор, содержащий натрия хлорид, калия хлорид, натрия гидрофосфата дигидрат, калия дигидрофосфат, воду для инъекций — до 0,5 мл.
Не содержит адъювантов и консервантов. 
Производственные примеси (в следовых количествах): формальдегид, октоксинол-9, неомицин, овальбумин.</t>
    </r>
  </si>
  <si>
    <r>
      <rPr>
        <rFont val="Arial"/>
        <color theme="1"/>
      </rPr>
      <t xml:space="preserve">&lt;p&gt;На 1&amp;nbsp;дозу вакцины (0,5&amp;nbsp;мл):&lt;/p&gt;
</t>
    </r>
    <r>
      <rPr>
        <rFont val="Arial"/>
        <i/>
        <color theme="1"/>
      </rPr>
      <t>&lt;p&gt;&lt;i&gt;Действующие вещества</t>
    </r>
    <r>
      <rPr>
        <rFont val="Arial"/>
        <color theme="1"/>
      </rPr>
      <t xml:space="preserve">:&lt;/i&gt;&lt;/p&gt;
&lt;p&gt;Вирусы гриппа, культивированные на куриных эмбрионах, инактивированные расщепленные, представленные штаммами, эквивалентными следующим:
&lt;ul&gt;&lt;li&gt;А/(H₁N₁)* — 15&amp;nbsp;мкг гемагглютинина;&lt;/li&gt;
&lt;li&gt;А/(H₃N₂)* — 15&amp;nbsp;мкг гемагглютинина;&lt;/li&gt;
&lt;li&gt;В/* — 15&amp;nbsp;мкг гемагглютинина.&lt;/li&gt;&lt;/ul&gt;&lt;/p&gt;
&lt;p&gt;* - Указываются актуальные штаммы, рекомендованные ВОЗ и решением ЕС для Северного полушария на текущий эпидемический сезон.&lt;/p&gt;
</t>
    </r>
    <r>
      <rPr>
        <rFont val="Arial"/>
        <i/>
        <color theme="1"/>
      </rPr>
      <t>&lt;p&gt;&lt;i&gt;Вспомогательные вещества:</t>
    </r>
    <r>
      <rPr>
        <rFont val="Arial"/>
        <color theme="1"/>
      </rPr>
      <t>&lt;/i&gt;
&lt;ul&gt;&lt;li&gt;Буферный раствор, содержащий натрия хлорид, калия хлорид, натрия гидрофосфата дигидрат, калия дигидрофосфат, воду для инъекций — до 0,5&amp;nbsp;мл.&lt;/li&gt;&lt;/ul&gt;&lt;/p&gt;
&lt;p&gt;Не содержит адъювантов и консервантов.&lt;p&gt;
&lt;p&gt;Производственные примеси (в следовых количествах): формальдегид, октоксинол-9, неомицин, овальбумин.&lt;/p&gt;</t>
    </r>
  </si>
  <si>
    <t>https://grls.rosminzdrav.ru/InstrImg/2021/12/14/1476333/f3799188-0d95-48db-a0ce-bb1396d44765.pdf</t>
  </si>
  <si>
    <r>
      <rPr>
        <rFont val="Arial"/>
        <color theme="1"/>
      </rPr>
      <t xml:space="preserve">1 доза (0,5 мл) содержит: 
• Гемагглютинин вируса гриппа¹ подтипа A(H1N1)²·³ — 15 мкг 
• Гемагглютинин вируса гриппа¹ подтипа A(H3N2)²·³ — 15 мкг 
• Гемагглютинин вируса гриппа¹ подтипа B²·³ — 15 мкг
¹ Выращены на куриных эмбрионах здоровых кур.
² После названия типа антигена выносится название штамма, рекомендованного Всемирной организацией здравоохранения (ВОЗ) на текущий эпидемический сезон гриппа для Северного полушария.
³ Штаммовый состав вакцины соответствует рекомендациям Всемирной организации здравоохранения (ВОЗ) для Северного полушария и решению компетентного регуляторного органа по составу гриппозных вакцин в отношении данного сезона (год/год).
</t>
    </r>
    <r>
      <rPr>
        <rFont val="Arial"/>
        <i/>
        <color theme="1"/>
      </rPr>
      <t>Перечень вспомогательных веществ:</t>
    </r>
    <r>
      <rPr>
        <rFont val="Arial"/>
        <color theme="1"/>
      </rPr>
      <t xml:space="preserve">
• Калия хлорид;
• Калия дигидрофосфат;
• Динатрия фосфата дигидрат;
• Натрия хлорид;
• Кальция хлорида дигидрат;
• Магния хлорида гексагидрат;
• Вода для инъекций.</t>
    </r>
  </si>
  <si>
    <t>&lt;p&gt;1&amp;nbsp;доза (0,5&amp;nbsp;мл) содержит: 
&lt;ul&gt;&lt;li&gt;Гемагглютинин вируса гриппа¹ подтипа A(H1N1)²&lt;sup&gt;,&lt;/sup&gt;³ — 15 &amp;nbsp;мкг&lt;/li&gt;
&lt;li&gt;Гемагглютинин вируса гриппа¹ подтипа A(H3N2)²&lt;sup&gt;,&lt;/sup&gt;³ — 15&amp;nbsp;мкг&lt;/li&gt;
&lt;li&gt;Гемагглютинин вируса гриппа¹ подтипа B²&lt;sup&gt;,&lt;/sup&gt;³ — 15&amp;nbsp;мкг&lt;/li&gt;&lt;/ul&gt;
¹&amp;nbsp;Выращены на куриных эмбрионах здоровых кур.&lt;br&gt;
²&amp;nbsp;После названия типа антигена выносится название штамма, рекомендованного Всемирной организацией здравоохранения (ВОЗ) на текущий эпидемический сезон гриппа для Северного полушария.&lt;br&gt;
³&amp;nbsp;Штаммовый состав вакцины соответствует рекомендациям Всемирной организации здравоохранения (ВОЗ) для Северного полушария и решению компетентного регуляторного органа по составу гриппозных вакцин в отношении данного сезона (год/год).&lt;br&gt;&lt;br&gt;
&lt;i&gt;Перечень вспомогательных веществ:&lt;/i&gt;
&lt;ul&gt;&lt;li&gt;Калия хлорид;&lt;/li&gt;
&lt;li&gt;Калия дигидрофосфат;&lt;/li&gt;
&lt;li&gt;Динатрия фосфата дигидрат;&lt;/li&gt;
&lt;li&gt;Натрия хлорид;&lt;/li&gt;
&lt;li&gt;Кальция хлорида дигидрат;&lt;/li&gt;
&lt;li&gt;Магния хлорида гексагидрат;&lt;/li&gt;
&lt;li&gt;Вода для инъекций.&lt;/li&gt;&lt;/ul&gt;&lt;/p&gt;</t>
  </si>
  <si>
    <t>https://grls.rosminzdrav.ru/InstrImg/2026/03/05/1527284/4a34f8fb-090f-4a41-bab9-0d4194977316.pdf</t>
  </si>
  <si>
    <r>
      <rPr>
        <rFont val="Arial"/>
        <color theme="1"/>
      </rPr>
      <t xml:space="preserve">0,5 мл (1 доза) содержит
</t>
    </r>
    <r>
      <rPr>
        <rFont val="Arial"/>
        <i/>
        <color theme="1"/>
      </rPr>
      <t>Действующие вещества</t>
    </r>
    <r>
      <rPr>
        <rFont val="Arial"/>
        <color theme="1"/>
      </rPr>
      <t xml:space="preserve">:
• Антиген вируса гриппа типа A (H₁N₁) — (15±2,0) мкг ГА;
• Антиген вируса гриппа типа А (H₃N₂) — (15±2,0) мкг ГА;
• Антиген вируса гриппа типа В (линия Yamagata) — (15±2,0) мкг ГА;
• Антиген вируса гриппа типа В (линия Victoria) — (15±2,0) мкг ГА.
</t>
    </r>
    <r>
      <rPr>
        <rFont val="Arial"/>
        <i/>
        <color theme="1"/>
      </rPr>
      <t>Перечень вспомогательных веществ:</t>
    </r>
    <r>
      <rPr>
        <rFont val="Arial"/>
        <color theme="1"/>
      </rPr>
      <t xml:space="preserve">
Полисорбат 80, октоксинол-10, фосфатно-солевой буферный раствор (натрия хлорид, динатрия гидрофосфат дигидрат, натрия дигидрофосфат дигидрат, вода для инъекций).
Ультрикс® Квадри содержит менее 1 ммоль (23 мг) натрия на дозу, то есть, по сути, не содержит натрия.
Ультрикс® Квадри может содержать следовые количества яичного белка — овальбумина (не более 1 мкг на дозу), используемого в производственном процессе.</t>
    </r>
  </si>
  <si>
    <r>
      <rPr>
        <rFont val="Arial"/>
        <color theme="1"/>
      </rPr>
      <t xml:space="preserve">&lt;p&gt;0,5&amp;nbsp;мл (1&amp;nbsp;доза) содержит&lt;/p&gt;
</t>
    </r>
    <r>
      <rPr>
        <rFont val="Arial"/>
        <i/>
        <color theme="1"/>
      </rPr>
      <t>&lt;p&gt;&lt;i&gt;Действующие вещества:</t>
    </r>
    <r>
      <rPr>
        <rFont val="Arial"/>
        <color theme="1"/>
      </rPr>
      <t xml:space="preserve">&lt;/i&gt;
&lt;ul&gt;&lt;li&gt;Антиген вируса гриппа типа&amp;nbsp;A (H₁N₁) — (15±2,0)&amp;nbsp;мкг ГА;&lt;/li&gt;
&lt;li&gt;Антиген вируса гриппа типа&amp;nbsp;А (H₃N₂) — (15±2,0)&amp;nbsp;мкг ГА;&lt;/li&gt;
&lt;li&gt;Антиген вируса гриппа типа&amp;nbsp;В (линия Yamagata) — (15±2,0)&amp;nbsp;мкг ГА;&lt;/li&gt;
&lt;li&gt;Антиген вируса гриппа типа&amp;nbsp;В (линия Victoria) — (15±2,0)&amp;nbsp;мкг ГА.&lt;/li&gt;&lt;/ul&gt;
</t>
    </r>
    <r>
      <rPr>
        <rFont val="Arial"/>
        <i/>
        <color theme="1"/>
      </rPr>
      <t>&lt;i&gt;</t>
    </r>
    <r>
      <rPr>
        <rFont val="Arial"/>
        <color theme="1"/>
      </rPr>
      <t>Перечень вспомогательных веществ:&lt;/i&gt;&lt;br&gt;
Полисорбат&amp;nbsp;80, октоксинол-10, фосфатно-солевой буферный раствор (натрия хлорид, динатрия гидрофосфат дигидрат, натрия дигидрофосфат дигидрат, вода для инъекций).&lt;br&gt;&lt;br&gt;
Ультрикс® Квадри содержит менее 1&amp;nbsp;ммоль (23&amp;nbsp;мг) натрия на дозу, то есть, по сути, не содержит натрия.&lt;br&gt;
Ультрикс® Квадри может содержать следовые количества яичного белка — овальбумина (не более 1&amp;nbsp;мкг на дозу), используемого в производственном процессе.&lt;/p&gt;</t>
    </r>
  </si>
  <si>
    <t>https://lk.regmed.ru/Register/GetPDFfromDA?ID=1612604181</t>
  </si>
  <si>
    <r>
      <rPr>
        <rFont val="Arial"/>
        <color theme="1"/>
      </rPr>
      <t xml:space="preserve">1 доза (0,5 мл) содержит:
</t>
    </r>
    <r>
      <rPr>
        <rFont val="Arial"/>
        <i/>
        <color theme="1"/>
      </rPr>
      <t>Действующие вещества:</t>
    </r>
    <r>
      <rPr>
        <rFont val="Arial"/>
        <color theme="1"/>
      </rPr>
      <t xml:space="preserve">
• Антиген вируса гриппа типа A (H₁N₁)* с содержанием гемагглютинина — 5 мкг.
• Антиген вируса гриппа типа A (H₃N₂)* с содержанием гемагглютинина — 5 мкг.
• Антиген вируса гриппа типа В (линия Yamagata)* с содержанием гемагглютинина — 5 мкг.
• Антиген вируса гриппа типа В (линия Victoria)* с содержанием гемагглютинина — 5 мкг.
• Полиоксидоний®, субстанция-лиофилизат (Азоксимера бромид) — 500 мкг.
* 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
Вакцинные штаммы выращены на куриных эмбрионах.
</t>
    </r>
    <r>
      <rPr>
        <rFont val="Arial"/>
        <i/>
        <color theme="1"/>
      </rPr>
      <t>Перечень вспомогательных веществ:</t>
    </r>
    <r>
      <rPr>
        <rFont val="Arial"/>
        <color theme="1"/>
      </rPr>
      <t xml:space="preserve">
• Фосфатно-солевой буферный раствор.
В составе фосфатно-солевого буферного раствора: калия хлорид, калия дигидрофосфат, динатрия гидрофосфат дигидрат, натрия хлорид, вода для инъекций.</t>
    </r>
  </si>
  <si>
    <t>&lt;p&gt;1&amp;nbsp;доза (0,5&amp;nbsp;мл) содержит:&lt;br&gt;&lt;br&gt;
&lt;i&gt;Действующие вещества:&lt;/i&gt;
&lt;ul&gt;&lt;li&gt;Антиген вируса гриппа типа&amp;nbsp;A (H₁N₁)* с содержанием гемагглютинина — 5&amp;nbsp;мкг.&lt;/li&gt;
&lt;li&gt;Антиген вируса гриппа типа&amp;nbsp;A (H₃N₂)* с содержанием гемагглютинина — 5&amp;nbsp;мкг.&lt;/li&gt;
&lt;li&gt;Антиген вируса гриппа типа&amp;nbsp;В (линия Yamagata)* с содержанием гемагглютинина — 5&amp;nbsp;мкг.&lt;/li&gt;
&lt;li&gt;Антиген вируса гриппа типа&amp;nbsp;В (линия Victoria)* с содержанием гемагглютинина — 5&amp;nbsp;мкг.&lt;/li&gt;
&lt;li&gt;Полиоксидоний®, субстанция-лиофилизат (Азоксимера бромид) — 500&amp;nbsp;мкг.&lt;/li&gt;&lt;/ul&gt;
*&amp;nbsp;Штаммы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полушария.&lt;br&gt;
Вакцинные штаммы выращены на куриных эмбрионах.&lt;br&gt;&lt;br&gt;
&lt;i&gt;Перечень вспомогательных веществ:&lt;/i&gt;
&lt;ul&gt;&lt;li&gt;Фосфатно-солевой буферный раствор.&lt;/li&gt;
В составе фосфатно-солевого буферного раствора: калия хлорид, калия дигидрофосфат, динатрия гидрофосфат дигидрат, натрия хлорид, вода для инъекций.&lt;/ul&gt;&lt;/p&gt;</t>
  </si>
  <si>
    <t>https://grls.rosminzdrav.ru/InstrImg/2025/05/26/1517557/95b8d8b7-23f5-4e99-a4f7-efc667459b50.pdf</t>
  </si>
  <si>
    <r>
      <rPr>
        <rFont val="Arial"/>
        <color theme="1"/>
      </rPr>
      <t xml:space="preserve">Одна прививочная доза препарата содержит:
• Вирус кори — не менее 1000 (3,0 lg) тканевых цитопатогенных доз (ТЦД₅₀).
• Содержит остаточную (технологическую) примесь гентамицина сульфат — не более 20 мкг.
</t>
    </r>
    <r>
      <rPr>
        <rFont val="Arial"/>
        <i/>
        <color theme="1"/>
      </rPr>
      <t>Перечень вспомогательных веществ:</t>
    </r>
    <r>
      <rPr>
        <rFont val="Arial"/>
        <color theme="1"/>
      </rPr>
      <t xml:space="preserve">
• водный раствор ЛС-18¹;
• желатина раствор 10%.
¹ Состав водного раствора ЛС-18: сахароза, лактоза, натрий глутаминовокислый, глицин, L-пролин, Хенкса сухая смесь с феноловым красным, вода для инъекций.</t>
    </r>
  </si>
  <si>
    <r>
      <rPr>
        <rFont val="Arial"/>
        <color theme="1"/>
      </rPr>
      <t xml:space="preserve">&lt;p&gt;Одна прививочная доза препарата содержит:
&lt;ul&gt;&lt;li&gt;Вирус кори — не менее 1000&amp;nbsp;(3,0&amp;nbsp;lg) тканевых цитопатогенных доз (ТЦД₅₀).&lt;/li&gt;
&lt;li&gt;Содержит остаточную (технологическую) примесь гентамицина сульфат — не более 20&amp;nbsp;мкг.&lt;/li&gt;&lt;/ul&gt;
</t>
    </r>
    <r>
      <rPr>
        <rFont val="Arial"/>
        <i/>
        <color theme="1"/>
      </rPr>
      <t>&lt;i&gt;Перечень вспомогательных веществ:</t>
    </r>
    <r>
      <rPr>
        <rFont val="Arial"/>
        <color theme="1"/>
      </rPr>
      <t>&lt;/i&gt;
&lt;ul&gt;&lt;li&gt;водный раствор ЛС-18¹;&lt;/li&gt;
&lt;li&gt;желатина раствор 10%.&lt;/li&gt;&lt;/ul&gt;
¹&amp;nbsp;Состав водного раствора ЛС-18: сахароза, лактоза, натрий глутаминовокислый, глицин, L-пролин, Хенкса сухая смесь с феноловым красным, вода для инъекций.&lt;/p&gt;</t>
    </r>
  </si>
  <si>
    <t>https://lk.regmed.ru/Register/GetPDFfromDA?ID=1581220991</t>
  </si>
  <si>
    <r>
      <rPr>
        <rFont val="Arial"/>
        <color theme="1"/>
      </rPr>
      <t xml:space="preserve">После восстановления 1 доза (0,5 мл) содержит:
• Вирус кори¹, штамм Эдмонстон-Загреб (живой, аттенуированный) — не менее 1000 (3,0 lg) ТЦД₅₀²
¹ культивированный на диплоидных клетках человека MRC-5
² ТЦД₅₀ — статистически определяемое количество вируса, которое должно инфицировать 50% клеточной культуры
Перечень вспомогательных веществ
</t>
    </r>
    <r>
      <rPr>
        <rFont val="Arial"/>
        <i/>
        <color theme="1"/>
      </rPr>
      <t>Лиофилизат:</t>
    </r>
    <r>
      <rPr>
        <rFont val="Arial"/>
        <color theme="1"/>
      </rPr>
      <t xml:space="preserve">
• сорбитол;
• частично гидролизованный желатин L-гистидин;
• L-аланин;
• трицин;
• L-аргинина гидрохлорид лактальбумина гидролизат;
• среда МЕМ.
</t>
    </r>
    <r>
      <rPr>
        <rFont val="Arial"/>
        <i/>
        <color theme="1"/>
      </rPr>
      <t>Растворитель:</t>
    </r>
    <r>
      <rPr>
        <rFont val="Arial"/>
        <color theme="1"/>
      </rPr>
      <t xml:space="preserve">
• вода для инъекций.</t>
    </r>
  </si>
  <si>
    <r>
      <rPr>
        <rFont val="Arial"/>
        <color theme="1"/>
      </rPr>
      <t xml:space="preserve">&lt;p&gt;После восстановления 1&amp;nbsp;доза (0,5&amp;nbsp;мл) содержит:
&lt;ul&gt;&lt;li&gt;Вирус кори¹, штамм Эдмонстон-Загреб (живой, аттенуированный) — не менее 1000&amp;nbsp;(3,0&amp;nbsp;lg)&amp;nbsp;ТЦД₅₀²&lt;/li&gt;&lt;/ul&gt;
¹ культивированный на диплоидных клетках человека MRC-5&lt;br&gt;
² ТЦД₅₀ — статистически определяемое количество вируса, которое должно инфицировать 50% клеточной культуры&lt;br&gt;&lt;br&gt;
Перечень вспомогательных веществ&lt;br&gt;&lt;br&gt;
</t>
    </r>
    <r>
      <rPr>
        <rFont val="Arial"/>
        <i/>
        <color theme="1"/>
      </rPr>
      <t>&lt;i&gt;Лиофилизат:&lt;/i&gt;</t>
    </r>
    <r>
      <rPr>
        <rFont val="Arial"/>
        <color theme="1"/>
      </rPr>
      <t xml:space="preserve">
&lt;ul&gt;&lt;li&gt;сорбитол;&lt;/li&gt;
&lt;li&gt;частично гидролизованный желатин L-гистидин;&lt;/li&gt;
&lt;li&gt;L-аланин;&lt;/li&gt;
&lt;li&gt;трицин;&lt;/li&gt;
&lt;li&gt;L-аргинина гидрохлорид лактальбумина гидролизат;&lt;/li&gt;
&lt;li&gt;среда МЕМ.&lt;/li&gt;&lt;/ul&gt;
</t>
    </r>
    <r>
      <rPr>
        <rFont val="Arial"/>
        <i/>
        <color theme="1"/>
      </rPr>
      <t>&lt;i&gt;Растворитель:&lt;/i&gt;</t>
    </r>
    <r>
      <rPr>
        <rFont val="Arial"/>
        <color theme="1"/>
      </rPr>
      <t xml:space="preserve">
&lt;ul&gt;&lt;li&gt;вода для инъекций.&lt;/li&gt;&lt;/ul&gt;&lt;/p&gt;</t>
    </r>
  </si>
  <si>
    <t>https://grls.rosminzdrav.ru/InstrImg/2025/12/30/1524922/f74ec015-a175-4792-8828-9d0c1f6547ab.pdf</t>
  </si>
  <si>
    <t>Одна прививочная доза (0,5 мл) содержит:
• не менее 1000 тканевых цитопатогенных доз (ТЦД₅₀) вируса кори;
• стабилизатор — смесь 0,04-0,08 мл ЛС-18 и 0,001-0,002 г желатина;
• или смесь по 0,005-0,01 г сорбита и желатозы;
• гентамицина сульфат — не более 10 мкг.</t>
  </si>
  <si>
    <t>&lt;p&gt;Одна прививочная доза (0,5&amp;nbsp;мл) содержит:
&lt;ul&gt;&lt;li&gt;не менее 1000&amp;nbsp;тканевых цитопатогенных доз (ТЦД₅₀) вируса кори;&lt;/li&gt;
&lt;li&gt;стабилизатор — смесь 0,04-0,08&amp;nbsp;мл ЛС-18 и 0,001-0,002&amp;nbsp;г желатина;&lt;/li&gt;
&lt;li&gt;или смесь по 0,005-0,01&amp;nbsp;г сорбита и желатозы;&lt;/li&gt;
&lt;li&gt;гентамицина сульфат — не более 10&amp;nbsp;мкг.&lt;/li&gt;&lt;/ul&gt;&lt;/p&gt;</t>
  </si>
  <si>
    <t>https://grls.rosminzdrav.ru/InstrImg/2020/10/15/1462300/%D0%A0_N001586_01[2007]_0.pdf</t>
  </si>
  <si>
    <r>
      <rPr>
        <rFont val="Arial"/>
        <color theme="1"/>
      </rPr>
      <t xml:space="preserve">Одна прививочная доза препарата содержит:
</t>
    </r>
    <r>
      <rPr>
        <rFont val="Arial"/>
        <i/>
        <color theme="1"/>
      </rPr>
      <t>Действующие вещества:</t>
    </r>
    <r>
      <rPr>
        <rFont val="Arial"/>
        <color theme="1"/>
      </rPr>
      <t xml:space="preserve">
• вирус кори — не менее 1000 (3,0 lg) тканевых цитопатогенных доз (ТЦД₅₀); 
• вирус паротита — не менее 20000 (4,3 lg) ТЦД₅₀.
Примечание. Содержит остаточную (технологическую) примесь гентамицина сульфат — не более 20 мкг.
Перечень вспомогательных веществ:
• водный раствор ЛС-18¹;
• желатина раствор 10 %.
¹ Состав водного раствора ЛС-18: сахароза, лактоза, натрий глутаминовокислый, глицин, L-пролин, Хенкса сухая смесь с феноловым красным, вода для инъекций.</t>
    </r>
  </si>
  <si>
    <r>
      <rPr>
        <rFont val="Arial"/>
        <color theme="1"/>
      </rPr>
      <t xml:space="preserve">&lt;p&gt;Одна прививочная доза препарата содержит:&lt;/p&gt;
</t>
    </r>
    <r>
      <rPr>
        <rFont val="Arial"/>
        <i/>
        <color theme="1"/>
      </rPr>
      <t>&lt;p&gt;&lt;i&gt;Действующие вещества:</t>
    </r>
    <r>
      <rPr>
        <rFont val="Arial"/>
        <color theme="1"/>
      </rPr>
      <t>&lt;/i&gt;
&lt;ul&gt;&lt;li&gt;вирус кори — не менее 1000&amp;nbsp;(3,0&amp;nbsp;lg)&amp;nbsp;тканевых цитопатогенных доз (ТЦД₅₀);&lt;/li&gt;
&lt;li&gt;вирус паротита — не менее 20000&amp;nbsp;(4,3&amp;nbsp;lg)&amp;nbsp;ТЦД₅₀.&lt;/li&gt;&lt;/ul&gt;
Примечание. Содержит остаточную (технологическую) примесь гентамицина сульфат — не более 20&amp;nbsp;мкг.&lt;/p&gt;
&lt;p&gt;&lt;i&gt;Перечень вспомогательных веществ:&lt;/i&gt;
&lt;ul&gt;&lt;li&gt;водный раствор ЛС-18¹;&lt;/li&gt;
&lt;li&gt;желатина раствор 10&amp;nbsp;%.&lt;/li&gt;&lt;/ul&gt;
¹&amp;nbsp;Состав водного раствора ЛС-18: сахароза, лактоза, натрий глутаминовокислый, глицин, L-пролин, Хенкса сухая смесь с феноловым красным, вода для инъекций.&lt;/p&gt;</t>
    </r>
  </si>
  <si>
    <t>https://lk.regmed.ru/Register/GetPDFfromDA?ID=1597558391</t>
  </si>
  <si>
    <r>
      <rPr>
        <rFont val="Arial"/>
        <i/>
        <color theme="1"/>
      </rPr>
      <t>Действующие вещества:</t>
    </r>
    <r>
      <rPr>
        <rFont val="Arial"/>
        <color theme="1"/>
      </rPr>
      <t xml:space="preserve">
После восстановления 1 доза (0,5 мл) содержит:
• Вирус кори¹, штамм Ленинград-16 (Л-16) (живой, аттенуированный) — не менее 1000 (3,0 lg) ТЦД₅₀²;
• Вирус краснухи³, штамм RA 27/3 (живой, аттенуированный) — не менее 1000 (3,0 lg) ТЦД₅₀²;
• Вирус паротита¹, штамм Ленинград-3 (Л-3) (живой, аттенуированный) — не менее 20000 (4,3 lg) ТЦД₅₀².
¹ культивированный на первичной культуре клеток эмбрионов перепелов;
² ТЦД₅₀ — 50-процентная тканевая цитопатическая доза;
³ культивированный на диплоидных клетках человека MRC-5.
</t>
    </r>
    <r>
      <rPr>
        <rFont val="Arial"/>
        <i/>
        <color theme="1"/>
      </rPr>
      <t>Перечень вспомогательных веществ:</t>
    </r>
    <r>
      <rPr>
        <rFont val="Arial"/>
        <color theme="1"/>
      </rPr>
      <t xml:space="preserve">
Лиофилизат:
• водный раствор ЛС-18;
• желатина раствор 10 %.
Состав водного раствора ЛС-18: сахароза, лактоза, натрий глутаминовокислый, глицин, L-пролин, Хенкса сухая смесь с феноловым красным, вода для инъекций.
Растворитель:
• вода для инъекций.</t>
    </r>
  </si>
  <si>
    <r>
      <rPr>
        <rFont val="Arial"/>
        <i/>
        <color theme="1"/>
      </rPr>
      <t>&lt;p&gt;&lt;i&gt;Действующие вещества:&lt;/i&gt;&lt;br&gt;&lt;br&gt;</t>
    </r>
    <r>
      <rPr>
        <rFont val="Arial"/>
        <color theme="1"/>
      </rPr>
      <t xml:space="preserve">
После восстановления 1&amp;nbsp;доза (0,5&amp;nbsp;мл) содержит:
&lt;ul&gt;&lt;li&gt;Вирус кори¹, штамм Ленинград-16 (Л-16) (живой, аттенуированный) — не&amp;nbsp;менее 1000&amp;nbsp;(3,0&amp;nbsp;lg)&amp;nbsp;ТЦД₅₀²;&lt;/li&gt;
&lt;li&gt;Вирус краснухи³, штамм RA&amp;nbsp;27/3 (живой, аттенуированный) — не&amp;nbsp;менее 1000&amp;nbsp;(3,0&amp;nbsp;lg)&amp;nbsp;ТЦД₅₀²;&lt;/li&gt;
&lt;li&gt;Вирус паротита¹, штамм Ленинград-3 (Л-3) (живой, аттенуированный) — не&amp;nbsp;менее 20000&amp;nbsp;(4,3&amp;nbsp;lg)&amp;nbsp;ТЦД₅₀².&lt;/li&gt;&lt;/ul&gt;
¹&amp;nbsp;культивированный на первичной культуре клеток эмбрионов перепелов;&lt;br&gt;
²&amp;nbsp;ТЦД₅₀ — 50-процентная тканевая цитопатическая доза;&lt;br&gt;
³&amp;nbsp;культивированный на диплоидных клетках человека MRC-5.&lt;br&gt;&lt;br&gt;
</t>
    </r>
    <r>
      <rPr>
        <rFont val="Arial"/>
        <i/>
        <color theme="1"/>
      </rPr>
      <t>&lt;i&gt;Перечень вспомогательных веществ:&lt;/i&gt;&lt;br&gt;&lt;br&gt;</t>
    </r>
    <r>
      <rPr>
        <rFont val="Arial"/>
        <color theme="1"/>
      </rPr>
      <t xml:space="preserve">
Лиофилизат:
&lt;ul&gt;&lt;li&gt;водный раствор ЛС-18;&lt;/li&gt;
&lt;li&gt;желатина раствор 10&amp;nbsp;%.&lt;/li&gt;
Состав водного раствора ЛС-18: сахароза, лактоза, натрий глутаминовокислый, глицин, L-пролин, Хенкса сухая смесь с феноловым красным, вода для инъекций.&lt;/ul&gt;
Растворитель:
&lt;ul&gt;&lt;li&gt;вода для инъекций.&lt;/li&gt;&lt;/ul&gt;&lt;/p&gt;</t>
    </r>
  </si>
  <si>
    <t>https://grls.rosminzdrav.ru/InstrImg/2025/06/19/1518378/557245be-23d7-4913-9af3-4fa130d3c97f.pdf</t>
  </si>
  <si>
    <r>
      <rPr>
        <rFont val="Arial"/>
        <color theme="1"/>
      </rPr>
      <t xml:space="preserve">1 доза содержит:
</t>
    </r>
    <r>
      <rPr>
        <rFont val="Arial"/>
        <i/>
        <color theme="1"/>
      </rPr>
      <t>Действующие вещества:</t>
    </r>
    <r>
      <rPr>
        <rFont val="Arial"/>
        <color theme="1"/>
      </rPr>
      <t xml:space="preserve">
• вирус кори с низкой вирулентностью, полученный из аттенуированного (Enders') штамма Edmonston и выращенный в культуре клеток куриного эмбриона, не менее 1000 ТЦД₅₀;
• вирус паротита, полученный из штамма Jeryl Lynn™ (уровень В) и выращенный в культуре клеток куриного эмбриона, не менее 12500 ТЦД₅₀;
• вирус краснухи, полученный из живого аттенуированного штамма Wistar RA 27/3 и выращенный в культуре диплоидных клеток легочных фибробластов человека (WI-38), не менее 1000 ТЦД₅₀.
</t>
    </r>
    <r>
      <rPr>
        <rFont val="Arial"/>
        <i/>
        <color theme="1"/>
      </rPr>
      <t>Вспомогательные вещества:</t>
    </r>
    <r>
      <rPr>
        <rFont val="Arial"/>
        <color theme="1"/>
      </rPr>
      <t xml:space="preserve">
натрия гидрофосфат 2,2 мг, натрия дигидрофосфата моногидрат 3,1 мг, натрия гидрокарбонат 0,5 мг, среда 199 с солями Хенкса 3,3 мг, среда MЕM Игла 0,1 мг, неомицина сульфат 25 мкг, феноловый красный 3,4 мкг, сорбитол 14,5 мг, калия гидрофосфат 30 мкг, калия дигидрофосфат 20 мкг, желатин гидролизованный 14,5 мг, сахароза 1,9 мг, натрия L-глутамата моногидрат 20 мкг.
Примечание: препарат содержит следовые количества альбумина человека рекомбинантного (не более 0,3 мг) и бычьего сывороточного альбумина (не более 50 нг).
Примечание: среда 199 с солями Хенкса представляет собой все порошкообразные Среды 199, которые входят в состав лекарственного препарата, включая Среду 199 с солями Хенкса, Среду 199 10Х модифицированную без глутамина и дополнительные компоненты витамин К и L-глутамин.
</t>
    </r>
    <r>
      <rPr>
        <rFont val="Arial"/>
        <i/>
        <color theme="1"/>
      </rPr>
      <t>Стерильный растворитель:</t>
    </r>
    <r>
      <rPr>
        <rFont val="Arial"/>
        <color theme="1"/>
      </rPr>
      <t xml:space="preserve">
• вода для инъекций: 0,7 мл.
Примечание: первичная упаковка содержит 0,7 мл растворителя для растворения лиофилизата до необходимого объема (0,7 мл). Избыток 0,2 мл необходим для компенсации потерь и обеспечения введения 1 дозы вакцины в объеме 0,5 мл.</t>
    </r>
  </si>
  <si>
    <r>
      <rPr>
        <rFont val="Arial"/>
        <color theme="1"/>
      </rPr>
      <t xml:space="preserve">&lt;p&gt;1&amp;nbsp;доза содержит:&lt;/p&gt;
</t>
    </r>
    <r>
      <rPr>
        <rFont val="Arial"/>
        <i/>
        <color theme="1"/>
      </rPr>
      <t>&lt;p&gt;&lt;i&gt;Действующие вещества:</t>
    </r>
    <r>
      <rPr>
        <rFont val="Arial"/>
        <color theme="1"/>
      </rPr>
      <t xml:space="preserve">&lt;/i&gt;
&lt;ul&gt;&lt;li&gt;вирус кори с низкой вирулентностью, полученный из аттенуированного (Enders') штамма Edmonston и выращенный в культуре клеток куриного эмбриона, не менее 1000&amp;nbsp;ТЦД₅₀;&lt;/li&gt;
&lt;li&gt;вирус паротита, полученный из штамма Jeryl Lynn™ (уровень В) и выращенный в культуре клеток куриного эмбриона, не менее 12500&amp;nbsp;ТЦД₅₀;&lt;/li&gt;
&lt;li&gt;вирус краснухи, полученный из живого аттенуированного штамма Wistar&amp;nbsp;RA&amp;nbsp;27/3 и выращенный в культуре диплоидных клеток легочных фибробластов человека (WI-38), не менее 1000&amp;nbsp;ТЦД₅₀.&lt;/li&gt;&lt;/ul&gt;
</t>
    </r>
    <r>
      <rPr>
        <rFont val="Arial"/>
        <i/>
        <color theme="1"/>
      </rPr>
      <t>&lt;i&gt;Вспомогательные вещества:</t>
    </r>
    <r>
      <rPr>
        <rFont val="Arial"/>
        <color theme="1"/>
      </rPr>
      <t xml:space="preserve">&lt;/i&gt;
&lt;ul&gt;натрия гидрофосфат 2,2&amp;nbsp;мг, натрия дигидрофосфата моногидрат 3,1&amp;nbsp;мг, натрия гидрокарбонат 0,5&amp;nbsp;мг, среда&amp;nbsp;199 с солями Хенкса 3,3&amp;nbsp;мг, среда&amp;nbsp;MЕM&amp;nbsp;Игла 0,1&amp;nbsp;мг, неомицина сульфат 25&amp;nbsp;мкг, феноловый красный 3,4&amp;nbsp;мкг, сорбитол 14,5&amp;nbsp;мг, калия гидрофосфат 30&amp;nbsp;мкг, калия дигидрофосфат 20&amp;nbsp;мкг, желатин гидролизованный 14,5&amp;nbsp;мг, сахароза 1,9&amp;nbsp;мг, натрия L-глутамата моногидрат 20&amp;nbsp;мкг.&lt;/ul&gt;&lt;/p&gt;
&lt;p&gt;Примечание: препарат содержит следовые количества альбумина человека рекомбинантного (не более 0,3&amp;nbsp;мг) и бычьего сывороточного альбумина (не более 50&amp;nbsp;нг).&lt;/p&gt;
&lt;p&gt;Примечание: среда&amp;nbsp;199 с солями Хенкса представляет собой все порошкообразные Среды&amp;nbsp;199, которые входят в состав лекарственного препарата, включая Среду&amp;nbsp;199 с солями Хенкса, Среду&amp;nbsp;199&amp;nbsp;10Х модифицированную без глутамина и дополнительные компоненты витамин К и L-глутамин.&lt;/p&gt;
</t>
    </r>
    <r>
      <rPr>
        <rFont val="Arial"/>
        <i/>
        <color theme="1"/>
      </rPr>
      <t>&lt;p&gt;&lt;i&gt;Стерильный растворитель:</t>
    </r>
    <r>
      <rPr>
        <rFont val="Arial"/>
        <color theme="1"/>
      </rPr>
      <t>&lt;/i&gt;
&lt;ul&gt;&lt;li&gt;вода для инъекций: 0,7&amp;nbsp;мл.&lt;/li&gt;&lt;/ul&gt;
Примечание: первичная упаковка содержит 0,7&amp;nbsp;мл растворителя для растворения лиофилизата до необходимого объема (0,7&amp;nbsp;мл). Избыток 0,2&amp;nbsp;мл необходим для компенсации потерь и обеспечения введения 1&amp;nbsp;дозы вакцины в объеме 0,5&amp;nbsp;мл.&lt;/p&gt;</t>
    </r>
  </si>
  <si>
    <t>https://grls.rosminzdrav.ru/InstrImg/2022/09/20/1485497/ec14bfcf-e7ae-4d2a-8916-3a79e74272eb.pdf</t>
  </si>
  <si>
    <r>
      <rPr>
        <rFont val="Arial"/>
        <color theme="1"/>
      </rPr>
      <t xml:space="preserve">Действующее вещество: очищенный капсульный специфический полисахарид штамма </t>
    </r>
    <r>
      <rPr>
        <rFont val="Arial"/>
        <i/>
        <color theme="1"/>
      </rPr>
      <t xml:space="preserve">Neisseria meningitidis </t>
    </r>
    <r>
      <rPr>
        <rFont val="Arial"/>
        <color theme="1"/>
      </rPr>
      <t>серогруппы А.
1 ампула содержит 250 мкг полисахарида.
Перечень вспомогательных веществ: лактозы моногидрат.
Растворитель: натрия хлорид растворитель для приготовления лекарственных форм для инъекций 0,9%.</t>
    </r>
  </si>
  <si>
    <r>
      <rPr>
        <rFont val="Arial"/>
        <color theme="1"/>
      </rPr>
      <t xml:space="preserve">&lt;p&gt;Действующее вещество: очищенный капсульный специфический полисахарид штамма </t>
    </r>
    <r>
      <rPr>
        <rFont val="Arial"/>
        <i/>
        <color theme="1"/>
      </rPr>
      <t xml:space="preserve">Neisseria meningitidis </t>
    </r>
    <r>
      <rPr>
        <rFont val="Arial"/>
        <color theme="1"/>
      </rPr>
      <t>серогруппы А.&lt;br&gt;
1&amp;nbsp;ампула содержит 250&amp;nbsp;мкг полисахарида.&lt;br&gt;
Перечень вспомогательных веществ: лактозы моногидрат.&lt;br&gt;
Растворитель: натрия хлорид растворитель для приготовления лекарственных форм для инъекций 0,9%.&lt;/p&gt;</t>
    </r>
  </si>
  <si>
    <t>https://lk.regmed.ru/Register/GetPDFfromDA?ID=1583272671</t>
  </si>
  <si>
    <r>
      <rPr>
        <rFont val="Arial"/>
        <color theme="1"/>
      </rPr>
      <t xml:space="preserve">Действующие вещества:
• очищенный капсульный специфический полисахарид штамма </t>
    </r>
    <r>
      <rPr>
        <rFont val="Arial"/>
        <i/>
        <color theme="1"/>
      </rPr>
      <t>N. meningitidis</t>
    </r>
    <r>
      <rPr>
        <rFont val="Arial"/>
        <color theme="1"/>
      </rPr>
      <t xml:space="preserve"> серогруппы А;
• очищенный капсульный специфический полисахарид штамма </t>
    </r>
    <r>
      <rPr>
        <rFont val="Arial"/>
        <i/>
        <color theme="1"/>
      </rPr>
      <t>N. meningitidis</t>
    </r>
    <r>
      <rPr>
        <rFont val="Arial"/>
        <color theme="1"/>
      </rPr>
      <t xml:space="preserve"> серогруппы С.
1 ампула содержит по 250 мкг каждого из полисахаридов.
Перечень вспомогательных веществ: лактозы моногидрат.
Растворитель: натрия хлорид растворитель для приготовления лекарственных форм для инъекций 0,9%.</t>
    </r>
  </si>
  <si>
    <r>
      <rPr>
        <rFont val="Arial"/>
        <color theme="1"/>
      </rPr>
      <t xml:space="preserve">&lt;p&gt;Действующие вещества:
&lt;ul&gt;&lt;li&gt;очищенный капсульный специфический полисахарид штамма </t>
    </r>
    <r>
      <rPr>
        <rFont val="Arial"/>
        <i/>
        <color theme="1"/>
      </rPr>
      <t>N. meningitidis</t>
    </r>
    <r>
      <rPr>
        <rFont val="Arial"/>
        <color theme="1"/>
      </rPr>
      <t xml:space="preserve"> серогруппы А;&lt;/li&gt;
&lt;li&gt;очищенный капсульный специфический полисахарид штамма </t>
    </r>
    <r>
      <rPr>
        <rFont val="Arial"/>
        <i/>
        <color theme="1"/>
      </rPr>
      <t>N. meningitidis</t>
    </r>
    <r>
      <rPr>
        <rFont val="Arial"/>
        <color theme="1"/>
      </rPr>
      <t xml:space="preserve"> серогруппы С.&lt;/li&gt;&lt;/ul&gt;
1&amp;nbsp;ампула содержит по 250&amp;nbsp;мкг каждого из полисахаридов.&lt;br&gt;
Перечень вспомогательных веществ: лактозы моногидрат.&lt;br&gt;
Растворитель: натрия хлорид растворитель для приготовления лекарственных форм для инъекций 0,9%.&lt;/p&gt;</t>
    </r>
  </si>
  <si>
    <t>https://lk.regmed.ru/Register/GetPDFfromDA?ID=1581523381</t>
  </si>
  <si>
    <r>
      <rPr>
        <rFont val="Arial"/>
        <color theme="1"/>
      </rPr>
      <t xml:space="preserve">Одна доза вакцины (0,5 мл) содержит:
</t>
    </r>
    <r>
      <rPr>
        <rFont val="Arial"/>
        <i/>
        <color theme="1"/>
      </rPr>
      <t>Действующие вещества:</t>
    </r>
    <r>
      <rPr>
        <rFont val="Arial"/>
        <color theme="1"/>
      </rPr>
      <t xml:space="preserve">
• Менингококковый полисахарид серогруппы А¹ — 4 мкг.
• Менингококковый полисахарид серогруппы C¹ — 4 мкг.
• Менингококковый полисахарид серогруппы Y¹ — 4 мкг.
• Менингококковый полисахарид серогруппы W-135¹ — 4 мкг.
¹ Конъюгированный с белком-носителем — дифтерийным анатоксином — ∼48 мкг.
</t>
    </r>
    <r>
      <rPr>
        <rFont val="Arial"/>
        <i/>
        <color theme="1"/>
      </rPr>
      <t>Перечень вспомогательных веществ:</t>
    </r>
    <r>
      <rPr>
        <rFont val="Arial"/>
        <color theme="1"/>
      </rPr>
      <t xml:space="preserve">
Натрия хлорид, натрия гидрофосфат, натрия дигидрофосфата моногидрат, вода для инъекций.</t>
    </r>
  </si>
  <si>
    <r>
      <rPr>
        <rFont val="Arial"/>
        <color theme="1"/>
      </rPr>
      <t xml:space="preserve">&lt;p&gt;Одна доза вакцины (0,5&amp;nbsp;мл) содержит:&lt;br&gt;&lt;br&gt;
</t>
    </r>
    <r>
      <rPr>
        <rFont val="Arial"/>
        <i/>
        <color theme="1"/>
      </rPr>
      <t>&lt;i&gt;Действующие вещества:&lt;/i&gt;</t>
    </r>
    <r>
      <rPr>
        <rFont val="Arial"/>
        <color theme="1"/>
      </rPr>
      <t xml:space="preserve">
&lt;ul&gt;&lt;li&gt;Менингококковый полисахарид серогруппы А¹ — 4&amp;nbsp;мкг.&lt;/li&gt;
&lt;li&gt;Менингококковый полисахарид серогруппы C¹ — 4&amp;nbsp;мкг.&lt;/li&gt;
&lt;li&gt;Менингококковый полисахарид серогруппы Y¹ — 4&amp;nbsp;мкг.&lt;/li&gt;
&lt;li&gt;Менингококковый полисахарид серогруппы W-135¹ — 4&amp;nbsp;мкг.&lt;/li&gt;&lt;/ul&gt;
¹&amp;nbsp;Конъюгированный с белком-носителем — дифтерийным анатоксином — ∼48&amp;nbsp;мкг.&lt;br&gt;&lt;br&gt;
</t>
    </r>
    <r>
      <rPr>
        <rFont val="Arial"/>
        <i/>
        <color theme="1"/>
      </rPr>
      <t>&lt;i&gt;Перечень вспомогательных веществ:</t>
    </r>
    <r>
      <rPr>
        <rFont val="Arial"/>
        <color theme="1"/>
      </rPr>
      <t>&lt;/i&gt;&lt;br&gt;
Натрия хлорид, натрия гидрофосфат, натрия дигидрофосфата моногидрат, вода для инъекций.&lt;/p&gt;</t>
    </r>
  </si>
  <si>
    <t>https://lk.regmed.ru/Register/GetPDFfromDA?ID=1574028031</t>
  </si>
  <si>
    <r>
      <rPr>
        <rFont val="Arial"/>
        <color theme="1"/>
      </rPr>
      <t xml:space="preserve">Одна прививочная доза препарата содержит:
• Вирус паротита — не менее 20000 (4,3 lg) тканевых цитопатогенных доз ТЦД₅₀.
Содержит остаточную (технологическую) примесь гентамицина сульфат не более 20 мкг.
</t>
    </r>
    <r>
      <rPr>
        <rFont val="Arial"/>
        <i/>
        <color theme="1"/>
      </rPr>
      <t>Перечень вспомогательных веществ:</t>
    </r>
    <r>
      <rPr>
        <rFont val="Arial"/>
        <color theme="1"/>
      </rPr>
      <t xml:space="preserve">
• водный раствор ЛС-18¹;
• желатина раствор 10%.
Примечание.
¹ Состав водного раствора ЛС-18: сахароза, лактоза, натрий глутаминовокислый, глицин, L-пролин, Хенкса сухая смесь с феноловым красным, вода для инъекций.</t>
    </r>
  </si>
  <si>
    <r>
      <rPr>
        <rFont val="Arial"/>
        <color theme="1"/>
      </rPr>
      <t xml:space="preserve">&lt;p&gt;Одна прививочная доза препарата содержит:
&lt;ul&gt;&lt;li&gt;Вирус паротита — не менее 20000 (4,3&amp;nbsp;lg) тканевых цитопатогенных доз ТЦД₅₀.&lt;/li&gt;&lt;/ul&gt;
Содержит остаточную (технологическую) примесь гентамицина сульфат не более 20&amp;nbsp;мкг.&lt;br&gt;&lt;br&gt;
</t>
    </r>
    <r>
      <rPr>
        <rFont val="Arial"/>
        <i/>
        <color theme="1"/>
      </rPr>
      <t>&lt;i&gt;Перечень вспомогательных веществ:</t>
    </r>
    <r>
      <rPr>
        <rFont val="Arial"/>
        <color theme="1"/>
      </rPr>
      <t>&lt;/i&gt;
&lt;ul&gt;&lt;li&gt;водный раствор ЛС-18¹;&lt;/li&gt;
&lt;li&gt;желатина раствор 10%.&lt;/li&gt;&lt;/ul&gt;
Примечание.&lt;br&gt;
¹&amp;nbsp;Состав водного раствора ЛС-18: сахароза, лактоза, натрий глутаминовокислый, глицин, L-пролин, Хенкса сухая смесь с феноловым красным, вода для инъекций.&lt;/p&gt;</t>
    </r>
  </si>
  <si>
    <t>https://lk.regmed.ru/Register/GetPDFfromDA?ID=1594767771</t>
  </si>
  <si>
    <r>
      <rPr>
        <rFont val="Arial"/>
        <color theme="1"/>
      </rPr>
      <t xml:space="preserve">Одна доза (0,5 мл) суспензии содержит:
</t>
    </r>
    <r>
      <rPr>
        <rFont val="Arial"/>
        <i/>
        <color theme="1"/>
      </rPr>
      <t>Действующие вещества:</t>
    </r>
    <r>
      <rPr>
        <rFont val="Arial"/>
        <color theme="1"/>
      </rPr>
      <t xml:space="preserve">
Пневмококковые конъюгаты¹ (полисахарид — CRM₁₉₇):
• пневмококковый полисахарид серотипа 1 — 2,2 мкг;
• пневмококковый полисахарид серотипа 3 — 2,2 мкг;
• пневмококковый полисахарид серотипа 4 — 2,2 мкг;
• пневмококковый полисахарид серотипа 5 — 2,2 мкг;
• пневмококковый полисахарид серотипа 6A — 2,2 мкг;
• пневмококковый полисахарид серотипа 6B — 4,4 мкг;
• пневмококковый полисахарид серотипа 7F — 2,2 мкг;
• пневмококковый полисахарид серотипа 9V — 2,2 мкг;
• пневмококковый полисахарид серотипа 14 — 2,2 мкг;
• пневмококковый олигосахарид серотипа 18C — 2,2 мкг;
• пневмококковый полисахарид серотипа 19A — 2,2 мкг;
• пневмококковый полисахарид серотипа 19F — 2,2 мкг;
• пневмококковый полисахарид серотипа 23F — 2,2 мкг.
¹ Конъюгированы с белком-носителем CRM₁₉₇ и адсорбированы на фосфате алюминия.
1 доза (0,5 мл) содержит приблизительно 32 мкг белка-носителя CRM₁₉₇ и 0,125 мг алюминия (в качестве адъюванта).
</t>
    </r>
    <r>
      <rPr>
        <rFont val="Arial"/>
        <i/>
        <color theme="1"/>
      </rPr>
      <t>Перечень вспомогательных веществ:</t>
    </r>
    <r>
      <rPr>
        <rFont val="Arial"/>
        <color theme="1"/>
      </rPr>
      <t xml:space="preserve">
• Натрия хлорид.
• Янтарная кислота.
• Полисорбат 80.
• Вода для инъекций.</t>
    </r>
  </si>
  <si>
    <r>
      <rPr>
        <rFont val="Arial"/>
        <color theme="1"/>
      </rPr>
      <t xml:space="preserve">&lt;p&gt;Одна доза (0,5&amp;nbsp;мл) суспензии содержит:&lt;br&gt;&lt;br&gt;
</t>
    </r>
    <r>
      <rPr>
        <rFont val="Arial"/>
        <i/>
        <color theme="1"/>
      </rPr>
      <t>&lt;i&gt;Действующие вещества:</t>
    </r>
    <r>
      <rPr>
        <rFont val="Arial"/>
        <color theme="1"/>
      </rPr>
      <t xml:space="preserve">&lt;/i&gt;
&lt;ul&gt;Пневмококковые конъюгаты¹ (полисахарид — CRM₁₉₇):
&lt;li&gt;пневмококковый полисахарид серотипа 1 — 2,2&amp;nbsp;мкг;&lt;/li&gt;
&lt;li&gt;пневмококковый полисахарид серотипа 3 — 2,2&amp;nbsp;мкг;&lt;/li&gt;
&lt;li&gt;пневмококковый полисахарид серотипа 4 — 2,2&amp;nbsp;мкг;&lt;/li&gt;
&lt;li&gt;пневмококковый полисахарид серотипа 5 — 2,2&amp;nbsp;мкг;&lt;/li&gt;
&lt;li&gt;пневмококковый полисахарид серотипа 6A — 2,2&amp;nbsp;мкг;&lt;/li&gt;
&lt;li&gt;пневмококковый полисахарид серотипа 6B — 4,4&amp;nbsp;мкг;&lt;/li&gt;
&lt;li&gt;пневмококковый полисахарид серотипа 7F — 2,2&amp;nbsp;мкг;&lt;/li&gt;
&lt;li&gt;пневмококковый полисахарид серотипа 9V — 2,2&amp;nbsp;мкг;&lt;/li&gt;
&lt;li&gt;пневмококковый полисахарид серотипа 14 — 2,2&amp;nbsp;мкг;&lt;/li&gt;
&lt;li&gt;пневмококковый олигосахарид серотипа 18C — 2,2&amp;nbsp;мкг;&lt;/li&gt;
&lt;li&gt;пневмококковый полисахарид серотипа 19A — 2,2&amp;nbsp;мкг;&lt;/li&gt;
&lt;li&gt;пневмококковый полисахарид серотипа 19F — 2,2&amp;nbsp;мкг;&lt;/li&gt;
&lt;li&gt;пневмококковый полисахарид серотипа 23F — 2,2&amp;nbsp;мкг.&lt;/li&gt;&lt;/ul&gt;
¹&amp;nbsp;Конъюгированы с белком-носителем CRM₁₉₇ и адсорбированы на фосфате алюминия.&lt;/p&gt;
&lt;p&gt;1&amp;nbsp;доза (0,5&amp;nbsp;мл) содержит приблизительно 32&amp;nbsp;мкг белка-носителя CRM₁₉₇ и 0,125&amp;nbsp;мг алюминия (в качестве адъюванта).&lt;br&gt;&lt;br&gt;
</t>
    </r>
    <r>
      <rPr>
        <rFont val="Arial"/>
        <i/>
        <color theme="1"/>
      </rPr>
      <t>&lt;i&gt;Перечень вспомогательных веществ:</t>
    </r>
    <r>
      <rPr>
        <rFont val="Arial"/>
        <color theme="1"/>
      </rPr>
      <t>&lt;/i&gt;
&lt;ul&gt;&lt;li&gt;Натрия хлорид.&lt;/li&gt;
&lt;li&gt;Янтарная кислота.&lt;/li&gt;
&lt;li&gt;Полисорбат&amp;nbsp;80.&lt;/li&gt;
&lt;li&gt;Вода для инъекций.&lt;/li&gt;&lt;/ul&gt;&lt;/p&gt;</t>
    </r>
  </si>
  <si>
    <t>https://lk.regmed.ru/Register/GetPDFfromDA?ID=1544529771</t>
  </si>
  <si>
    <r>
      <rPr>
        <rFont val="Arial"/>
        <color theme="1"/>
      </rPr>
      <t xml:space="preserve">1 доза (0,5 мл) содержит: 
</t>
    </r>
    <r>
      <rPr>
        <rFont val="Arial"/>
        <i/>
        <color theme="1"/>
      </rPr>
      <t>Действующие вещества:</t>
    </r>
    <r>
      <rPr>
        <rFont val="Arial"/>
        <color theme="1"/>
      </rPr>
      <t xml:space="preserve">
</t>
    </r>
    <r>
      <rPr>
        <rFont val="Arial"/>
        <i/>
        <color theme="1"/>
      </rPr>
      <t>Полисахариды Streptococcus pneumoniae, конъюгированные с белками-носителями:</t>
    </r>
    <r>
      <rPr>
        <rFont val="Arial"/>
        <color theme="1"/>
      </rPr>
      <t xml:space="preserve">
• Полисахарид серотипа 1 — 1 мкг/PD.
• Полисахарид серотипа 4 — 3 мкг/PD.
• Полисахарид серотипа 5 — 1 мкг/PD.
• Полисахарид серотипа 6B — 1 мкг/PD.
• Полисахарид серотипа 7F — 1 мкг/PD.
• Полисахарид серотипа 9V — 1 мкг/PD.
• Полисахарид серотипа 14 — 1 мкг/PD.
• Полисахарид серотипа 18C — 3 мкг/TT.
• Полисахарид серотипа 19F — - 3 мкг/DT.
• Полисахарид серотипа 23F — 1 мкг/PD.
</t>
    </r>
    <r>
      <rPr>
        <rFont val="Arial"/>
        <i/>
        <color theme="1"/>
      </rPr>
      <t>Белки-носители (общее количество):</t>
    </r>
    <r>
      <rPr>
        <rFont val="Arial"/>
        <color theme="1"/>
      </rPr>
      <t xml:space="preserve">
• PD: D-протеин Haemophilus influenzae — 9-16 мкг*.
• TT: анатоксин столбнячный — 5-10 мкг*.
• DT: анатоксин дифтерийный — 3-6 мкг*.
</t>
    </r>
    <r>
      <rPr>
        <rFont val="Arial"/>
        <i/>
        <color theme="1"/>
      </rPr>
      <t>Вспомогательные вещества:</t>
    </r>
    <r>
      <rPr>
        <rFont val="Arial"/>
        <color theme="1"/>
      </rPr>
      <t xml:space="preserve">
• Алюминия фосфат (в пересчете на алюминий) — 0,5 мг.
• Натрия хлорид — ∼4,4 мг.
• Вода для инъекций — до 0,5 мл.
* - Состав препарата основан на содержании полисахаридов, а индивидуальное содержание белка-носителя зависит от отношения «полисахарид/белок».</t>
    </r>
  </si>
  <si>
    <r>
      <rPr>
        <rFont val="Arial"/>
        <color theme="1"/>
      </rPr>
      <t xml:space="preserve">&lt;p&gt;1&amp;nbsp;доза (0,5&amp;nbsp;мл) содержит:&lt;/p&gt;
</t>
    </r>
    <r>
      <rPr>
        <rFont val="Arial"/>
        <i/>
        <color theme="1"/>
      </rPr>
      <t>&lt;p&gt;&lt;i&gt;Действующие вещества:&lt;/i&gt;</t>
    </r>
    <r>
      <rPr>
        <rFont val="Arial"/>
        <color theme="1"/>
      </rPr>
      <t xml:space="preserve">
</t>
    </r>
    <r>
      <rPr>
        <rFont val="Arial"/>
        <i/>
        <color theme="1"/>
      </rPr>
      <t>&lt;ul&gt;&lt;i&gt;Полисахариды Streptococcus pneumoniae, конъюгированные с белками-носителями:</t>
    </r>
    <r>
      <rPr>
        <rFont val="Arial"/>
        <color theme="1"/>
      </rPr>
      <t xml:space="preserve">&lt;/i&gt;
&lt;li&gt;Полисахарид серотипа&amp;nbsp;1 — 1&amp;nbsp;мкг/PD.&lt;/li&gt;
&lt;li&gt;Полисахарид серотипа&amp;nbsp;4 — 3&amp;nbsp;мкг/PD.&lt;/li&gt;
&lt;li&gt;Полисахарид серотипа&amp;nbsp;5 — 1&amp;nbsp;мкг/PD.&lt;/li&gt;
&lt;li&gt;Полисахарид серотипа&amp;nbsp;6B — 1&amp;nbsp;мкг/PD.&lt;/li&gt;
&lt;li&gt;Полисахарид серотипа&amp;nbsp;7F — 1&amp;nbsp;мкг/PD.&lt;/li&gt;
&lt;li&gt;Полисахарид серотипа&amp;nbsp;9V — 1&amp;nbsp;мкг/PD.&lt;/li&gt;
&lt;li&gt;Полисахарид серотипа&amp;nbsp;14 — 1&amp;nbsp;мкг/PD.&lt;/li&gt;
&lt;li&gt;Полисахарид серотипа&amp;nbsp;18C — 3&amp;nbsp;мкг/TT.&lt;/li&gt;
&lt;li&gt;Полисахарид серотипа&amp;nbsp;19F — 3&amp;nbsp;мкг/DT.&lt;/li&gt;
&lt;li&gt;Полисахарид серотипа&amp;nbsp;23F — 1&amp;nbsp;мкг/PD.&lt;/li&gt;&lt;/ul&gt;
</t>
    </r>
    <r>
      <rPr>
        <rFont val="Arial"/>
        <i/>
        <color theme="1"/>
      </rPr>
      <t>&lt;ul&gt;&lt;i&gt;Белки-носители (общее количество):</t>
    </r>
    <r>
      <rPr>
        <rFont val="Arial"/>
        <color theme="1"/>
      </rPr>
      <t xml:space="preserve">&lt;/i&gt;
&lt;li&gt;PD: D-протеин Haemophilus influenzae — 9-16&amp;nbsp;мкг*.&lt;/li&gt;
&lt;li&gt;TT: анатоксин столбнячный — 5-10&amp;nbsp;мкг*.&lt;/li&gt;
&lt;li&gt;DT: анатоксин дифтерийный — 3-6&amp;nbsp;мкг*.&lt;/li&gt;&lt;/ul&gt;&lt;/p&gt;
</t>
    </r>
    <r>
      <rPr>
        <rFont val="Arial"/>
        <i/>
        <color theme="1"/>
      </rPr>
      <t>&lt;p&gt;&lt;i&gt;Вспомогательные вещества</t>
    </r>
    <r>
      <rPr>
        <rFont val="Arial"/>
        <color theme="1"/>
      </rPr>
      <t>:&lt;/i&gt;
&lt;ul&gt;&lt;li&gt;Алюминия фосфат (в пересчете на алюминий) — 0,5&amp;nbsp;мг.&lt;/li&gt;
&lt;li&gt;Натрия хлорид — ∼4,4&amp;nbsp;мг.&lt;/li&gt;
&lt;li&gt;Вода для инъекций — до 0,5&amp;nbsp;мл.&lt;/li&gt;&lt;/ul&gt;&lt;/p&gt;
&lt;p&gt;* - Состав препарата основан на содержании полисахаридов, а индивидуальное содержание белка-носителя зависит от отношения «полисахарид/белок».&lt;/p&gt;</t>
    </r>
  </si>
  <si>
    <t>https://grls.rosminzdrav.ru/InstrImg/2021/1/12/1464953/%D0%9B%D0%9F-001412[2019]_0.pdf</t>
  </si>
  <si>
    <r>
      <rPr>
        <rFont val="Arial"/>
        <color theme="1"/>
      </rPr>
      <t xml:space="preserve">Одна доза (0,5 мл) содержит:
</t>
    </r>
    <r>
      <rPr>
        <rFont val="Arial"/>
        <i/>
        <color theme="1"/>
      </rPr>
      <t>Действующие вещества</t>
    </r>
    <r>
      <rPr>
        <rFont val="Arial"/>
        <color theme="1"/>
      </rPr>
      <t xml:space="preserve">:
</t>
    </r>
    <r>
      <rPr>
        <rFont val="Arial"/>
        <i/>
        <color theme="1"/>
      </rPr>
      <t>Streptococcus pneumoniae</t>
    </r>
    <r>
      <rPr>
        <rFont val="Arial"/>
        <color theme="1"/>
      </rPr>
      <t xml:space="preserve"> полисахариды (по датской номенклатуре серотипы 1, 2, 3, 4, 5, 6B, 7F, 8, 9N, 9V, 10А, 11А, 12F, 14, 15В, 17F, 18С, 19А, 19F, 20, 22F, 23F, 33F) по 25 мкг 
каждого серотипа.
</t>
    </r>
    <r>
      <rPr>
        <rFont val="Arial"/>
        <i/>
        <color theme="1"/>
      </rPr>
      <t>Перечень вспомогательных веществ:</t>
    </r>
    <r>
      <rPr>
        <rFont val="Arial"/>
        <color theme="1"/>
      </rPr>
      <t xml:space="preserve">
• Натрия хлорид.
• Фенол.
• Вода для инъекций.</t>
    </r>
  </si>
  <si>
    <r>
      <rPr>
        <rFont val="Arial"/>
        <color theme="1"/>
      </rPr>
      <t xml:space="preserve">&lt;p&gt;Одна доза (0,5&amp;nbsp;мл) содержит:&lt;/p&gt;
</t>
    </r>
    <r>
      <rPr>
        <rFont val="Arial"/>
        <i/>
        <color theme="1"/>
      </rPr>
      <t>&lt;p&gt;&lt;i&gt;Действующие вещества:&lt;/i&gt;&lt;br&gt;</t>
    </r>
    <r>
      <rPr>
        <rFont val="Arial"/>
        <color theme="1"/>
      </rPr>
      <t xml:space="preserve">
</t>
    </r>
    <r>
      <rPr>
        <rFont val="Arial"/>
        <i/>
        <color theme="1"/>
      </rPr>
      <t>&lt;i&gt;Streptococcus pneumoniae&lt;/i&gt;</t>
    </r>
    <r>
      <rPr>
        <rFont val="Arial"/>
        <color theme="1"/>
      </rPr>
      <t xml:space="preserve"> полисахариды (по датской номенклатуре серотипы 1, 2, 3, 4, 5, 6B, 7F, 8, 9N, 9V, 10А, 11А, 12F, 14, 15В, 17F, 18С, 19А, 19F, 20, 22F, 23F, 33F) по 25&amp;nbsp;мкг 
каждого серотипа.&lt;br&gt;&lt;br&gt;
</t>
    </r>
    <r>
      <rPr>
        <rFont val="Arial"/>
        <i/>
        <color theme="1"/>
      </rPr>
      <t>&lt;i&gt;</t>
    </r>
    <r>
      <rPr>
        <rFont val="Arial"/>
        <color theme="1"/>
      </rPr>
      <t>Перечень вспомогательных веществ:&lt;/i&gt;
&lt;ul&gt;&lt;li&gt;Натрия хлорид.&lt;/li&gt;
&lt;li&gt;Фенол.&lt;/li&gt;
&lt;li&gt;Вода для инъекций.&lt;/li&gt;&lt;/ul&gt;&lt;/p&gt;</t>
    </r>
  </si>
  <si>
    <t>https://lk.regmed.ru/Register/GetPDFfromDA?ID=1509638211</t>
  </si>
  <si>
    <r>
      <rPr>
        <rFont val="Arial"/>
        <color theme="1"/>
      </rPr>
      <t xml:space="preserve">Одна прививочная доза 0,2 мл — 4 капли содержит:
</t>
    </r>
    <r>
      <rPr>
        <rFont val="Arial"/>
        <i/>
        <color theme="1"/>
      </rPr>
      <t>Действующее вещество:</t>
    </r>
    <r>
      <rPr>
        <rFont val="Arial"/>
        <color theme="1"/>
      </rPr>
      <t xml:space="preserve">
Вирус полиомиелита, аттенуированный штамм Сэбина 2 типа  не менее 10⁵·⁰ инфекционных единиц (ИЕ) вируса, выраженных в тканевых цитопатогенных дозах (ТЦД₅₀).
</t>
    </r>
    <r>
      <rPr>
        <rFont val="Arial"/>
        <i/>
        <color theme="1"/>
      </rPr>
      <t>Вспомогательные вещества:</t>
    </r>
    <r>
      <rPr>
        <rFont val="Arial"/>
        <color theme="1"/>
      </rPr>
      <t xml:space="preserve">
Магния хлорид — 0,018 г.</t>
    </r>
  </si>
  <si>
    <r>
      <rPr>
        <rFont val="Arial"/>
        <color theme="1"/>
      </rPr>
      <t xml:space="preserve">&lt;p&gt;Одна прививочная доза 0,2&amp;nbsp;мл — 4&amp;nbsp;капли содержит:&lt;/p&gt;
</t>
    </r>
    <r>
      <rPr>
        <rFont val="Arial"/>
        <i/>
        <color theme="1"/>
      </rPr>
      <t>&lt;p&gt;&lt;i&gt;Действующее вещество:</t>
    </r>
    <r>
      <rPr>
        <rFont val="Arial"/>
        <color theme="1"/>
      </rPr>
      <t xml:space="preserve">&lt;/i&gt;&lt;br&gt;
Вирус полиомиелита, аттенуированный штамм Сэбина 2&amp;nbsp;типа  не менее 10⁵&lt;sup&gt;,&lt;/sup&gt;⁰&amp;nbsp;инфекционных единиц (ИЕ) вируса, выраженных в тканевых цитопатогенных дозах (ТЦД₅₀).&lt;/p&gt;
</t>
    </r>
    <r>
      <rPr>
        <rFont val="Arial"/>
        <i/>
        <color theme="1"/>
      </rPr>
      <t>&lt;p&gt;&lt;i&gt;Вспомогательные вещества:</t>
    </r>
    <r>
      <rPr>
        <rFont val="Arial"/>
        <color theme="1"/>
      </rPr>
      <t>&lt;/i&gt;&lt;br&gt;
Магния хлорид — 0,018&amp;nbsp;г.&lt;/p&gt;</t>
    </r>
  </si>
  <si>
    <t>https://grls.rosminzdrav.ru/InstrImg/2022/07/11/1482961/7ca870d6-4357-4c0d-8ba4-f49b758dfd88.pdf</t>
  </si>
  <si>
    <r>
      <rPr>
        <rFont val="Arial"/>
        <color theme="1"/>
      </rPr>
      <t xml:space="preserve">Одна доза 0,2 мл — 4 капли содержит:
</t>
    </r>
    <r>
      <rPr>
        <rFont val="Arial"/>
        <i/>
        <color theme="1"/>
      </rPr>
      <t>Действующее вещество:</t>
    </r>
    <r>
      <rPr>
        <rFont val="Arial"/>
        <color theme="1"/>
      </rPr>
      <t xml:space="preserve"> вирус полиомиелита, аттенуированные штаммы Сэбина тип 1 не менее 10⁶·⁰ ТЦД₅₀, тип 3 не менее 10⁵·⁵ ТЦД₅₀ инфекционных единиц (ИЕ) вируса, выраженных в тканевых цитопатогенных дозах (ТЦД₅₀).
</t>
    </r>
    <r>
      <rPr>
        <rFont val="Arial"/>
        <i/>
        <color theme="1"/>
      </rPr>
      <t>Вспомогательные вещества:</t>
    </r>
    <r>
      <rPr>
        <rFont val="Arial"/>
        <color theme="1"/>
      </rPr>
      <t xml:space="preserve"> магния хлорид 0,018 г.</t>
    </r>
  </si>
  <si>
    <r>
      <rPr>
        <rFont val="Arial"/>
        <color theme="1"/>
      </rPr>
      <t xml:space="preserve">&lt;p&gt;Одна доза 0,2&amp;nbsp;мл — 4&amp;nbsp;капли содержит:&lt;/p&gt;
</t>
    </r>
    <r>
      <rPr>
        <rFont val="Arial"/>
        <i/>
        <color theme="1"/>
      </rPr>
      <t>&lt;p&gt;&lt;i&gt;Действующее вещество:</t>
    </r>
    <r>
      <rPr>
        <rFont val="Arial"/>
        <color theme="1"/>
      </rPr>
      <t xml:space="preserve">&lt;/i&gt; вирус полиомиелита, аттенуированные штаммы Сэбина тип&amp;nbsp;1 не менее 10⁶&lt;sup&gt;,&lt;/sup&gt;⁰&amp;nbsp;ТЦД₅₀, тип&amp;nbsp;3 не менее 10⁵&lt;sup&gt;,&lt;/sup&gt;⁵&amp;nbsp;ТЦД₅₀ инфекционных единиц (ИЕ) вируса, выраженных в тканевых цитопатогенных дозах (ТЦД₅₀).&lt;/p&gt;
</t>
    </r>
    <r>
      <rPr>
        <rFont val="Arial"/>
        <i/>
        <color theme="1"/>
      </rPr>
      <t>&lt;p&gt;&lt;i&gt;Вспомогательные вещества:&lt;/i&gt;</t>
    </r>
    <r>
      <rPr>
        <rFont val="Arial"/>
        <color theme="1"/>
      </rPr>
      <t xml:space="preserve"> магния хлорид 0,018&amp;nbsp;г.&lt;/p&gt;</t>
    </r>
  </si>
  <si>
    <t>https://grls.rosminzdrav.ru/InstrImg/2025/07/25/1519625/ca601e77-829c-48a9-b9b5-204e5b86aa88.pdf</t>
  </si>
  <si>
    <r>
      <rPr>
        <rFont val="Arial"/>
        <color theme="1"/>
      </rPr>
      <t xml:space="preserve">Состав на одну дозу (0,5 мл):
</t>
    </r>
    <r>
      <rPr>
        <rFont val="Arial"/>
        <i/>
        <color theme="1"/>
      </rPr>
      <t>Активный компонент:</t>
    </r>
    <r>
      <rPr>
        <rFont val="Arial"/>
        <color theme="1"/>
      </rPr>
      <t xml:space="preserve">
• вирус полиомиелита тип 1 — 40 ЕД D-антигена;
• вирус полиомиелита тип 2 — 8 ЕД D-антигена;
• вирус полиомиелита тип 3 — 32 ЕД D-антигена.
</t>
    </r>
    <r>
      <rPr>
        <rFont val="Arial"/>
        <i/>
        <color theme="1"/>
      </rPr>
      <t>Вспомогательные вещества:</t>
    </r>
    <r>
      <rPr>
        <rFont val="Arial"/>
        <color theme="1"/>
      </rPr>
      <t xml:space="preserve">
• 2-феноксиэтанол — 2,5 мг;
• формальдегид — 0,0125 мг;
 натрий-фосфатный буфер 0,1 М, pH 7, содержащий:
• натрия фосфат двузамещенный дигидрат — 0,43 мг;
• натрия фосфат однозамещенный моногидрат — 0,22 мг;
концентрированная жидкость для разведения, содержащая:
• натрия хлорид — 2,96 мг;
• калия хлорид — 0,16 мг;
• магния сульфат гептагидрат — 0,08 мг;
• феноловый красный — 0,008 мг;
• кальция хлорид дигидрат — 0,08 мг;
• вода для инъекций — до 0,5 мл.</t>
    </r>
  </si>
  <si>
    <r>
      <rPr>
        <rFont val="Arial"/>
        <color theme="1"/>
      </rPr>
      <t xml:space="preserve">&lt;p&gt;Состав на одну дозу (0,5&amp;nbsp;мл):&lt;/p&gt;
</t>
    </r>
    <r>
      <rPr>
        <rFont val="Arial"/>
        <i/>
        <color theme="1"/>
      </rPr>
      <t>&lt;p&gt;&lt;i&gt;Активный компонент:</t>
    </r>
    <r>
      <rPr>
        <rFont val="Arial"/>
        <color theme="1"/>
      </rPr>
      <t xml:space="preserve">&lt;/i&gt;
&lt;ul&gt;&lt;li&gt;вирус полиомиелита тип&amp;nbsp;1 — 40&amp;nbsp;ЕД D-антигена;&lt;/li&gt;
&lt;li&gt;вирус полиомиелита тип&amp;nbsp;2 — 8&amp;nbsp;ЕД D-антигена;&lt;/li&gt;
&lt;li&gt;вирус полиомиелита тип&amp;nbsp;3 — 32&amp;nbsp;ЕД D-антигена.&lt;/li&gt;&lt;/ul&gt;
</t>
    </r>
    <r>
      <rPr>
        <rFont val="Arial"/>
        <i/>
        <color theme="1"/>
      </rPr>
      <t>&lt;i&gt;Вспомогательные вещества:</t>
    </r>
    <r>
      <rPr>
        <rFont val="Arial"/>
        <color theme="1"/>
      </rPr>
      <t>&lt;/i&gt;
&lt;ul&gt;&lt;li&gt;2-феноксиэтанол — 2,5&amp;nbsp;мг;&lt;/li&gt;
&lt;li&gt;формальдегид — 0,0125&amp;nbsp;мг;&lt;/li&gt;
натрий-фосфатный буфер&amp;nbsp;0,1&amp;nbsp;М, pH&amp;nbsp;7, содержащий:
&lt;li&gt;натрия фосфат двузамещенный дигидрат — 0,43&amp;nbsp;мг;&lt;/li&gt;
&lt;li&gt;натрия фосфат однозамещенный моногидрат — 0,22&amp;nbsp;мг;&lt;/li&gt;
концентрированная жидкость для разведения, содержащая:
&lt;li&gt;натрия хлорид — 2,96&amp;nbsp;мг;&lt;/li&gt;
&lt;li&gt;калия хлорид — 0,16&amp;nbsp;мг;&lt;/li&gt;
&lt;li&gt;магния сульфат гептагидрат — 0,08&amp;nbsp;мг;&lt;/li&gt;
&lt;li&gt;феноловый красный — 0,008&amp;nbsp;мг;&lt;/li&gt;
&lt;li&gt;кальция хлорид дигидрат — 0,08&amp;nbsp;мг;&lt;/li&gt;
&lt;li&gt;вода для инъекций — до 0,5&amp;nbsp;мл.&lt;/li&gt;&lt;/ul&gt;&lt;/p&gt;</t>
    </r>
  </si>
  <si>
    <t>https://grls.rosminzdrav.ru/InstrImg/2024/12/19/1512043/59e764b9-60fd-455d-b6fc-d0056460286e.pdf</t>
  </si>
  <si>
    <r>
      <rPr>
        <rFont val="Arial"/>
        <color theme="1"/>
      </rPr>
      <t xml:space="preserve">1 доза вакцины содержит:
</t>
    </r>
    <r>
      <rPr>
        <rFont val="Arial"/>
        <i/>
        <color theme="1"/>
      </rPr>
      <t>Действующее вещество:</t>
    </r>
    <r>
      <rPr>
        <rFont val="Arial"/>
        <color theme="1"/>
      </rPr>
      <t xml:space="preserve"> антиген вируса бешенства специфический инактивированный, штамм «Внуково-32» — не менее 2,5 Международных Единиц (МЕ).
</t>
    </r>
    <r>
      <rPr>
        <rFont val="Arial"/>
        <i/>
        <color theme="1"/>
      </rPr>
      <t xml:space="preserve">Вспомогательные вещества:
</t>
    </r>
    <r>
      <rPr>
        <rFont val="Arial"/>
        <color theme="1"/>
      </rPr>
      <t>• альбумин человека;
• сахароза;
• желатин.</t>
    </r>
  </si>
  <si>
    <r>
      <rPr>
        <rFont val="Arial"/>
        <color theme="1"/>
      </rPr>
      <t xml:space="preserve">&lt;p&gt;1&amp;nbsp;доза вакцины содержит:&lt;/p&gt;
</t>
    </r>
    <r>
      <rPr>
        <rFont val="Arial"/>
        <i/>
        <color theme="1"/>
      </rPr>
      <t>&lt;p&gt;&lt;i&gt;Действующее вещество:</t>
    </r>
    <r>
      <rPr>
        <rFont val="Arial"/>
        <color theme="1"/>
      </rPr>
      <t>&lt;/i&gt; антиген вируса бешенства специфический инактивированный, штамм «Внуково-32» — не менее 2,5&amp;nbsp;Международных Единиц (МЕ).&lt;br&gt;&lt;br&gt;
&lt;i&gt;Вспомогательные вещества:&lt;/i&gt;
&lt;ul&gt;&lt;li&gt;альбумин человека;&lt;/li&gt;
&lt;li&gt;сахароза;&lt;/li&gt;
&lt;li&gt;желатин.&lt;/li&gt;&lt;/ul&gt;&lt;/p&gt;</t>
    </r>
  </si>
  <si>
    <t>https://lk.regmed.ru/Register/GetPDFfromDA?ID=1649843881</t>
  </si>
  <si>
    <r>
      <rPr>
        <rFont val="Arial"/>
        <color theme="1"/>
      </rPr>
      <t xml:space="preserve">Состав на 1 дозу (1 мл):
</t>
    </r>
    <r>
      <rPr>
        <rFont val="Arial"/>
        <i/>
        <color theme="1"/>
      </rPr>
      <t xml:space="preserve">Действующее вещество: </t>
    </r>
    <r>
      <rPr>
        <rFont val="Arial"/>
        <color theme="1"/>
      </rPr>
      <t xml:space="preserve">
• Специфический антиген вируса бешенства штамм «Внуково-32» — не менее 2,5 МЕ.
</t>
    </r>
    <r>
      <rPr>
        <rFont val="Arial"/>
        <i/>
        <color theme="1"/>
      </rPr>
      <t>Вспомогательные вещества:</t>
    </r>
    <r>
      <rPr>
        <rFont val="Arial"/>
        <color theme="1"/>
      </rPr>
      <t xml:space="preserve">
• Альбумин человека* — 5 мг.
• Сахароза — 75 мг.
• Желатин — 10 мг.
* - В виде раствора для инфузий 10% или 20%.
Препарат не содержит консервантов и антибиотиков.
Одна доза восстановленного препарата составляет 1 мл.
Вакцина выпускается в комплекте с растворителем — вода для инъекций.</t>
    </r>
  </si>
  <si>
    <r>
      <rPr>
        <rFont val="Arial"/>
        <color theme="1"/>
      </rPr>
      <t xml:space="preserve">&lt;p&gt;Состав на 1&amp;nbsp;дозу (1&amp;nbsp;мл):&lt;/p&gt;
</t>
    </r>
    <r>
      <rPr>
        <rFont val="Arial"/>
        <i/>
        <color theme="1"/>
      </rPr>
      <t xml:space="preserve">&lt;p&gt;&lt;i&gt;Действующее вещество: </t>
    </r>
    <r>
      <rPr>
        <rFont val="Arial"/>
        <color theme="1"/>
      </rPr>
      <t xml:space="preserve">&lt;/i&gt;
&lt;ul&gt;&lt;li&gt;Специфический антиген вируса бешенства штамм «Внуково-32» — не менее 2,5&amp;nbsp;МЕ.&lt;/li&gt;&lt;/ul&gt;
</t>
    </r>
    <r>
      <rPr>
        <rFont val="Arial"/>
        <i/>
        <color theme="1"/>
      </rPr>
      <t>&lt;i&gt;Вспомогательные вещества:&lt;/i&gt;</t>
    </r>
    <r>
      <rPr>
        <rFont val="Arial"/>
        <color theme="1"/>
      </rPr>
      <t xml:space="preserve">
&lt;ul&gt;&lt;li&gt;Альбумин человека* — 5&amp;nbsp;мг.&lt;/li&gt;
&lt;li&gt;Сахароза — 75&amp;nbsp;мг.&lt;/li&gt;
&lt;li&gt;Желатин — 10&amp;nbsp;мг.&lt;/li&gt;&lt;/ul&gt;&lt;/p&gt;
&lt;p&gt;* - В виде раствора для инфузий 10% или 20%.&lt;/p&gt;
&lt;p&gt;Препарат не содержит консервантов и антибиотиков.&lt;/p&gt;
&lt;p&gt;Одна доза восстановленного препарата составляет 1&amp;nbsp;мл.&lt;/p&gt;
&lt;p&gt;Вакцина выпускается в комплекте с растворителем — вода для инъекций.&lt;/p&gt;</t>
    </r>
  </si>
  <si>
    <t>https://grls.rosminzdrav.ru/InstrImg/2022/11/25/1488723/80c7b6fb-3d8f-4ee9-9610-da77ce371e71.pdf</t>
  </si>
  <si>
    <t>Одна доза вакцины содержит вакцинный вирус бешенства, штамм «Внуково-32», инактивированный — не менее 0,5 Международных единиц (ME).
Вспомогательные вещества. Стабилизаторы — альбумин (раствор для инфузий 10%) в конечной концентрации 0,5%, сахар (сахароза) в конечной концентрации 7,5%; раствор желатина в конечной концентрации 1%. Содержание общего белка в препарате до добавления сахарозы и желатина от 0,7 до 1,3 мг/мл.
Выпускают в комплекте с растворителем — вода для инъекций.</t>
  </si>
  <si>
    <t>&lt;p&gt;Одна доза вакцины содержит вакцинный вирус бешенства, штамм «Внуково-32», инактивированный — не менее 0,5&amp;nbsp;Международных единиц (ME).&lt;/p&gt;
&lt;p&gt;Вспомогательные вещества. Стабилизаторы — альбумин (раствор для инфузий 10%) в конечной концентрации 0,5%, сахар (сахароза) в конечной концентрации 7,5%; раствор желатина в конечной концентрации 1%. Содержание общего белка в препарате до добавления сахарозы и желатина от 0,7 до 1,3&amp;nbsp;мг/мл.&lt;/p&gt;
&lt;p&gt;Выпускают в комплекте с растворителем — вода для инъекций.&lt;/p&gt;</t>
  </si>
  <si>
    <t>https://grls.rosminzdrav.ru/InstrImg/2017/6/22/1417297/%D0%9B%D0%A1-001296[2012]_0.pdf</t>
  </si>
  <si>
    <r>
      <rPr>
        <rFont val="Arial"/>
        <color theme="1"/>
      </rPr>
      <t xml:space="preserve">Одна доза (2 мл) содержит:
</t>
    </r>
    <r>
      <rPr>
        <rFont val="Arial"/>
        <i/>
        <color theme="1"/>
      </rPr>
      <t>Действующие вещества</t>
    </r>
    <r>
      <rPr>
        <rFont val="Arial"/>
        <color theme="1"/>
      </rPr>
      <t xml:space="preserve">:
Живые реассортанты человеческого и бычьего ротавирусов, выращенные на культуре клеток Веро:
• Ротавирус типа G1 — не менее 2,2х10⁶ ИЕ*.
• Ротавирус типа G2 — не менее 2,8х10⁶ ИЕ*.
• Ротавирус типа G3 — не менее 2,2х10⁶ ИЕ*.
• Ротавирус типа G4 — не менее 2,0х10⁶ ИЕ*.
• Ротавирус типа PIA[8] — не менее 2,3х10⁶ ИЕ*.
* ИЕ – инфекционная единица.
</t>
    </r>
    <r>
      <rPr>
        <rFont val="Arial"/>
        <i/>
        <color theme="1"/>
      </rPr>
      <t>Вспомогательные вещества:</t>
    </r>
    <r>
      <rPr>
        <rFont val="Arial"/>
        <color theme="1"/>
      </rPr>
      <t xml:space="preserve">
Сахароза 1080 мг, натрия гидроксид 2,75 мг, натрия цитрата дигидрат 127 мг, натрия дигидрофосфата моногидрат 29,8 мг, полисорбат-80 от 0,17 до 0,86 мг, ротавирусный растворитель и среда LPKM-3. Суммарный объем культуральной среды LPKM-3 из вирусных белков и ротавирусного растворителя составляет 15% от общего объема вакцины.</t>
    </r>
  </si>
  <si>
    <r>
      <rPr>
        <rFont val="Arial"/>
        <color theme="1"/>
      </rPr>
      <t xml:space="preserve">&lt;p&gt;Одна доза (2&amp;nbsp;мл) содержит:&lt;/p&gt;
</t>
    </r>
    <r>
      <rPr>
        <rFont val="Arial"/>
        <i/>
        <color theme="1"/>
      </rPr>
      <t>&lt;p&gt;&lt;i&gt;Действующие вещества:&lt;/i&gt;</t>
    </r>
    <r>
      <rPr>
        <rFont val="Arial"/>
        <color theme="1"/>
      </rPr>
      <t xml:space="preserve">&lt;br&gt;
Живые реассортанты человеческого и бычьего ротавирусов, выращенные на культуре клеток Веро:
&lt;ul&gt;&lt;li&gt;Ротавирус типа&amp;nbsp;G1 — не менее 2,2х10⁶&amp;nbsp;ИЕ*.&lt;/li&gt;
&lt;li&gt;Ротавирус типа&amp;nbsp;G2 — не менее 2,8х10⁶&amp;nbsp;ИЕ*.&lt;/li&gt;
&lt;li&gt;Ротавирус типа&amp;nbsp;G3 — не менее 2,2х10⁶&amp;nbsp;ИЕ*.&lt;/li&gt;
&lt;li&gt;Ротавирус типа&amp;nbsp;G4 — не менее 2,0х10⁶&amp;nbsp;ИЕ*.&lt;/li&gt;
&lt;li&gt;Ротавирус типа&amp;nbsp;PIA[8] — не менее 2,3х10⁶&amp;nbsp;ИЕ*.&lt;/li&gt;&lt;/ul&gt;
* ИЕ – инфекционная единица.&lt;/p&gt;
</t>
    </r>
    <r>
      <rPr>
        <rFont val="Arial"/>
        <i/>
        <color theme="1"/>
      </rPr>
      <t>&lt;p&gt;&lt;i&gt;Вспомогательные вещества:</t>
    </r>
    <r>
      <rPr>
        <rFont val="Arial"/>
        <color theme="1"/>
      </rPr>
      <t>&lt;/i&gt;&lt;br&gt;
Сахароза 1080&amp;nbsp;мг, натрия гидроксид 2,75&amp;nbsp;мг, натрия цитрата дигидрат 127&amp;nbsp;мг, натрия дигидрофосфата моногидрат 29,8&amp;nbsp;мг, полисорбат-80 от 0,17 до 0,86&amp;nbsp;мг, ротавирусный растворитель и среда LPKM-3. Суммарный объем культуральной среды LPKM-3 из вирусных белков и ротавирусного растворителя составляет 15% от общего объема вакцины.&lt;/p&gt;</t>
    </r>
  </si>
  <si>
    <t>https://grls.rosminzdrav.ru/InstrImg/2022/11/25/1488637/2d8b70a5-023e-45f6-a321-21ab12c43cb4.pdf</t>
  </si>
  <si>
    <t>Одна прививочная доза препарата (0,5 мл) содержит:
• вирус краснухи — не менее 1000 (3,0 lg) тканевых цитопатогенных доз (ТЦД₅₀).
Используют аттенуированный штамм вируса краснухи RA 27/3 культивированный на диплоидных клетках человека MRC-5.
Перечень вспомогательных веществ:
• водный раствор ЛС-18¹;
• желатина раствор 10%.
Примечание.
¹ Состав водного раствора ЛС-18: сахароза, лактоза, натрий глутаминовокислый, глицин, L-пролин, Хенкса сухая смесь с феноловым красным, вода для инъекций.</t>
  </si>
  <si>
    <t>&lt;p&gt;Одна прививочная доза препарата (0,5&amp;nbsp;мл) содержит:
&lt;ul&gt;&lt;li&gt;вирус краснухи — не менее 1000 (3,0&amp;nbsp;lg) тканевых цитопатогенных доз (ТЦД₅₀).&lt;/li&gt;&lt;/ul&gt;
Используют аттенуированный штамм вируса краснухи RA&amp;nbsp;27/3 культивированный на диплоидных клетках человека MRC-5.&lt;br&gt;&lt;br&gt;
&lt;i&gt;Перечень вспомогательных веществ:&lt;/i&gt;
&lt;ul&gt;&lt;li&gt;водный раствор ЛС-18¹;&lt;/li&gt;
&lt;li&gt;желатина раствор 10%.&lt;/li&gt;&lt;/ul&gt;
Примечание.&lt;br&gt;
¹&amp;nbsp;Состав водного раствора ЛС-18: сахароза, лактоза, натрий глутаминовокислый, глицин, L-пролин, Хенкса сухая смесь с феноловым красным, вода для инъекций.&lt;/p&gt;</t>
  </si>
  <si>
    <t>https://lk.regmed.ru/Register/GetPDFfromDA?ID=1621077341</t>
  </si>
  <si>
    <t>Одна прививочная доза вакцины (0,5 мл) содержит:
• не менее 1000 тканевых цитопатогенных доз (ТЦД₅₀) вакцинного штамма вируса краснухи Вистар RA 27/3;
• стабилизатор: сорбитол — 25 мг, желатоза — 12,5 мг.
Антибиотиков и консервантов не содержит.</t>
  </si>
  <si>
    <t>&lt;p&gt;Одна прививочная доза вакцины (0,5&amp;nbsp;мл) содержит:
&lt;ul&gt;&lt;li&gt;не менее 1000&amp;nbsp;тканевых цитопатогенных доз (ТЦД₅₀) вакцинного штамма вируса краснухи Вистар&amp;nbsp;RA&amp;nbsp;27/3;&lt;/li&gt;
&lt;li&gt;стабилизатор: сорбитол — 25&amp;nbsp;мг, желатоза — 12,5&amp;nbsp;мг.&lt;/li&gt;&lt;/ul&gt;&lt;/p&gt;
&lt;p&gt;Антибиотиков и консервантов не содержит.&lt;/p&gt;</t>
  </si>
  <si>
    <t>https://grls.rosminzdrav.ru/InstrImg/2016/4/4/37565/%D0%9F_N015218_01[2009]_0.pdf</t>
  </si>
  <si>
    <r>
      <rPr>
        <rFont val="Arial"/>
        <color theme="1"/>
      </rPr>
      <t xml:space="preserve">В 1 дозе (0,5 мл) содержится:
</t>
    </r>
    <r>
      <rPr>
        <rFont val="Arial"/>
        <i/>
        <color theme="1"/>
      </rPr>
      <t>Препарат с консервантом:</t>
    </r>
    <r>
      <rPr>
        <rFont val="Arial"/>
        <color theme="1"/>
      </rPr>
      <t xml:space="preserve">
• Действующее вещество: Анатоксин столбнячный¹ — 10 ЕС.
• Содержит формальдегид — не более 100 мкг.
</t>
    </r>
    <r>
      <rPr>
        <rFont val="Arial"/>
        <i/>
        <color theme="1"/>
      </rPr>
      <t>Препарат без консерванта:</t>
    </r>
    <r>
      <rPr>
        <rFont val="Arial"/>
        <color theme="1"/>
      </rPr>
      <t xml:space="preserve">
• Действующее вещество: Анатоксин столбнячный¹ — 10 ЕС.
• Содержит формальдегид — не более 100 мкг.
¹ Адсорбированный на алюминия гидроксиде (в пересчете на Al³⁺) — не более 0,55 мг.
Полный перечень вспомогательных веществ приведен в разделе 6.1.
</t>
    </r>
    <r>
      <rPr>
        <rFont val="Arial"/>
        <b/>
        <color theme="1"/>
      </rPr>
      <t>6.1. Перечень вспомогательных веществ</t>
    </r>
    <r>
      <rPr>
        <rFont val="Arial"/>
        <color theme="1"/>
      </rPr>
      <t xml:space="preserve">
</t>
    </r>
    <r>
      <rPr>
        <rFont val="Arial"/>
        <i/>
        <color theme="1"/>
      </rPr>
      <t>Препарат с консервантом:</t>
    </r>
    <r>
      <rPr>
        <rFont val="Arial"/>
        <color theme="1"/>
      </rPr>
      <t xml:space="preserve">
• Алюминия гидроксид.
• Консервант — тиомерсал.
</t>
    </r>
    <r>
      <rPr>
        <rFont val="Arial"/>
        <i/>
        <color theme="1"/>
      </rPr>
      <t>Препарат без консерванта:</t>
    </r>
    <r>
      <rPr>
        <rFont val="Arial"/>
        <color theme="1"/>
      </rPr>
      <t xml:space="preserve">
• Алюминия гидроксид.</t>
    </r>
  </si>
  <si>
    <r>
      <rPr>
        <rFont val="Arial"/>
        <color theme="1"/>
      </rPr>
      <t xml:space="preserve">&lt;p&gt;В 1&amp;nbsp;дозе (0,5&amp;nbsp;мл) содержится:&lt;br&gt;&lt;br&gt;
</t>
    </r>
    <r>
      <rPr>
        <rFont val="Arial"/>
        <i/>
        <color theme="1"/>
      </rPr>
      <t>&lt;i&gt;Препарат с консервантом:</t>
    </r>
    <r>
      <rPr>
        <rFont val="Arial"/>
        <color theme="1"/>
      </rPr>
      <t xml:space="preserve">&lt;/i&gt;
&lt;ul&gt;&lt;li&gt;Действующее вещество: Анатоксин столбнячный¹ — 10&amp;nbsp;ЕС.&lt;/li&gt;
&lt;li&gt;Содержит формальдегид — не более 100&amp;nbsp;мкг.&lt;/li&gt;&lt;/ul&gt;
</t>
    </r>
    <r>
      <rPr>
        <rFont val="Arial"/>
        <i/>
        <color theme="1"/>
      </rPr>
      <t>&lt;i&gt;Препарат без консерванта:</t>
    </r>
    <r>
      <rPr>
        <rFont val="Arial"/>
        <color theme="1"/>
      </rPr>
      <t xml:space="preserve">&lt;/i&gt;
&lt;ul&gt;&lt;li&gt;Действующее вещество: Анатоксин столбнячный¹ — 10&amp;nbsp;ЕС.&lt;/li&gt;
&lt;li&gt;Содержит формальдегид — не более 100&amp;nbsp;мкг.&lt;/li&gt;&lt;/ul&gt;
¹&amp;nbsp;Адсорбированный на алюминия гидроксиде (в пересчете на Al³⁺) — не более 0,55&amp;nbsp;мг.&lt;br&gt;&lt;br&gt;
Полный перечень вспомогательных веществ приведен в разделе&amp;nbsp;6.1.&lt;/p&gt;
</t>
    </r>
    <r>
      <rPr>
        <rFont val="Arial"/>
        <b/>
        <color theme="1"/>
      </rPr>
      <t>&lt;p&gt;&lt;b&gt;6.1.&amp;nbsp;Перечень вспомогательных веществ</t>
    </r>
    <r>
      <rPr>
        <rFont val="Arial"/>
        <color theme="1"/>
      </rPr>
      <t xml:space="preserve">&lt;/b&gt;&lt;br&gt;&lt;br&gt;
</t>
    </r>
    <r>
      <rPr>
        <rFont val="Arial"/>
        <i/>
        <color theme="1"/>
      </rPr>
      <t>&lt;i&gt;Препарат с консервантом:</t>
    </r>
    <r>
      <rPr>
        <rFont val="Arial"/>
        <color theme="1"/>
      </rPr>
      <t xml:space="preserve">&lt;/i&gt;
&lt;ul&gt;&lt;li&gt;Алюминия гидроксид.&lt;/li&gt;
&lt;li&gt;Консервант — тиомерсал.&lt;/li&gt;&lt;/ul&gt;
</t>
    </r>
    <r>
      <rPr>
        <rFont val="Arial"/>
        <i/>
        <color theme="1"/>
      </rPr>
      <t>&lt;i&gt;Препарат без консерванта:</t>
    </r>
    <r>
      <rPr>
        <rFont val="Arial"/>
        <color theme="1"/>
      </rPr>
      <t>&lt;/i&gt;
&lt;ul&gt;&lt;li&gt;Алюминия гидроксид.&lt;/li&gt;&lt;/ul&gt;&lt;/p&gt;</t>
    </r>
  </si>
  <si>
    <t>https://grls.rosminzdrav.ru/InstrImg/2024/12/05/1511721/ee78b171-6cf3-474c-9f58-0391a7a5b91f.pdf</t>
  </si>
  <si>
    <t>Разовая доза препарата (0,5 мл) содержит: 10 единиц связывания (ЕС) столбнячного анатоксина, не более 1,25 мг алюминия гидроксида в пересчете на алюминий (сорбент), от 42,5 до 57,5 мкг тиомерсал (консервант).</t>
  </si>
  <si>
    <t>&lt;p&gt;Разовая доза препарата (0,5&amp;nbsp;мл) содержит: 10&amp;nbsp;единиц связывания (ЕС) столбнячного анатоксина, не более 1,25&amp;nbsp;мг алюминия гидроксида в пересчете на алюминий (сорбент), от 42,5 до 57,5&amp;nbsp;мкг тиомерсал (консервант).&lt;/p&gt;</t>
  </si>
  <si>
    <t>https://grls.rosminzdrav.ru/InstrImg/2017/4/26/1416345/%D0%A0_N002667_01[2012]_0.pdf</t>
  </si>
  <si>
    <r>
      <rPr>
        <rFont val="Arial"/>
        <i/>
        <color theme="1"/>
      </rPr>
      <t>Активное вещество:</t>
    </r>
    <r>
      <rPr>
        <rFont val="Arial"/>
        <color theme="1"/>
      </rPr>
      <t xml:space="preserve">
Одна доза для детей и подростков содержит 25 ЕД* антигена вируса гепатита А в 0,5 мл.
* - 1 ЕД соответствует около 1 нг белка вируса гепатита А.
</t>
    </r>
    <r>
      <rPr>
        <rFont val="Arial"/>
        <i/>
        <color theme="1"/>
      </rPr>
      <t>Вспомогательные вещества:</t>
    </r>
    <r>
      <rPr>
        <rFont val="Arial"/>
        <color theme="1"/>
      </rPr>
      <t xml:space="preserve">
Одна доза для детей и подростков в 0,5 мл содержит: алюминий (в виде алюминия гидроксифосфата сульфата аморфного) 0,225 мг, натрия бората декагидрат 0,035 мг, натрия хлорид 4,5 мг, воду для инъекций до 0,5 мл.</t>
    </r>
  </si>
  <si>
    <r>
      <rPr>
        <rFont val="Arial"/>
        <i/>
        <color theme="1"/>
      </rPr>
      <t>&lt;p&gt;&lt;i&gt;Активное вещество:&lt;/i&gt;&lt;br&gt;</t>
    </r>
    <r>
      <rPr>
        <rFont val="Arial"/>
        <color theme="1"/>
      </rPr>
      <t xml:space="preserve">
Одна доза для детей и подростков содержит 25&amp;nbsp;ЕД* антигена вируса гепатита&amp;nbsp;А в 0,5&amp;nbsp;мл.&lt;/p&gt;
&lt;p&gt;* - 1&amp;nbsp;ЕД соответствует около 1&amp;nbsp;нг белка вируса гепатита&amp;nbsp;А.&lt;/p&gt;
</t>
    </r>
    <r>
      <rPr>
        <rFont val="Arial"/>
        <i/>
        <color theme="1"/>
      </rPr>
      <t>&lt;p&gt;&lt;i&gt;Вспомогательные вещества:&lt;/i&gt;&lt;br&gt;</t>
    </r>
    <r>
      <rPr>
        <rFont val="Arial"/>
        <color theme="1"/>
      </rPr>
      <t xml:space="preserve">
Одна доза для детей и подростков в 0,5&amp;nbsp;мл содержит: алюминий (в виде алюминия гидроксифосфата сульфата аморфного) 0,225&amp;nbsp;мг, натрия бората декагидрат 0,035&amp;nbsp;мг, натрия хлорид 4,5&amp;nbsp;мг, воду для инъекций до 0,5&amp;nbsp;мл.&lt;/p&gt;</t>
    </r>
  </si>
  <si>
    <t>https://grls.rosminzdrav.ru/InstrImg/2021/1/19/1465274/%D0%9F_N012585_01[2014]_0.pdf</t>
  </si>
  <si>
    <r>
      <rPr>
        <rFont val="Arial"/>
        <i/>
        <color theme="1"/>
      </rPr>
      <t>Активное вещество:</t>
    </r>
    <r>
      <rPr>
        <rFont val="Arial"/>
        <color theme="1"/>
      </rPr>
      <t xml:space="preserve">
Одна доза для взрослых содержит 50 ЕД* антигена вируса гепатита А в 1,0 мл.
* - 1 ЕД соответствует около 1 нг белка вируса гепатита А.
</t>
    </r>
    <r>
      <rPr>
        <rFont val="Arial"/>
        <i/>
        <color theme="1"/>
      </rPr>
      <t>Вспомогательные вещества:</t>
    </r>
    <r>
      <rPr>
        <rFont val="Arial"/>
        <color theme="1"/>
      </rPr>
      <t xml:space="preserve">
Одна доза для взрослых в 1,0 мл содержит: алюминий (в виде алюминия гидроксифосфата сульфата аморфного) 0,45 мг, натрия бората декагидрат 0,07 мг, натрия хлорид 9,0 мг, воду для инъекций до 1 мл.</t>
    </r>
  </si>
  <si>
    <r>
      <rPr>
        <rFont val="Arial"/>
        <i/>
        <color theme="1"/>
      </rPr>
      <t>&lt;p&gt;&lt;i&gt;Активное вещество:&lt;/i&gt;&lt;br&gt;</t>
    </r>
    <r>
      <rPr>
        <rFont val="Arial"/>
        <color theme="1"/>
      </rPr>
      <t xml:space="preserve">
Одна доза для взрослых содержит 50&amp;nbsp;ЕД* антигена вируса гепатита&amp;nbsp;А в 1,0&amp;nbsp;мл.&lt;/p&gt;
&lt;p&gt;* - 1&amp;nbsp;ЕД соответствует около 1&amp;nbsp;нг белка вируса гепатита&amp;nbsp;А.&lt;/p&gt;
</t>
    </r>
    <r>
      <rPr>
        <rFont val="Arial"/>
        <i/>
        <color theme="1"/>
      </rPr>
      <t>&lt;p&gt;&lt;i&gt;Вспомогательные вещества:&lt;/i&gt;&lt;br&gt;</t>
    </r>
    <r>
      <rPr>
        <rFont val="Arial"/>
        <color theme="1"/>
      </rPr>
      <t xml:space="preserve">
Одна доза для взрослых в 1,0&amp;nbsp;мл содержит: алюминий (в виде алюминия гидроксифосфата сульфата аморфного) 0,45&amp;nbsp;мг, натрия бората декагидрат 0,07&amp;nbsp;мг, натрия хлорид 9,0&amp;nbsp;мг, воду для инъекций до 1&amp;nbsp;мл.&lt;/p&gt;</t>
    </r>
  </si>
  <si>
    <t>Одна доза (0,5 мл) содержит:
• Антиген инактивированного вируса клещевого энцефалита¹·² — титр не менее 1:128;
¹ штамм «Софьин», полученный путем репродукции в первичной культуре клеток эмбрионов кур;
² сорбированный на алюминия гидроксиде (0,4 мг Al).
Перечень вспомогательных веществ:
• Альбумин человека;
• Сахароза;
• Соли буферной системы:
• Натрия хлорид;
• Трометамол.</t>
  </si>
  <si>
    <t>&lt;p&gt;Одна доза (0,5&amp;nbsp;мл) содержит:
&lt;ul&gt;&lt;li&gt;Антиген инактивированного вируса клещевого энцефалита¹&lt;sup&gt;,&lt;/sup&gt;² — титр не менее 1:128;&lt;/li&gt;&lt;/ul&gt;
¹&amp;nbsp;штамм «Софьин», полученный путем репродукции в первичной культуре клеток эмбрионов кур;&lt;br&gt;
²&amp;nbsp;сорбированный на алюминия гидроксиде (0,4&amp;nbsp;мг Al).&lt;br&gt;&lt;br&gt;
&lt;i&gt;Перечень вспомогательных веществ:&lt;/i&gt;
&lt;ul&gt;&lt;li&gt;Альбумин человека;&lt;/li&gt;
&lt;li&gt;Сахароза;&lt;/li&gt;
&lt;li&gt;Соли буферной системы:&lt;/li&gt;
&lt;li&gt;Натрия хлорид;&lt;/li&gt;
&lt;li&gt;Трометамол.&lt;/li&gt;&lt;/ul&gt;&lt;/p&gt;</t>
  </si>
  <si>
    <t>https://grls.rosminzdrav.ru/InstrImg/2025/09/15/1521458/990be5c7-4178-4812-a999-fd00eaeb3d60.pdf</t>
  </si>
  <si>
    <r>
      <rPr>
        <rFont val="Arial"/>
        <color theme="1"/>
      </rPr>
      <t xml:space="preserve">Одна доза (0,25 мл) содержит:
• Антиген инактивированного вируса клещевого энцефалита¹·² — титр не менее 1:128;
¹ штамм «Софьин», полученный путем репродукции в первичной культуре клеток эмбрионов кур;
² сорбированный на алюминия гидроксиде (0,2 мг Al).
</t>
    </r>
    <r>
      <rPr>
        <rFont val="Arial"/>
        <i/>
        <color theme="1"/>
      </rPr>
      <t>Перечень вспомогательных веществ:</t>
    </r>
    <r>
      <rPr>
        <rFont val="Arial"/>
        <color theme="1"/>
      </rPr>
      <t xml:space="preserve">
• Альбумин человека;
• Сахароза;
• Соли буферной системы:
• Натрия хлорид;
• Трометамол.</t>
    </r>
  </si>
  <si>
    <t>&lt;p&gt;Одна доза (0,25&amp;nbsp;мл) содержит:
&lt;ul&gt;&lt;li&gt;Антиген инактивированного вируса клещевого энцефалита¹&lt;sup&gt;,&lt;/sup&gt;² — титр не менее 1:128;&lt;/li&gt;&lt;/ul&gt;
¹&amp;nbsp;штамм «Софьин», полученный путем репродукции в первичной культуре клеток эмбрионов кур;&lt;br&gt;
²&amp;nbsp;сорбированный на алюминия гидроксиде (0,2&amp;nbsp;мг Al).&lt;br&gt;&lt;br&gt;
&lt;i&gt;Перечень вспомогательных веществ:&lt;/i&gt;
&lt;ul&gt;&lt;li&gt;Альбумин человека;&lt;/li&gt;
&lt;li&gt;Сахароза;&lt;/li&gt;
&lt;li&gt;Соли буферной системы:&lt;/li&gt;
&lt;li&gt;Натрия хлорид;&lt;/li&gt;
&lt;li&gt;Трометамол.&lt;/li&gt;&lt;/ul&gt;&lt;/p&gt;</t>
  </si>
  <si>
    <r>
      <rPr>
        <rFont val="Arial"/>
        <color theme="1"/>
      </rPr>
      <t xml:space="preserve">1 доза (0,5 мл) содержит:
</t>
    </r>
    <r>
      <rPr>
        <rFont val="Arial"/>
        <i/>
        <color theme="1"/>
      </rPr>
      <t>Действующее вещество:</t>
    </r>
    <r>
      <rPr>
        <rFont val="Arial"/>
        <color theme="1"/>
      </rPr>
      <t xml:space="preserve">
• Инактивированный антиген вируса клещевого энцефалита (КЭ), штамм «205» — от 0,6 до 3,0 мкг.
Вакцина содержит адъювант: алюминия гидроксид — 0,30-0,50 мг.
</t>
    </r>
    <r>
      <rPr>
        <rFont val="Arial"/>
        <i/>
        <color theme="1"/>
      </rPr>
      <t>Перечень вспомогательных веществ:</t>
    </r>
    <r>
      <rPr>
        <rFont val="Arial"/>
        <color theme="1"/>
      </rPr>
      <t xml:space="preserve">
• Алюминия гидроксид.
• Сахароза.
• Альбумин человека.
• Натрия хлорид.
• Динатрия гидрофосфат додекагидрат.
• Натрия дигидрофосфат дигидрат.</t>
    </r>
  </si>
  <si>
    <r>
      <rPr>
        <rFont val="Arial"/>
        <color theme="1"/>
      </rPr>
      <t xml:space="preserve">&lt;p&gt;1&amp;nbsp;доза (0,5&amp;nbsp;мл) содержит:&lt;br&gt;&lt;br&gt;
</t>
    </r>
    <r>
      <rPr>
        <rFont val="Arial"/>
        <i/>
        <color theme="1"/>
      </rPr>
      <t>&lt;i&gt;Действующее вещество:</t>
    </r>
    <r>
      <rPr>
        <rFont val="Arial"/>
        <color theme="1"/>
      </rPr>
      <t xml:space="preserve">&lt;/i&gt;
&lt;ul&gt;&lt;li&gt;Инактивированный антиген вируса клещевого энцефалита (КЭ), штамм&amp;nbsp;«205» — от 0,6 до 3,0&amp;nbsp;мкг.&lt;/li&gt;&lt;/ul&gt;
Вакцина содержит адъювант: алюминия гидроксид — 0,30-0,50&amp;nbsp;мг.&lt;br&gt;&lt;br&gt;
</t>
    </r>
    <r>
      <rPr>
        <rFont val="Arial"/>
        <i/>
        <color theme="1"/>
      </rPr>
      <t>&lt;i&gt;Перечень вспомогательных веществ:</t>
    </r>
    <r>
      <rPr>
        <rFont val="Arial"/>
        <color theme="1"/>
      </rPr>
      <t>&lt;/i&gt;
&lt;ul&gt;&lt;li&gt;Алюминия гидроксид.&lt;/li&gt;
&lt;li&gt;Сахароза.&lt;/li&gt;
&lt;li&gt;Альбумин человека.&lt;/li&gt;
&lt;li&gt;Натрия хлорид.&lt;/li&gt;
&lt;li&gt;Динатрия гидрофосфат додекагидрат.&lt;/li&gt;
&lt;li&gt;Натрия дигидрофосфат дигидрат.&lt;/li&gt;&lt;/ul&gt;&lt;/p&gt;</t>
    </r>
  </si>
  <si>
    <t>https://lk.regmed.ru/Register/GetPDFfromDA?ID=1607784571</t>
  </si>
  <si>
    <r>
      <rPr>
        <rFont val="Arial"/>
        <i/>
        <color theme="1"/>
      </rPr>
      <t>Действующее вещество:</t>
    </r>
    <r>
      <rPr>
        <rFont val="Arial"/>
        <color theme="1"/>
      </rPr>
      <t xml:space="preserve">
• Инактивированный антиген вируса клещевого энцефалита (КЭ), штамм «205».
1 доза (0,25 мл) содержит от 0,3 до 1,5 мкг.
</t>
    </r>
    <r>
      <rPr>
        <rFont val="Arial"/>
        <i/>
        <color theme="1"/>
      </rPr>
      <t>Перечень вспомогательных веществ:</t>
    </r>
    <r>
      <rPr>
        <rFont val="Arial"/>
        <color theme="1"/>
      </rPr>
      <t xml:space="preserve">
• Алюминия гидроксид.
• Сахароза.
• Альбумин человека.
• Натрия хлорид.
• Динатрия гидрофосфат додекагидрат.
• Натрия дигидрофосфат дигидрат.</t>
    </r>
  </si>
  <si>
    <t>&lt;p&gt;&lt;i&gt;Действующее вещество:&lt;/i&gt;
&lt;ul&gt;&lt;li&gt;Инактивированный антиген вируса клещевого энцефалита (КЭ), штамм&amp;nbsp;«205».&lt;br&gt;
1&amp;nbsp;доза (0,25&amp;nbsp;мл) содержит от 0,3 до 1,5&amp;nbsp;мкг.&lt;/li&gt;&lt;/ul&gt;
&lt;i&gt;Перечень вспомогательных веществ:&lt;/i&gt;
&lt;ul&gt;&lt;li&gt;Алюминия гидроксид.&lt;/li&gt;
&lt;li&gt;Сахароза.&lt;/li&gt;
&lt;li&gt;Альбумин человека.&lt;/li&gt;
&lt;li&gt;Натрия хлорид.&lt;/li&gt;
&lt;li&gt;Динатрия гидрофосфат додекагидрат.&lt;/li&gt;
&lt;li&gt;Натрия дигидрофосфат дигидрат.&lt;/li&gt;&lt;/ul&gt;&lt;/p&gt;</t>
  </si>
  <si>
    <t>https://lk.regmed.ru/Register/GetPDFfromDA?ID=1609919901</t>
  </si>
  <si>
    <r>
      <rPr>
        <rFont val="Arial"/>
        <color theme="1"/>
      </rPr>
      <t>1 доза (0,5 мл) содержит:
• Антиген инактивированного вируса клещевого энцефалита¹·² — титр не менее 1:128.
¹ штамм «Софьин», полученный путем репродукции в первичной культуре клеток эмбрионов кур.
² сорбированный на алюминия гидроксиде (0,4 мг Al).
Препарат не содержит антибиотиков и консервантов.
Перечень вспомогательных веществ:</t>
    </r>
    <r>
      <rPr>
        <rFont val="Arial"/>
        <i/>
        <color theme="1"/>
      </rPr>
      <t xml:space="preserve">
Лиофилизат</t>
    </r>
    <r>
      <rPr>
        <rFont val="Arial"/>
        <color theme="1"/>
      </rPr>
      <t xml:space="preserve">
• Альбумин человека;
• Сахароза;
• Желатин;
• Соли буферной системы:
-Натрия хлорид;
-Трисгидроксиметиламинометан.
</t>
    </r>
    <r>
      <rPr>
        <rFont val="Arial"/>
        <i/>
        <color theme="1"/>
      </rPr>
      <t>Растворитель</t>
    </r>
    <r>
      <rPr>
        <rFont val="Arial"/>
        <color theme="1"/>
      </rPr>
      <t xml:space="preserve">
• Алюминия гидроксида гель. Алюминия гидроксид используется в качестве адъюванта (сорбента).
• Вода для инъекций.</t>
    </r>
  </si>
  <si>
    <r>
      <rPr>
        <rFont val="Arial"/>
        <color theme="1"/>
      </rPr>
      <t>&lt;p&gt;1&amp;nbsp;доза (0,5&amp;nbsp;мл) содержит:
&lt;ul&gt;&lt;li&gt;Антиген инактивированного вируса клещевого энцефалита¹&lt;sup&gt;.&lt;/sup&gt;² — титр не менее 1:128.&lt;/li&gt;&lt;/ul&gt;
¹&amp;nbsp;штамм «Софьин», полученный путем репродукции в первичной культуре клеток эмбрионов кур.&lt;br&gt;
²&amp;nbsp;сорбированный на алюминия гидроксиде (0,4&amp;nbsp;мг Al).&lt;br&gt;&lt;br&gt;
Препарат не содержит антибиотиков и консервантов.&lt;br&gt;&lt;br&gt;
Перечень вспомогательных веществ:</t>
    </r>
    <r>
      <rPr>
        <rFont val="Arial"/>
        <i/>
        <color theme="1"/>
      </rPr>
      <t>&lt;br&gt;&lt;br&gt;
&lt;i&gt;Лиофилизат&lt;/i&gt;</t>
    </r>
    <r>
      <rPr>
        <rFont val="Arial"/>
        <color theme="1"/>
      </rPr>
      <t xml:space="preserve">
&lt;ul&gt;&lt;li&gt;Альбумин человека;&lt;/li&gt;
&lt;li&gt;Сахароза;&lt;/li&gt;
&lt;li&gt;Желатин;&lt;/li&gt;
&lt;li&gt;Соли буферной системы:&lt;br&gt;
-Натрия хлорид;&lt;br&gt;
-Трисгидроксиметиламинометан.&lt;/li&gt;&lt;/ul&gt;
</t>
    </r>
    <r>
      <rPr>
        <rFont val="Arial"/>
        <i/>
        <color theme="1"/>
      </rPr>
      <t>&lt;i&gt;Растворитель&lt;/i&gt;</t>
    </r>
    <r>
      <rPr>
        <rFont val="Arial"/>
        <color theme="1"/>
      </rPr>
      <t xml:space="preserve">
&lt;ul&gt;&lt;li&gt;Алюминия гидроксида гель. Алюминия гидроксид используется в качестве адъюванта (сорбента).&lt;/li&gt;
&lt;li&gt;Вода для инъекций.&lt;/li&gt;&lt;/ul&gt;&lt;/p&gt;</t>
    </r>
  </si>
  <si>
    <t>https://grls.rosminzdrav.ru/InstrImg/2025/03/28/1515433/7cb66dc6-27dc-4004-ae84-1159c993bc84.pdf</t>
  </si>
  <si>
    <r>
      <rPr>
        <rFont val="Arial"/>
        <color theme="1"/>
      </rPr>
      <t xml:space="preserve">Одна прививочная доза (0,5 мл) содержит:
Живой аттенуированный вирус </t>
    </r>
    <r>
      <rPr>
        <rFont val="Arial"/>
        <i/>
        <color theme="1"/>
      </rPr>
      <t>Varicella Zoster</t>
    </r>
    <r>
      <rPr>
        <rFont val="Arial"/>
        <color theme="1"/>
      </rPr>
      <t xml:space="preserve"> (штамм Oka) &gt; 10³·³ БОЕ¹
¹ БОЕ — бляшкообразующие единицы.
Вакцина не содержит консервантов. Вакцина содержит следовые количества неомицина сульфата (не более 25 мкг/дозу).
Перечень вспомогательных веществ:
</t>
    </r>
    <r>
      <rPr>
        <rFont val="Arial"/>
        <i/>
        <color theme="1"/>
      </rPr>
      <t>Лиофилизат:</t>
    </r>
    <r>
      <rPr>
        <rFont val="Arial"/>
        <color theme="1"/>
      </rPr>
      <t xml:space="preserve">
• лактоза;
• сорбитол;
• маннитол;
• аминокислоты (включая фенилаланин).
</t>
    </r>
    <r>
      <rPr>
        <rFont val="Arial"/>
        <i/>
        <color theme="1"/>
      </rPr>
      <t>Растворитель:</t>
    </r>
    <r>
      <rPr>
        <rFont val="Arial"/>
        <color theme="1"/>
      </rPr>
      <t xml:space="preserve">
• вода для инъекций.</t>
    </r>
  </si>
  <si>
    <r>
      <rPr>
        <rFont val="Arial"/>
        <color theme="1"/>
      </rPr>
      <t xml:space="preserve">&lt;p&gt;Одна прививочная доза (0,5&amp;nbsp;мл) содержит:&lt;br&gt;&lt;br&gt;
Живой аттенуированный вирус </t>
    </r>
    <r>
      <rPr>
        <rFont val="Arial"/>
        <i/>
        <color theme="1"/>
      </rPr>
      <t>&lt;i&gt;Varicella Zoster&lt;/i&gt;</t>
    </r>
    <r>
      <rPr>
        <rFont val="Arial"/>
        <color theme="1"/>
      </rPr>
      <t xml:space="preserve"> (штамм Oka) &gt; 10³&lt;sup&gt;,&lt;/sup&gt;³&amp;nbsp;БОЕ¹&lt;br&gt;
¹&amp;nbsp;БОЕ — бляшкообразующие единицы.&lt;/p&gt;
&lt;p&gt;Вакцина не содержит консервантов. Вакцина содержит следовые количества неомицина сульфата (не более 25&amp;nbsp;мкг/дозу).&lt;/p&gt;
&lt;p&gt;Перечень вспомогательных веществ:&lt;br&gt;&lt;br&gt;
</t>
    </r>
    <r>
      <rPr>
        <rFont val="Arial"/>
        <i/>
        <color theme="1"/>
      </rPr>
      <t>&lt;i&gt;Лиофилизат:</t>
    </r>
    <r>
      <rPr>
        <rFont val="Arial"/>
        <color theme="1"/>
      </rPr>
      <t xml:space="preserve">&lt;/i&gt;
&lt;ul&gt;&lt;li&gt;лактоза;&lt;/li&gt;
&lt;li&gt;сорбитол;&lt;/li&gt;
&lt;li&gt;маннитол;&lt;/li&gt;
&lt;li&gt;аминокислоты (включая фенилаланин).&lt;/li&gt;&lt;/ul&gt;
</t>
    </r>
    <r>
      <rPr>
        <rFont val="Arial"/>
        <i/>
        <color theme="1"/>
      </rPr>
      <t>&lt;i&gt;Растворитель:</t>
    </r>
    <r>
      <rPr>
        <rFont val="Arial"/>
        <color theme="1"/>
      </rPr>
      <t>&lt;/i&gt;
&lt;ul&gt;&lt;li&gt;вода для инъекций.&lt;/li&gt;&lt;/ul&gt;&lt;/p&gt;</t>
    </r>
  </si>
  <si>
    <t>https://grls.rosminzdrav.ru/InstrImg/2025/06/10/1518039/2f088da7-8272-4666-bcb6-a2e0826808b5.pdf</t>
  </si>
  <si>
    <r>
      <rPr>
        <rFont val="Arial"/>
        <color theme="1"/>
      </rPr>
      <t xml:space="preserve">На 1 дозу:
</t>
    </r>
    <r>
      <rPr>
        <rFont val="Arial"/>
        <i/>
        <color theme="1"/>
      </rPr>
      <t>Действующее вещество:</t>
    </r>
    <r>
      <rPr>
        <rFont val="Arial"/>
        <color theme="1"/>
      </rPr>
      <t xml:space="preserve">
• вирус желтой лихорадки штамм «17Д» — не менее 1600 БОЕ (3,2 log₁₀ БОЕ) или 3,0 log₁₀ ME вируса.
</t>
    </r>
    <r>
      <rPr>
        <rFont val="Arial"/>
        <i/>
        <color theme="1"/>
      </rPr>
      <t>Вспомогательные вещества (расчетное количество):</t>
    </r>
    <r>
      <rPr>
        <rFont val="Arial"/>
        <color theme="1"/>
      </rPr>
      <t xml:space="preserve">
• лактозы моногидрат — 20 мг;
• сорбитол — 10 мг;
• L-гистидин — 1,2 мг;
• L-аланин — 0,7 мг.
Вакцина не содержит консервантов и антибиотиков.
Вакцина выпускается в комплекте с растворителем — вода для инъекций.
Одна доза восстановленного препарата составляет 0,5 мл.</t>
    </r>
  </si>
  <si>
    <r>
      <rPr>
        <rFont val="Arial"/>
        <color theme="1"/>
      </rPr>
      <t xml:space="preserve">&lt;p&gt;На 1&amp;nbsp;дозу:&lt;/p&gt;
</t>
    </r>
    <r>
      <rPr>
        <rFont val="Arial"/>
        <i/>
        <color theme="1"/>
      </rPr>
      <t>&lt;p&gt;&lt;i&gt;Действующее вещество:</t>
    </r>
    <r>
      <rPr>
        <rFont val="Arial"/>
        <color theme="1"/>
      </rPr>
      <t xml:space="preserve">&lt;/i&gt;
&lt;ul&gt;&lt;li&gt;вирус желтой лихорадки штамм&amp;nbsp;«17Д» — не менее 1600&amp;nbsp;БОЕ (3,2&amp;nbsp;log₁₀&amp;nbsp;БОЕ) или 3,0&amp;nbsp;log₁₀&amp;nbsp;ME вируса.&lt;/li&gt;&lt;/ul&gt;
</t>
    </r>
    <r>
      <rPr>
        <rFont val="Arial"/>
        <i/>
        <color theme="1"/>
      </rPr>
      <t>&lt;i&gt;Вспомогательные вещества (расчетное количество):</t>
    </r>
    <r>
      <rPr>
        <rFont val="Arial"/>
        <color theme="1"/>
      </rPr>
      <t>&lt;/i&gt;
&lt;ul&gt;&lt;li&gt;лактозы моногидрат — 20&amp;nbsp;мг;&lt;/li&gt;
&lt;li&gt;сорбитол — 10&amp;nbsp;мг;&lt;/li&gt;
&lt;li&gt;L-гистидин — 1,2&amp;nbsp;мг;&lt;/li&gt;
&lt;li&gt;L-аланин — 0,7&amp;nbsp;мг.&lt;/li&gt;&lt;/ul&gt;&lt;/p&gt;
&lt;p&gt;Вакцина не содержит консервантов и антибиотиков.&lt;/p&gt;
&lt;p&gt;Вакцина выпускается в комплекте с растворителем — вода для инъекций.&lt;/p&gt;
&lt;p&gt;Одна доза восстановленного препарата составляет 0,5&amp;nbsp;мл.&lt;/p&gt;</t>
    </r>
  </si>
  <si>
    <t>https://grls.rosminzdrav.ru/InstrImg/2022/11/30/1489210/e0b55ee6-f6b6-4a34-8719-972e455bb957.pdf</t>
  </si>
  <si>
    <r>
      <rPr>
        <rFont val="Arial"/>
        <color theme="1"/>
      </rPr>
      <t xml:space="preserve">1 доза вакцины содержит: 
</t>
    </r>
    <r>
      <rPr>
        <rFont val="Arial"/>
        <i/>
        <color theme="1"/>
      </rPr>
      <t>Действующее вещество:</t>
    </r>
    <r>
      <rPr>
        <rFont val="Arial"/>
        <color theme="1"/>
      </rPr>
      <t xml:space="preserve"> живая культура вакцинного штамма </t>
    </r>
    <r>
      <rPr>
        <rFont val="Arial"/>
        <i/>
        <color theme="1"/>
      </rPr>
      <t>Francisella tularensis </t>
    </r>
    <r>
      <rPr>
        <rFont val="Arial"/>
        <color theme="1"/>
      </rPr>
      <t xml:space="preserve">15 НИИЭГ: для накожного скарификационного нанесения — (2,0±0,5)x10⁸ живых микробных клеток в 0,1 мл восстановленного препарата; для внутрикожного введения — (1,0±0,1)х10⁷ живых микробных клеток в 0,1 мл восстановленного препарата.
</t>
    </r>
    <r>
      <rPr>
        <rFont val="Arial"/>
        <i/>
        <color theme="1"/>
      </rPr>
      <t>Перечень вспомогательных веществ.</t>
    </r>
    <r>
      <rPr>
        <rFont val="Arial"/>
        <color theme="1"/>
      </rPr>
      <t xml:space="preserve">
Лиофилизат:
• Сахароза;
• Натрия глутамата моногидрат;
• Тиомочевина;
• Желатин.</t>
    </r>
  </si>
  <si>
    <r>
      <rPr>
        <rFont val="Arial"/>
        <color theme="1"/>
      </rPr>
      <t xml:space="preserve">&lt;p&gt;1&amp;nbsp;доза вакцины содержит:&lt;/p&gt;
</t>
    </r>
    <r>
      <rPr>
        <rFont val="Arial"/>
        <i/>
        <color theme="1"/>
      </rPr>
      <t>&lt;p&gt;&lt;i&gt;Действующее вещество:&lt;/i&gt;</t>
    </r>
    <r>
      <rPr>
        <rFont val="Arial"/>
        <color theme="1"/>
      </rPr>
      <t xml:space="preserve"> живая культура вакцинного штамма &lt;i&gt;</t>
    </r>
    <r>
      <rPr>
        <rFont val="Arial"/>
        <i/>
        <color theme="1"/>
      </rPr>
      <t>Francisella tularensis&lt;/i&gt;&amp;nbsp;</t>
    </r>
    <r>
      <rPr>
        <rFont val="Arial"/>
        <color theme="1"/>
      </rPr>
      <t>15&amp;nbsp;НИИЭГ: для накожного скарификационного нанесения — (2,0±0,5)x10⁸ живых микробных клеток в 0,1&amp;nbsp;мл восстановленного препарата; для внутрикожного введения — (1,0±0,1)х10⁷ живых микробных клеток в 0,1&amp;nbsp;мл восстановленного препарата.&lt;br&gt;&lt;br&gt;
&lt;i&gt;Перечень вспомогательных веществ.&lt;/i&gt;&lt;br&gt;
Лиофилизат:
&lt;ul&gt;&lt;li&gt;Сахароза;&lt;/li&gt;
&lt;li&gt;Натрия глутамата моногидрат;&lt;/li&gt;
&lt;li&gt;Тиомочевина;&lt;/li&gt;
&lt;li&gt;Желатин.&lt;/li&gt;&lt;/ul&gt;&lt;/p&gt;</t>
    </r>
  </si>
  <si>
    <t>https://lk.regmed.ru/Register/GetPDFfromDA?ID=1626767261</t>
  </si>
  <si>
    <r>
      <rPr>
        <rFont val="Arial"/>
        <color theme="1"/>
      </rPr>
      <t xml:space="preserve">Одна доза для подкожного введения (0,5 мл) содержит:
</t>
    </r>
    <r>
      <rPr>
        <rFont val="Arial"/>
        <i/>
        <color theme="1"/>
      </rPr>
      <t>Действующие вещества:</t>
    </r>
    <r>
      <rPr>
        <rFont val="Arial"/>
        <color theme="1"/>
      </rPr>
      <t xml:space="preserve">
• Антиген рекомбинантный F1 — от 25 до 30 мкг.
• Антиген рекомбинантный V — от 25 до 30 мкг.
</t>
    </r>
    <r>
      <rPr>
        <rFont val="Arial"/>
        <i/>
        <color theme="1"/>
      </rPr>
      <t>Вспомогательные вещества:</t>
    </r>
    <r>
      <rPr>
        <rFont val="Arial"/>
        <color theme="1"/>
      </rPr>
      <t xml:space="preserve"> полилактид от 4 до 6 мг; поливиниловый спирт от 0,9 до 1,1 мг; гидроокись алюминия от 0,076 до 0,129 мг; поливинилпирролидон от 1,9 до 2,1 мг; полисорбат 80 от 1,2 до 1,35 мг; фосфатно-солевой буфер от 0,25 до 0,35 мг; тиомерсал от 30 до 60 мкг.</t>
    </r>
  </si>
  <si>
    <r>
      <rPr>
        <rFont val="Arial"/>
        <color theme="1"/>
      </rPr>
      <t xml:space="preserve">&lt;p&gt;Одна доза для подкожного введения (0,5&amp;nbsp;мл) содержит:&lt;/p&gt;
</t>
    </r>
    <r>
      <rPr>
        <rFont val="Arial"/>
        <i/>
        <color theme="1"/>
      </rPr>
      <t>&lt;p&gt;&lt;i&gt;Действующие вещества:</t>
    </r>
    <r>
      <rPr>
        <rFont val="Arial"/>
        <color theme="1"/>
      </rPr>
      <t xml:space="preserve">&lt;/i&gt;
&lt;ul&gt;&lt;li&gt;Антиген рекомбинантный&amp;nbsp;F1 — от 25 до 30&amp;nbsp;мкг.&lt;/li&gt;
&lt;li&gt;Антиген рекомбинантный&amp;nbsp;V — от 25 до 30&amp;nbsp;мкг.&lt;/li&gt;&lt;/ul&gt;
</t>
    </r>
    <r>
      <rPr>
        <rFont val="Arial"/>
        <i/>
        <color theme="1"/>
      </rPr>
      <t>&lt;i&gt;Вспомогательные вещества:&lt;/i&gt;</t>
    </r>
    <r>
      <rPr>
        <rFont val="Arial"/>
        <color theme="1"/>
      </rPr>
      <t xml:space="preserve"> полилактид от 4 до 6&amp;nbsp;мг; поливиниловый спирт от 0,9 до 1,1&amp;nbsp;мг; гидроокись алюминия от 0,076 до 0,129&amp;nbsp;мг; поливинилпирролидон от 1,9 до 2,1&amp;nbsp;мг; полисорбат&amp;nbsp;80 от 1,2 до 1,35&amp;nbsp;мг; фосфатно-солевой буфер от 0,25 до 0,35&amp;nbsp;мг; тиомерсал от 30 до 60&amp;nbsp;мкг.&lt;/p&gt;</t>
    </r>
  </si>
  <si>
    <t>https://grls.rosminzdrav.ru/InstrImg/2021/10/22/1474770/84220d47-9ed2-44e3-a2d3-89170a0f96d8.pdf</t>
  </si>
  <si>
    <t>Лиофилизированные живые микробные клетки вакцинного штамма Yersinia pestis EV линии НИИЭГ (от 100 до 200 млрд микробных клеток во флаконе); стабилизаторы: лактоза (0,2 г во флаконе), декстрин (0,02 г во флаконе), тиомочевина (0,02 г во флаконе), аскорбиновая кислота (0,02 г во флаконе).</t>
  </si>
  <si>
    <t>&lt;p&gt;Лиофилизированные живые микробные клетки вакцинного штамма Yersinia&amp;nbsp;pestis&amp;nbsp;EV линии НИИЭГ (от 100 до 200&amp;nbsp;млрд микробных клеток во флаконе); стабилизаторы: лактоза (0,2&amp;nbsp;г во флаконе), декстрин (0,02&amp;nbsp;г во флаконе), тиомочевина (0,02&amp;nbsp;г во флаконе), аскорбиновая кислота (0,02&amp;nbsp;г во флаконе).&lt;/p&gt;</t>
  </si>
  <si>
    <t>https://grls.rosminzdrav.ru/InstrImg/2021/07/22/86490/6edc4318-42c0-4bc8-b5c8-ce3d12306614.pdf</t>
  </si>
  <si>
    <t>Лиофилизированная живая культура вакцинного штамма Yersinia pestis EV линии НИИЭГ (40 млрд микробных клеток в таблетке); стабилизатор: декстрин (6 мг в таблетке), кислота аскорбиновая (6 мг в таблетке), лактоза (60 мг в таблетке), тиомочевина (6 мг в таблетке), наполнитель: ванилин (2 мг в таблетке), глюкоза медицинская (0,44 г в таблетке), какао порошок (11,4 мг в таблетке), кальция стеарат (12 мг в таблетке), крахмал картофельный (11,4 мг в таблетке), ментол (2,2 мг в таблетке), сахарин (1,1 мг в таблетке).</t>
  </si>
  <si>
    <t>&lt;p&gt;Лиофилизированная живая культура вакцинного штамма Yersinia&amp;nbsp;pestis&amp;nbsp;EV линии НИИЭГ (40&amp;nbsp;млрд микробных клеток в таблетке); стабилизатор: декстрин (6&amp;nbsp;мг в таблетке), кислота аскорбиновая (6&amp;nbsp;мг в таблетке), лактоза (60&amp;nbsp;мг в таблетке), тиомочевина (6&amp;nbsp;мг в таблетке), наполнитель: ванилин (2&amp;nbsp;мг в таблетке), глюкоза медицинская (0,44&amp;nbsp;г в таблетке), какао порошок (11,4&amp;nbsp;мг в таблетке), кальция стеарат (12&amp;nbsp;мг в таблетке), крахмал картофельный (11,4&amp;nbsp;мг в таблетке), ментол (2,2&amp;nbsp;мг в таблетке), сахарин (1,1&amp;nbsp;мг в таблетке).&lt;/p&gt;</t>
  </si>
  <si>
    <t>https://grls.rosminzdrav.ru/InstrImg/2020/06/13/86486/475a8abf-d0b5-425d-9ae0-6f893e6a19eb.pdf</t>
  </si>
  <si>
    <t>Одна доза вакцины содержит:
Действующее вещество: живая культура вакцинного штамма Yersinia pestis EV линии НИИЭГ — (2,4-3,6)x10⁸ живых микробных клеток (м.к.) в 0,5 мл для подкожного введения взрослым, или (2,4-3,6)x10⁸ живых м.к. в 0,1 мл для внутрикожного введения, или (2,4-3,6)x10⁹ живых м.к. в 0,15 мл для накожного скарификационного нанесения, или (2,0-8,0)x10⁹ живых м.к. в 0,15 мл для ингаляционного введения;
вспомогательные вещества (стабилизаторы): сахароза — (0,00143±0,00097) г, желатин — (0,000143±0,000097) г, тиомочевина — (0,000143±0,000097) г.</t>
  </si>
  <si>
    <t>&lt;p&gt;Одна доза вакцины содержит:&lt;/p&gt;
&lt;p&gt;Действующее вещество: живая культура вакцинного штамма Yersinia&amp;nbsp;pestis&amp;nbsp;EV линии НИИЭГ — (2,4-3,6)x10⁸ живых микробных клеток (м.к.) в 0,5&amp;nbsp;мл для подкожного введения взрослым, или (2,4-3,6)x10⁸ живых м.к. в 0,1&amp;nbsp;мл для внутрикожного введения, или (2,4-3,6)x10⁹ живых м.к. в 0,15&amp;nbsp;мл для накожного скарификационного нанесения, или (2,0-8,0)x10⁹ живых м.к. в 0,15&amp;nbsp;мл для ингаляционного введения;&lt;/p&gt;
&lt;p&gt;вспомогательные вещества (стабилизаторы): сахароза — (0,00143±0,00097)&amp;nbsp;г, желатин — (0,000143±0,000097)&amp;nbsp;г, тиомочевина — (0,000143±0,000097)&amp;nbsp;г.&lt;/p&gt;</t>
  </si>
  <si>
    <t>https://grls.rosminzdrav.ru/InstrImg/2021/7/6/1470535/%D0%9B%D0%A1%D0%A0-005759_08[2020]_0.pdf</t>
  </si>
  <si>
    <r>
      <rPr>
        <rFont val="Arial"/>
        <color theme="1"/>
      </rPr>
      <t xml:space="preserve">Смесь инактивированных нагреванием вирулентных микробов штаммов </t>
    </r>
    <r>
      <rPr>
        <rFont val="Arial"/>
        <i/>
        <color theme="1"/>
      </rPr>
      <t>Brucella melitensis</t>
    </r>
    <r>
      <rPr>
        <rFont val="Arial"/>
        <color theme="1"/>
      </rPr>
      <t xml:space="preserve"> №№21, 145  и </t>
    </r>
    <r>
      <rPr>
        <rFont val="Arial"/>
        <i/>
        <color theme="1"/>
      </rPr>
      <t>Brucella abortus</t>
    </r>
    <r>
      <rPr>
        <rFont val="Arial"/>
        <color theme="1"/>
      </rPr>
      <t xml:space="preserve"> №544 в соотношении 1:1:1 (2 млрд. микробных клеток в ампуле), разбавитель: натрия хлорид (0,018 г в ампуле), консервант: фенол (5 мг в ампуле).</t>
    </r>
  </si>
  <si>
    <t>&lt;p&gt;Смесь инактивированных нагреванием вирулентных микробов штаммов &lt;i&gt;Brucella&amp;nbsp;melitensis&lt;/i&gt; №№21, 145  и &lt;i&gt;Brucella&amp;nbsp;abortus&lt;/i&gt; №544 в соотношении 1:1:1 (2&amp;nbsp;млрд. микробных клеток в ампуле), разбавитель: натрия хлорид (0,018&amp;nbsp;г в ампуле), консервант: фенол (5&amp;nbsp;мг в ампуле).&lt;/p&gt;</t>
  </si>
  <si>
    <t>https://grls.rosminzdrav.ru/InstrImg/2020/06/08/86489/1668d555-c914-4376-a4a0-b5164cb2a0e9.pdf</t>
  </si>
  <si>
    <r>
      <rPr>
        <rFont val="Arial"/>
        <color theme="1"/>
      </rPr>
      <t xml:space="preserve">Одна доза вакцины содержит:
</t>
    </r>
    <r>
      <rPr>
        <rFont val="Arial"/>
        <i/>
        <color theme="1"/>
      </rPr>
      <t>Действующее вещество:</t>
    </r>
    <r>
      <rPr>
        <rFont val="Arial"/>
        <color theme="1"/>
      </rPr>
      <t xml:space="preserve"> живая культура вакцинного штамма </t>
    </r>
    <r>
      <rPr>
        <rFont val="Arial"/>
        <i/>
        <color theme="1"/>
      </rPr>
      <t>Brucella abortus</t>
    </r>
    <r>
      <rPr>
        <rFont val="Arial"/>
        <color theme="1"/>
      </rPr>
      <t xml:space="preserve"> 19 BA для накожного скарификационного нанесения — от 4х10⁹ до 1,6х10¹⁰ живых микробных клеток (м.к.) в 0,1 мл восстановленного пррепарата; для подкожного введения — от 3,4х10⁸ до 4,6х10⁸ живых м.к. в 0,5 мл восстановленного препарата.
</t>
    </r>
    <r>
      <rPr>
        <rFont val="Arial"/>
        <i/>
        <color theme="1"/>
      </rPr>
      <t>Вспомогательные вещества</t>
    </r>
    <r>
      <rPr>
        <rFont val="Arial"/>
        <color theme="1"/>
      </rPr>
      <t>: сахароза — 15 мг, натрия глутамата моногидрат — 2,25 мг, тиомочевина — 0,75 мг, желатин — 2,25 мг.</t>
    </r>
  </si>
  <si>
    <r>
      <rPr>
        <rFont val="Arial"/>
        <color theme="1"/>
      </rPr>
      <t xml:space="preserve">&lt;p&gt;Одна доза вакцины содержит:&lt;/p&gt;
</t>
    </r>
    <r>
      <rPr>
        <rFont val="Arial"/>
        <i/>
        <color theme="1"/>
      </rPr>
      <t>&lt;p&gt;&lt;i&gt;Действующее вещество:</t>
    </r>
    <r>
      <rPr>
        <rFont val="Arial"/>
        <color theme="1"/>
      </rPr>
      <t>&lt;/i&gt; живая культура вакцинного штамма &lt;i&gt;</t>
    </r>
    <r>
      <rPr>
        <rFont val="Arial"/>
        <i/>
        <color theme="1"/>
      </rPr>
      <t>Brucella&amp;nbsp;abortus&lt;/i&gt;&amp;nbsp;</t>
    </r>
    <r>
      <rPr>
        <rFont val="Arial"/>
        <color theme="1"/>
      </rPr>
      <t xml:space="preserve">19&amp;nbsp;BA для накожного скарификационного нанесения — от 4х10⁹ до 1,6х10¹⁰ живых микробных клеток (м.к.) в 0,1&amp;nbsp;мл восстановленного пррепарата; для подкожного введения — от 3,4х10⁸ до 4,6х10⁸ живых м.к. в 0,5&amp;nbsp;мл восстановленного препарата.&lt;/p&gt;
</t>
    </r>
    <r>
      <rPr>
        <rFont val="Arial"/>
        <i/>
        <color theme="1"/>
      </rPr>
      <t>&lt;p&gt;&lt;i&gt;Вспомогательные вещества&lt;/i&gt;</t>
    </r>
    <r>
      <rPr>
        <rFont val="Arial"/>
        <color theme="1"/>
      </rPr>
      <t>: сахароза — 15&amp;nbsp;мг, натрия глутамата моногидрат — 2,25&amp;nbsp;мг, тиомочевина — 0,75&amp;nbsp;мг, желатин — 2,25&amp;nbsp;мг.&lt;/p&gt;</t>
    </r>
  </si>
  <si>
    <t>https://grls.rosminzdrav.ru/InstrImg/2025/04/08/1515924/2cb5904f-0eb6-4463-9e6d-a2aa95a7192c.pdf</t>
  </si>
  <si>
    <r>
      <rPr>
        <rFont val="Arial"/>
        <color theme="1"/>
      </rPr>
      <t xml:space="preserve">Одна доза содержит:
</t>
    </r>
    <r>
      <rPr>
        <rFont val="Arial"/>
        <i/>
        <color theme="1"/>
      </rPr>
      <t>Действующее вещество:</t>
    </r>
    <r>
      <rPr>
        <rFont val="Arial"/>
        <color theme="1"/>
      </rPr>
      <t xml:space="preserve"> споры Bacillus anthracis СТИ-1 — от 400 до 600 млн спор в 0,05 мл для накожного скарификационного нанесения или от 40 до 60 млн спор в 0,5 мл для подкожного введения.
</t>
    </r>
    <r>
      <rPr>
        <rFont val="Arial"/>
        <i/>
        <color theme="1"/>
      </rPr>
      <t>Вспомогательные вещества</t>
    </r>
    <r>
      <rPr>
        <rFont val="Arial"/>
        <color theme="1"/>
      </rPr>
      <t xml:space="preserve"> (для накожного скарификационного нанесения):
• сахароза — 10 мг;
• глицерол — 0,015 мл;
• вода для инъекций — до 0,05 мл.
</t>
    </r>
    <r>
      <rPr>
        <rFont val="Arial"/>
        <i/>
        <color theme="1"/>
      </rPr>
      <t>Вспомогательные вещества</t>
    </r>
    <r>
      <rPr>
        <rFont val="Arial"/>
        <color theme="1"/>
      </rPr>
      <t xml:space="preserve"> (для подкожного введения):
• сахароза — 1 мг;
• натрия хлорид — 4,5 мг;
• вода для инъекций — до 0,5 мл.</t>
    </r>
  </si>
  <si>
    <r>
      <rPr>
        <rFont val="Arial"/>
        <color theme="1"/>
      </rPr>
      <t xml:space="preserve">&lt;p&gt;Одна доза содержит:&lt;/p&gt;
</t>
    </r>
    <r>
      <rPr>
        <rFont val="Arial"/>
        <i/>
        <color theme="1"/>
      </rPr>
      <t>&lt;p&gt;&lt;i&gt;Действующее вещество:&lt;/i&gt;</t>
    </r>
    <r>
      <rPr>
        <rFont val="Arial"/>
        <color theme="1"/>
      </rPr>
      <t xml:space="preserve"> споры &lt;i&gt;Bacillus&amp;nbsp;anthracis&lt;/i&gt;&amp;nbsp;СТИ-1 — от 400 до 600&amp;nbsp;млн спор в 0,05&amp;nbsp;мл для накожного скарификационного нанесения или от 40 до 60&amp;nbsp;млн спор в 0,5&amp;nbsp;мл для подкожного введения.&lt;/p&gt;
</t>
    </r>
    <r>
      <rPr>
        <rFont val="Arial"/>
        <i/>
        <color theme="1"/>
      </rPr>
      <t>&lt;p&gt;&lt;i&gt;Вспомогательные вещества&lt;/i&gt;</t>
    </r>
    <r>
      <rPr>
        <rFont val="Arial"/>
        <color theme="1"/>
      </rPr>
      <t xml:space="preserve"> (для накожного скарификационного нанесения):
&lt;ul&gt;&lt;li&gt;сахароза — 10&amp;nbsp;мг;&lt;/li&gt;
&lt;li&gt;глицерол — 0,015&amp;nbsp;мл;&lt;/li&gt;
&lt;li&gt;вода для инъекций — до 0,05&amp;nbsp;мл.&lt;/li&gt;&lt;/ul&gt;
</t>
    </r>
    <r>
      <rPr>
        <rFont val="Arial"/>
        <i/>
        <color theme="1"/>
      </rPr>
      <t>&lt;i&gt;Вспомогательные вещества&lt;/i&gt;</t>
    </r>
    <r>
      <rPr>
        <rFont val="Arial"/>
        <color theme="1"/>
      </rPr>
      <t xml:space="preserve"> (для подкожного введения):
&lt;ul&gt;&lt;li&gt;сахароза — 1&amp;nbsp;мг;&lt;/li&gt;
&lt;li&gt;натрия хлорид — 4,5&amp;nbsp;мг;&lt;/li&gt;
&lt;li&gt;вода для инъекций — до 0,5&amp;nbsp;мл.&lt;/li&gt;&lt;/ul&gt;&lt;/p&gt;</t>
    </r>
  </si>
  <si>
    <t>https://grls.rosminzdrav.ru/InstrImg/2019/10/25/1448929/%D0%A0_N001273_01[2019]_0.pdf</t>
  </si>
  <si>
    <r>
      <rPr>
        <rFont val="Arial"/>
        <color theme="1"/>
      </rPr>
      <t xml:space="preserve">Смесь живых спор вакцинного штамма </t>
    </r>
    <r>
      <rPr>
        <rFont val="Arial"/>
        <i/>
        <color theme="1"/>
      </rPr>
      <t>Bacillus anthracis</t>
    </r>
    <r>
      <rPr>
        <rFont val="Arial"/>
        <color theme="1"/>
      </rPr>
      <t> СТИ-1 (500 млн. спор в ампуле) и очищенного концентрированного протективного сибиреязвенного антигена (350 ИД₅₀ для белых мышей в ампуле), адсорбированного на геле алюминия гидроксида (не более 25 мг в ампуле), стабилизатор: сахароза (0,2 г в ампуле).</t>
    </r>
  </si>
  <si>
    <t>&lt;p&gt;Смесь живых спор вакцинного штамма &lt;i&gt;Bacillus&amp;nbsp;anthracis&lt;/i&gt;&amp;nbsp;СТИ-1 (500&amp;nbsp;млн. спор в ампуле) и очищенного концентрированного протективного сибиреязвенного антигена (350&amp;nbsp;ИД₅₀ для белых мышей в ампуле), адсорбированного на геле алюминия гидроксида (не более 25&amp;nbsp;мг в ампуле), стабилизатор: сахароза (0,2&amp;nbsp;г в ампуле).&lt;/p&gt;</t>
  </si>
  <si>
    <t>https://grls.rosminzdrav.ru/InstrImg/2020/08/24/86488/cd62e567-52e1-43cd-a128-999c87d1773a.pdf</t>
  </si>
  <si>
    <r>
      <rPr>
        <rFont val="Arial"/>
        <color theme="1"/>
      </rPr>
      <t xml:space="preserve">1 прививочная доза (1 мл) содержит¹:
</t>
    </r>
    <r>
      <rPr>
        <rFont val="Arial"/>
        <i/>
        <color theme="1"/>
      </rPr>
      <t>Действующее вещество:</t>
    </r>
    <r>
      <rPr>
        <rFont val="Arial"/>
        <color theme="1"/>
      </rPr>
      <t xml:space="preserve">
• Инактивированный вирус бешенства [штамм Flury LЕР, выращенный в культуре клеток куриных эмбрионов] — не менее 2,5 МЕ.
</t>
    </r>
    <r>
      <rPr>
        <rFont val="Arial"/>
        <i/>
        <color theme="1"/>
      </rPr>
      <t>Вспомогательные вещества:</t>
    </r>
    <r>
      <rPr>
        <rFont val="Arial"/>
        <color theme="1"/>
      </rPr>
      <t xml:space="preserve">
• Трометамол (трисгидроксиметиламинометан) — 3,0-4,0 мг.
• Натрия хлорид — 4,0-5,0 мг.
• Динатрия эдетата дигидрат (ЭДТА, Титриплекс III) — 0,2-0,3 мг.
• Калия L-глутамат — 0,8-1,0 мг.
• Полигелин  — 9,0-12,0 мг.
• Сахароза — 20,0-100,0 мг.
</t>
    </r>
    <r>
      <rPr>
        <rFont val="Arial"/>
        <i/>
        <color theme="1"/>
      </rPr>
      <t>Растворитель:</t>
    </r>
    <r>
      <rPr>
        <rFont val="Arial"/>
        <color theme="1"/>
      </rPr>
      <t xml:space="preserve">
• Вода для инъекций — 1,0 мл.
Примечание:
¹ - Вакцина не содержит консервантов.</t>
    </r>
  </si>
  <si>
    <r>
      <rPr>
        <rFont val="Arial"/>
        <color theme="1"/>
      </rPr>
      <t xml:space="preserve">&lt;p&gt;1&amp;nbsp;прививочная доза (1&amp;nbsp;мл) содержит¹:&lt;br&gt;&lt;br&gt;
</t>
    </r>
    <r>
      <rPr>
        <rFont val="Arial"/>
        <i/>
        <color theme="1"/>
      </rPr>
      <t>&lt;i&gt;Действующее вещество:</t>
    </r>
    <r>
      <rPr>
        <rFont val="Arial"/>
        <color theme="1"/>
      </rPr>
      <t xml:space="preserve">&lt;/i&gt;
&lt;ul&gt;&lt;li&gt;Инактивированный вирус бешенства [штамм Flury&amp;nbsp;LЕР, выращенный в культуре клеток куриных эмбрионов] — не менее 2,5&amp;nbsp;МЕ.&lt;/li&gt;&lt;/ul&gt;
</t>
    </r>
    <r>
      <rPr>
        <rFont val="Arial"/>
        <i/>
        <color theme="1"/>
      </rPr>
      <t>&lt;i&gt;Вспомогательные вещества:</t>
    </r>
    <r>
      <rPr>
        <rFont val="Arial"/>
        <color theme="1"/>
      </rPr>
      <t xml:space="preserve">&lt;/i&gt;
&lt;ul&gt;&lt;li&gt;Трометамол (трисгидроксиметиламинометан) — 3,0-4,0&amp;nbsp;мг.&lt;/li&gt;
&lt;li&gt;Натрия хлорид — 4,0-5,0&amp;nbsp;мг.&lt;/li&gt;
&lt;li&gt;Динатрия эдетата дигидрат (ЭДТА, Титриплекс&amp;nbsp;III) — 0,2-0,3&amp;nbsp;мг.&lt;/li&gt;
&lt;li&gt;Калия L-глутамат — 0,8-1,0&amp;nbsp;мг.&lt;/li&gt;
&lt;li&gt;Полигелин  — 9,0-12,0&amp;nbsp;мг.&lt;/li&gt;
&lt;li&gt;Сахароза — 20,0-100,0&amp;nbsp;мг.&lt;/li&gt;&lt;/ul&gt;
</t>
    </r>
    <r>
      <rPr>
        <rFont val="Arial"/>
        <i/>
        <color theme="1"/>
      </rPr>
      <t>&lt;i&gt;Растворитель:</t>
    </r>
    <r>
      <rPr>
        <rFont val="Arial"/>
        <color theme="1"/>
      </rPr>
      <t>&lt;/i&gt;
&lt;ul&gt;&lt;li&gt;Вода для инъекций — 1,0&amp;nbsp;мл.&lt;/li&gt;&lt;/ul&gt;
Примечание:&lt;br&gt;
¹ - Вакцина не содержит консервантов.&lt;/p&gt;</t>
    </r>
  </si>
  <si>
    <t>https://grls.rosminzdrav.ru/InstrImg/2021/09/20/1473405/41395d1f-d6e8-41d5-88fe-a1a29b28be83.pdf</t>
  </si>
  <si>
    <t>Одна доза (0,5 мл) вакцины содержит: 
• действующие вещества: смесь инактивированных концентрированных культур лептоспир четырех серогрупп: Leptospira interrogans Icterohaemorrhagiae copenhageni (Крыса 2/466), Leptospira interrogans Grippotyphosa grippotyphosa (Microtus arvalis 30/469), Leptospira interrogans Pomona mozdok (48B/470), Leptospira interrogans Sejroe sejroe (Mus musculus 751/471) не менее (20±2)x10⁶ микробных клеток;
• вспомогательное вещество: формальдегид — не более 0,03%.</t>
  </si>
  <si>
    <t>&lt;p&gt;Одна доза (0,5&amp;nbsp;мл) вакцины содержит: 
&lt;ul&gt;&lt;li&gt;действующие вещества: смесь инактивированных концентрированных культур лептоспир четырех серогрупп: Leptospira interrogans Icterohaemorrhagiae copenhageni (Крыса&amp;nbsp;2/466), Leptospira interrogans Grippotyphosa grippotyphosa (Microtus arvalis 30/469), Leptospira interrogans Pomona mozdok (48B/470), Leptospira interrogans Sejroe sejroe (Mus musculus 751/471) не менее (20±2)x10⁶&amp;nbsp;микробных клеток;&lt;/li&gt;
&lt;li&gt;вспомогательное вещество: формальдегид — не более 0,03%.&lt;/li&gt;&lt;/ul&gt;&lt;/p&gt;</t>
  </si>
  <si>
    <t>https://grls.rosminzdrav.ru/InstrImg/2020/11/27/1463688/%D0%A0_N002481_01[2020]_0.pdf</t>
  </si>
  <si>
    <r>
      <rPr>
        <rFont val="Arial"/>
        <color theme="1"/>
      </rPr>
      <t xml:space="preserve">Одна доза вакцины содержит:
</t>
    </r>
    <r>
      <rPr>
        <rFont val="Arial"/>
        <i/>
        <color theme="1"/>
      </rPr>
      <t>Действующее вещество:</t>
    </r>
    <r>
      <rPr>
        <rFont val="Arial"/>
        <color theme="1"/>
      </rPr>
      <t xml:space="preserve"> живые коксиеллы Бернета аттенуированного вакцинного штамма М-44 — 5х10⁷-5×10⁹ минимальных инфицирующих доз для куриных эмбрионов (МИДэ).
</t>
    </r>
    <r>
      <rPr>
        <rFont val="Arial"/>
        <i/>
        <color theme="1"/>
      </rPr>
      <t>Вспомогательные вещества:</t>
    </r>
    <r>
      <rPr>
        <rFont val="Arial"/>
        <color theme="1"/>
      </rPr>
      <t xml:space="preserve"> компоненты среды высушивания: сахароза — 1%, молоко питьевое обезжиренное стерильное — 49%.
</t>
    </r>
    <r>
      <rPr>
        <rFont val="Arial"/>
        <i/>
        <color theme="1"/>
      </rPr>
      <t>Состав растворителя на 1 мл:</t>
    </r>
    <r>
      <rPr>
        <rFont val="Arial"/>
        <color theme="1"/>
      </rPr>
      <t xml:space="preserve"> натрия хлорид — 9 мг, вода для инъекций — до 1 мл.</t>
    </r>
  </si>
  <si>
    <t>&lt;p&gt;Одна доза вакцины содержит:&lt;br&gt;&lt;br&gt;
&lt;i&gt;Действующее вещество:&lt;/i&gt; живые коксиеллы Бернета аттенуированного вакцинного штамма М-44 — 5х10⁷-5×10⁹&amp;nbsp;минимальных инфицирующих доз для куриных эмбрионов (МИДэ).&lt;br&gt;&lt;br&gt;
&lt;i&gt;Вспомогательные вещества:&lt;/i&gt; компоненты среды высушивания: сахароза — 1%, молоко питьевое обезжиренное стерильное — 49%.&lt;br&gt;&lt;br&gt;
&lt;i&gt;Состав растворителя на 1&amp;nbsp;мл:&lt;/i&gt; натрия хлорид — 9&amp;nbsp;мг, вода для инъекций — до 1&amp;nbsp;мл.&lt;/p&gt;</t>
  </si>
  <si>
    <t>https://grls.rosminzdrav.ru/InstrImg/2025/02/06/1513573/c7fd0ba6-d018-4726-b9e2-1ae791edec76.pdf</t>
  </si>
  <si>
    <r>
      <rPr>
        <rFont val="Arial"/>
        <i/>
        <color theme="1"/>
      </rPr>
      <t>Действующие вещества:</t>
    </r>
    <r>
      <rPr>
        <rFont val="Arial"/>
        <color theme="1"/>
      </rPr>
      <t xml:space="preserve"> смесь холерогена-анатоксина и О-антигена штаммов V. cholerae O1.
</t>
    </r>
    <r>
      <rPr>
        <rFont val="Arial"/>
        <i/>
        <color theme="1"/>
      </rPr>
      <t>Вспомогательные вещества:</t>
    </r>
    <r>
      <rPr>
        <rFont val="Arial"/>
        <color theme="1"/>
      </rPr>
      <t xml:space="preserve">
Сахар-песок — от 125,0 до 170,0 мг; крахмал — (80,0±5,0) мг; тальк — (10,0±5,0) мг; кальций стеарат — (10,0±5,0) мг.
</t>
    </r>
    <r>
      <rPr>
        <rFont val="Arial"/>
        <i/>
        <color theme="1"/>
      </rPr>
      <t>Оболочка таблетки:</t>
    </r>
    <r>
      <rPr>
        <rFont val="Arial"/>
        <color theme="1"/>
      </rPr>
      <t xml:space="preserve"> целлацефат (ацетилфталилцеллюлоза) — (8,55±0,05) мг.</t>
    </r>
  </si>
  <si>
    <r>
      <rPr>
        <rFont val="Arial"/>
        <i/>
        <color theme="1"/>
      </rPr>
      <t>&lt;p&gt;&lt;i&gt;Действующие вещества:&lt;/i&gt;</t>
    </r>
    <r>
      <rPr>
        <rFont val="Arial"/>
        <color theme="1"/>
      </rPr>
      <t xml:space="preserve"> смесь холерогена-анатоксина и О-антигена штаммов V.&amp;nbsp;cholerae&amp;nbsp;O1.&lt;/p&gt;
</t>
    </r>
    <r>
      <rPr>
        <rFont val="Arial"/>
        <i/>
        <color theme="1"/>
      </rPr>
      <t>&lt;p&gt;&lt;i&gt;Вспомогательные вещества:</t>
    </r>
    <r>
      <rPr>
        <rFont val="Arial"/>
        <color theme="1"/>
      </rPr>
      <t xml:space="preserve">&lt;/i&gt;&lt;br&gt;
Сахар-песок — от 125,0 до 170,0&amp;nbsp;мг; крахмал — (80,0±5,0)&amp;nbsp;мг; тальк — (10,0±5,0)&amp;nbsp;мг; кальций стеарат — (10,0±5,0)&amp;nbsp;мг.&lt;/p&gt;
</t>
    </r>
    <r>
      <rPr>
        <rFont val="Arial"/>
        <i/>
        <color theme="1"/>
      </rPr>
      <t>&lt;p&gt;&lt;i&gt;Оболочка таблетки:</t>
    </r>
    <r>
      <rPr>
        <rFont val="Arial"/>
        <color theme="1"/>
      </rPr>
      <t>&lt;/i&gt; целлацефат (ацетилфталилцеллюлоза) — (8,55±0,05)&amp;nbsp;мг.&lt;/p&gt;</t>
    </r>
  </si>
  <si>
    <t>https://grls.rosminzdrav.ru/InstrImg/2022/12/12/1489555/281290ac-8b7f-4930-a191-7eff9a7cb147.pdf</t>
  </si>
  <si>
    <r>
      <rPr>
        <rFont val="Arial"/>
        <color theme="1"/>
      </rPr>
      <t xml:space="preserve">1 доза вакцины (0,5 мл) содержит:
• Ви-антиген¹ — 25 мкг.
¹ получен из культуры </t>
    </r>
    <r>
      <rPr>
        <rFont val="Arial"/>
        <i/>
        <color theme="1"/>
      </rPr>
      <t xml:space="preserve">Salmonella typhi </t>
    </r>
    <r>
      <rPr>
        <rFont val="Arial"/>
        <color theme="1"/>
      </rPr>
      <t xml:space="preserve">Ty-2 № 4446, очищенного ферментативными и физико-химическими методами.
</t>
    </r>
    <r>
      <rPr>
        <rFont val="Arial"/>
        <i/>
        <color theme="1"/>
      </rPr>
      <t>Перечень вспомогательных веществ:</t>
    </r>
    <r>
      <rPr>
        <rFont val="Arial"/>
        <color theme="1"/>
      </rPr>
      <t xml:space="preserve">
• Фенол;
• Натрия хлорид;
• Динатрия гидрофосфат гептагидрат;
• Натрия дигидрофосфат дигидрат;
• Вода для инъекций.</t>
    </r>
  </si>
  <si>
    <r>
      <rPr>
        <rFont val="Arial"/>
        <color theme="1"/>
      </rPr>
      <t xml:space="preserve">&lt;p&gt;1&amp;nbsp;доза вакцины (0,5&amp;nbsp;мл) содержит:
&lt;ul&gt;&lt;li&gt;Ви-антиген¹ — 25&amp;nbsp;мкг.&lt;/li&gt;&lt;/ul&gt;
¹&amp;nbsp;получен из культуры </t>
    </r>
    <r>
      <rPr>
        <rFont val="Arial"/>
        <i/>
        <color theme="1"/>
      </rPr>
      <t xml:space="preserve">&lt;i&gt;Salmonella typhi&lt;/i&gt; </t>
    </r>
    <r>
      <rPr>
        <rFont val="Arial"/>
        <color theme="1"/>
      </rPr>
      <t>Ty-2 №&amp;nbsp;4446, очищенного ферментативными и физико-химическими методами.&lt;br&gt;&lt;br&gt;
&lt;i&gt;Перечень вспомогательных веществ:&lt;/i&gt;
&lt;ul&gt;&lt;li&gt;Фенол;&lt;/li&gt;
&lt;li&gt;Натрия хлорид;&lt;/li&gt;
&lt;li&gt;Динатрия гидрофосфат гептагидрат;&lt;/li&gt;
&lt;li&gt;Натрия дигидрофосфат дигидрат;&lt;/li&gt;
&lt;li&gt;Вода для инъекций.&lt;/li&gt;&lt;/ul&gt;&lt;/p&gt;</t>
    </r>
  </si>
  <si>
    <t>https://grls.rosminzdrav.ru/InstrImg/2026/02/06/1526184/204c2bdf-4b3b-45c5-b641-f7ce1ae753b3.pdf</t>
  </si>
  <si>
    <t>Вакцина представляет собой инактивированные этиловым спиртом лиофилизированные микробные клетки S. typhi Ту-2 №4446.
1 мл содержит 5 млрд. микробных клеток. Консервант — фенол не более 0,05%.
Растворитель — натрия хлорида изотонический раствор для инъекций 0,9%.</t>
  </si>
  <si>
    <t>&lt;p&gt;Вакцина представляет собой инактивированные этиловым спиртом лиофилизированные микробные клетки S.&amp;nbsp;typhi Ту-2&amp;nbsp;№4446.&lt;br&gt;
1&amp;nbsp;мл содержит 5&amp;nbsp;млрд. микробных клеток. Консервант — фенол не более 0,05%.&lt;br&gt;
Растворитель — натрия хлорида изотонический раствор для инъекций 0,9%.&lt;/p&gt;</t>
  </si>
  <si>
    <t>https://grls.rosminzdrav.ru/InstrImg/2021/6/4/1469733/%D0%A0_N000661_01[2017]_0.pdf</t>
  </si>
  <si>
    <r>
      <rPr>
        <rFont val="Arial"/>
        <color theme="1"/>
      </rPr>
      <t xml:space="preserve">1 доза (0,5 мл) содержит:
• Низкотоксичный полисахарид </t>
    </r>
    <r>
      <rPr>
        <rFont val="Arial"/>
        <i/>
        <color theme="1"/>
      </rPr>
      <t>Shigella sonnei</t>
    </r>
    <r>
      <rPr>
        <rFont val="Arial"/>
        <color theme="1"/>
      </rPr>
      <t xml:space="preserve">¹ — 50 мкг.
¹ — Получен из культуры </t>
    </r>
    <r>
      <rPr>
        <rFont val="Arial"/>
        <i/>
        <color theme="1"/>
      </rPr>
      <t>Shigella sonnei</t>
    </r>
    <r>
      <rPr>
        <rFont val="Arial"/>
        <color theme="1"/>
      </rPr>
      <t xml:space="preserve"> и очищен ферментативными и физико-химическими методами.
</t>
    </r>
    <r>
      <rPr>
        <rFont val="Arial"/>
        <i/>
        <color theme="1"/>
      </rPr>
      <t>Перечень вспомогательных веществ:</t>
    </r>
    <r>
      <rPr>
        <rFont val="Arial"/>
        <color theme="1"/>
      </rPr>
      <t xml:space="preserve">
• Фенол;
• Натрия хлорид;
• Динатрия гидрофосфат гептагидрат;
• Натрия дигидрофосфат дигидрат;
• Вода для инъекций.</t>
    </r>
  </si>
  <si>
    <t>&lt;p&gt;1&amp;nbsp;доза (0,5&amp;nbsp;мл) содержит:
&lt;ul&gt;&lt;li&gt;Низкотоксичный полисахарид &lt;i&gt;Shigella sonnei&lt;/i&gt;¹ — 50&amp;nbsp;мкг.&lt;/li&gt;&lt;/ul&gt;
¹&amp;nbsp;—&amp;nbsp;Получен из культуры &lt;i&gt;Shigella sonnei&lt;/i&gt; и очищен ферментативными и физико-химическими методами.&lt;br&gt;&lt;br&gt;
&lt;i&gt;Перечень вспомогательных веществ:&lt;/i&gt;
&lt;ul&gt;&lt;li&gt;Фенол;&lt;/li&gt;
&lt;li&gt;Натрия хлорид;&lt;/li&gt;
&lt;li&gt;Динатрия гидрофосфат гептагидрат;&lt;/li&gt;
&lt;li&gt;Натрия дигидрофосфат дигидрат;&lt;/li&gt;
&lt;li&gt;Вода для инъекций.&lt;/li&gt;&lt;/ul&gt;&lt;/p&gt;</t>
  </si>
  <si>
    <t>https://grls.rosminzdrav.ru/InstrImg/2026/02/03/1525996/748a2896-887a-40f1-82c0-510ac345461d.pdf</t>
  </si>
  <si>
    <r>
      <rPr>
        <rFont val="Arial"/>
        <color theme="1"/>
      </rPr>
      <t xml:space="preserve">На 1 дозу (0,5 мл):
</t>
    </r>
    <r>
      <rPr>
        <rFont val="Arial"/>
        <i/>
        <color theme="1"/>
      </rPr>
      <t>Действующее вещество:</t>
    </r>
    <r>
      <rPr>
        <rFont val="Arial"/>
        <color theme="1"/>
      </rPr>
      <t xml:space="preserve">
• Антиген инактивированного коронавируса SARS-CoV-2* — не менее 3 мкг**.
</t>
    </r>
    <r>
      <rPr>
        <rFont val="Arial"/>
        <i/>
        <color theme="1"/>
      </rPr>
      <t>Вспомогательные вещества:</t>
    </r>
    <r>
      <rPr>
        <rFont val="Arial"/>
        <color theme="1"/>
      </rPr>
      <t xml:space="preserve">
• Алюминия гидроксид — 0,3-0,5 мг.
• Буферный раствор (фосфатный) (динатрия фосфат дигидрат, натрия дигидрофосфата дигидрат, натрия хлорид, вода для инъекций) — до 0,5 мл.
* -  Получен путем репродукции в перевиваемой культуре клеток линии Vero.
** - Является величиной расчетной.
Не содержит антибиотиков и консервантов.</t>
    </r>
  </si>
  <si>
    <r>
      <rPr>
        <rFont val="Arial"/>
        <color theme="1"/>
      </rPr>
      <t xml:space="preserve">&lt;p&gt;На 1&amp;nbsp;дозу (0,5&amp;nbsp;мл):&lt;/p&gt;
</t>
    </r>
    <r>
      <rPr>
        <rFont val="Arial"/>
        <i/>
        <color theme="1"/>
      </rPr>
      <t>&lt;p&gt;&lt;i&gt;Действующее вещество:</t>
    </r>
    <r>
      <rPr>
        <rFont val="Arial"/>
        <color theme="1"/>
      </rPr>
      <t xml:space="preserve">&lt;/i&gt;
&lt;ul&gt;&lt;li&gt;Антиген инактивированного коронавируса SARS-CoV-2* — не менее 3&amp;nbsp;мкг**.&lt;/li&gt;&lt;/ul&gt;
</t>
    </r>
    <r>
      <rPr>
        <rFont val="Arial"/>
        <i/>
        <color theme="1"/>
      </rPr>
      <t>&lt;i&gt;Вспомогательные вещества:</t>
    </r>
    <r>
      <rPr>
        <rFont val="Arial"/>
        <color theme="1"/>
      </rPr>
      <t>&lt;/i&gt;
&lt;ul&gt;&lt;li&gt;Алюминия гидроксид — 0,3-0,5&amp;nbsp;мг.&lt;/li&gt;
&lt;li&gt;Буферный раствор (фосфатный) (динатрия фосфат дигидрат, натрия дигидрофосфата дигидрат, натрия хлорид, вода для инъекций) — до 0,5&amp;nbsp;мл.&lt;/li&gt;&lt;/ul&gt;
* - Получен путем репродукции в перевиваемой культуре клеток линии Vero.&lt;br&gt;
** - Является величиной расчетной.&lt;/p&gt;
&lt;p&gt;Не содержит антибиотиков и консервантов.&lt;/p&gt;</t>
    </r>
  </si>
  <si>
    <t>https://grls.rosminzdrav.ru/InstrImg/2022/10/26/1480925/8a4034a5-ce9e-4e60-8aed-62309841b33e.pdf</t>
  </si>
  <si>
    <r>
      <rPr>
        <rFont val="Arial"/>
        <color theme="1"/>
      </rPr>
      <t xml:space="preserve">1 доза (0,5 мл) содержит:
• рекомбинантные аденовирусные частицы 26 серотипа¹, содержащие ген белка S вируса SARS-CoV-2² — (1,0±0,5)х10¹¹ частиц.
¹ получены из клеток человека (HEK293) после трансдукции этих клеток;
² вариант ХВВ штамма омикрон коронавируса SARS-CoV-2.
</t>
    </r>
    <r>
      <rPr>
        <rFont val="Arial"/>
        <i/>
        <color theme="1"/>
      </rPr>
      <t xml:space="preserve">
Перечень вспомогательных веществ:</t>
    </r>
    <r>
      <rPr>
        <rFont val="Arial"/>
        <color theme="1"/>
      </rPr>
      <t xml:space="preserve">
• Трис(гидроксиметил)аминометан;
• Натрия хлорид;
• Сахароза;
• Полисорбат;
• Магния хлорида гексагидрат;
• ЭДТА динатриевая соль дигидрат;
• Этанол 95 %;
• Вода для инъекций.</t>
    </r>
  </si>
  <si>
    <r>
      <rPr>
        <rFont val="Arial"/>
        <color theme="1"/>
      </rPr>
      <t xml:space="preserve">&lt;p&gt;1&amp;nbsp;доза (0,5&amp;nbsp;мл) содержит:
&lt;ul&gt;&lt;li&gt;рекомбинантные аденовирусные частицы 26&amp;nbsp;серотипа¹, содержащие ген белка&amp;nbsp;S вируса SARS-CoV-2² — (1,0±0,5)х10¹¹&amp;nbsp;частиц.&lt;/li&gt;&lt;/ul&gt;
¹&amp;nbsp;получены из клеток человека (HEK293) после трансдукции этих клеток;&lt;br&gt;
²&amp;nbsp;вариант ХВВ штамма омикрон коронавируса SARS-CoV-2.&lt;br&gt;&lt;br&gt;
</t>
    </r>
    <r>
      <rPr>
        <rFont val="Arial"/>
        <i/>
        <color theme="1"/>
      </rPr>
      <t xml:space="preserve">
&lt;i&gt;Перечень вспомогательных веществ:</t>
    </r>
    <r>
      <rPr>
        <rFont val="Arial"/>
        <color theme="1"/>
      </rPr>
      <t>&lt;/i&gt;
&lt;ul&gt;&lt;li&gt;Трис(гидроксиметил)аминометан;&lt;/li&gt;
&lt;li&gt;Натрия хлорид;&lt;/li&gt;
&lt;li&gt;Сахароза;&lt;/li&gt;
&lt;li&gt;Полисорбат;&lt;/li&gt;
&lt;li&gt;Магния хлорида гексагидрат;&lt;/li&gt;
&lt;li&gt;ЭДТА динатриевая соль дигидрат;&lt;/li&gt;
&lt;li&gt;Этанол 95&amp;nbsp;%;&lt;/li&gt;
&lt;li&gt;Вода для инъекций.&lt;/li&gt;&lt;/ul&gt;&lt;/p&gt;</t>
    </r>
  </si>
  <si>
    <t>https://grls.rosminzdrav.ru/InstrImg/2025/06/20/1518412/cd0f3dff-5242-4a3d-b71e-22447afe0e73.pdf</t>
  </si>
  <si>
    <r>
      <rPr>
        <rFont val="Arial"/>
        <color theme="1"/>
      </rPr>
      <t xml:space="preserve">Компонент I содержит:
</t>
    </r>
    <r>
      <rPr>
        <rFont val="Arial"/>
        <i/>
        <color theme="1"/>
      </rPr>
      <t>Действующее вещество:</t>
    </r>
    <r>
      <rPr>
        <rFont val="Arial"/>
        <color theme="1"/>
      </rPr>
      <t xml:space="preserve"> рекомбинантные аденовирусные частицы 26 серотипа, содержащие ген белка S вируса SARS-CoV-2, в количестве (2,0±1,5)x10¹⁰ частиц.
</t>
    </r>
    <r>
      <rPr>
        <rFont val="Arial"/>
        <i/>
        <color theme="1"/>
      </rPr>
      <t>Вспомогательные вещества:</t>
    </r>
    <r>
      <rPr>
        <rFont val="Arial"/>
        <color theme="1"/>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
Компонент II содержит:
</t>
    </r>
    <r>
      <rPr>
        <rFont val="Arial"/>
        <i/>
        <color theme="1"/>
      </rPr>
      <t>Действующее вещество:</t>
    </r>
    <r>
      <rPr>
        <rFont val="Arial"/>
        <color theme="1"/>
      </rPr>
      <t xml:space="preserve"> рекомбинантные аденовирусные частицы 5 серотипа, содержащие ген белка S вируса SARS-CoV-2, в количестве (2,0±1,5)x10¹⁰ частиц.
</t>
    </r>
    <r>
      <rPr>
        <rFont val="Arial"/>
        <i/>
        <color theme="1"/>
      </rPr>
      <t>Вспомогательные вещества:</t>
    </r>
    <r>
      <rPr>
        <rFont val="Arial"/>
        <color theme="1"/>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t>
    </r>
  </si>
  <si>
    <r>
      <rPr>
        <rFont val="Arial"/>
        <color theme="1"/>
      </rPr>
      <t xml:space="preserve">&lt;p&gt;Компонент&amp;nbsp;I содержит:&lt;/p&gt;
</t>
    </r>
    <r>
      <rPr>
        <rFont val="Arial"/>
        <i/>
        <color theme="1"/>
      </rPr>
      <t>&lt;p&gt;&lt;i&gt;Действующее вещество:&lt;/i&gt;</t>
    </r>
    <r>
      <rPr>
        <rFont val="Arial"/>
        <color theme="1"/>
      </rPr>
      <t xml:space="preserve"> рекомбинантные аденовирусные частицы 26&amp;nbsp;серотипа, содержащие ген белка&amp;nbsp;S вируса SARS-CoV-2, в количестве (2,0±1,5)x10¹⁰&amp;nbsp;частиц.&lt;/p&gt;
</t>
    </r>
    <r>
      <rPr>
        <rFont val="Arial"/>
        <i/>
        <color theme="1"/>
      </rPr>
      <t>&lt;p&gt;&lt;i&gt;Вспомогательные вещества:&lt;/i&gt;</t>
    </r>
    <r>
      <rPr>
        <rFont val="Arial"/>
        <color theme="1"/>
      </rPr>
      <t xml:space="preserve">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
&lt;p&gt;Компонент&amp;nbsp;II содержит:&lt;/p&gt;
</t>
    </r>
    <r>
      <rPr>
        <rFont val="Arial"/>
        <i/>
        <color theme="1"/>
      </rPr>
      <t>&lt;p&gt;&lt;i&gt;Действующее вещество:&lt;/i&gt;</t>
    </r>
    <r>
      <rPr>
        <rFont val="Arial"/>
        <color theme="1"/>
      </rPr>
      <t xml:space="preserve"> рекомбинантные аденовирусные частицы 5&amp;nbsp;серотипа, содержащие ген белка&amp;nbsp;S вируса SARS-CoV-2, в количестве (2,0±1,5)x10¹⁰&amp;nbsp;частиц.&lt;/p&gt;
</t>
    </r>
    <r>
      <rPr>
        <rFont val="Arial"/>
        <i/>
        <color theme="1"/>
      </rPr>
      <t>&lt;p&gt;&lt;i&gt;Вспомогательные вещества:&lt;i&gt;</t>
    </r>
    <r>
      <rPr>
        <rFont val="Arial"/>
        <color theme="1"/>
      </rPr>
      <t xml:space="preserve">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t>
    </r>
  </si>
  <si>
    <t>https://grls.rosminzdrav.ru/InstrImg/2022/07/01/1482554/5f33ae33-eaa6-4ca5-aed1-e39900dc85a6.pdf</t>
  </si>
  <si>
    <r>
      <rPr>
        <rFont val="Arial"/>
        <color theme="1"/>
      </rPr>
      <t xml:space="preserve">1 доза (0,5 мл) содержит: 
• Рекомбинантный белок N¹ вируса SARS-CoV-2² — 50 мкг;
¹ получен из клеток Escherichia coli по технологии рекомбинантной ДНК
² вариант Ухань
• Адъювант, содержащий:
сквалан — 15 мг;
полисорбат 80 — 5 мг;
(D,L)-α-токоферол — 5 мг.
Перечень вспомогательных веществ
</t>
    </r>
    <r>
      <rPr>
        <rFont val="Arial"/>
        <i/>
        <color theme="1"/>
      </rPr>
      <t>Вакцина с консервантом:</t>
    </r>
    <r>
      <rPr>
        <rFont val="Arial"/>
        <color theme="1"/>
      </rPr>
      <t xml:space="preserve">
• Тиомерсал (консервант);
• Динатрия гидрофосфат 12-водный;
• Калия дигидрофосфат;
• Калия хлорид;
• Натрия хлорид;
• Вода для инъекций.
</t>
    </r>
    <r>
      <rPr>
        <rFont val="Arial"/>
        <i/>
        <color theme="1"/>
      </rPr>
      <t>Вакцина без консерванта:</t>
    </r>
    <r>
      <rPr>
        <rFont val="Arial"/>
        <color theme="1"/>
      </rPr>
      <t xml:space="preserve">
• Динатрия гидрофосфат 12-водный;
• Калия дигидрофосфат;
• Калия хлорид;
• Натрия хлорид;
• Вода для инъекций.</t>
    </r>
  </si>
  <si>
    <r>
      <rPr>
        <rFont val="Arial"/>
        <color theme="1"/>
      </rPr>
      <t xml:space="preserve">&lt;p&gt;1&amp;nbsp;доза (0,5&amp;nbsp;мл) содержит: 
&lt;ul&gt;&lt;li&gt;Рекомбинантный белок N¹ вируса SARS-CoV-2² — 50&amp;nbsp;мкг;&lt;/li&gt;
¹&amp;nbsp;получен из клеток Escherichia coli по технологии рекомбинантной ДНК&lt;br&gt;
²&amp;nbsp;вариант Ухань&lt;br&gt;
&lt;li&gt;Адъювант, содержащий:&lt;/li&gt;
сквалан — 15&amp;nbsp;мг;&lt;br&gt;
полисорбат 80 — 5&amp;nbsp;мг;&lt;br&gt;
(D,L)-α-токоферол — 5&amp;nbsp;мг.&lt;/ul&gt;
Перечень вспомогательных веществ&lt;br&gt;&lt;br&gt;
</t>
    </r>
    <r>
      <rPr>
        <rFont val="Arial"/>
        <i/>
        <color theme="1"/>
      </rPr>
      <t>&lt;i&gt;Вакцина с консервантом:</t>
    </r>
    <r>
      <rPr>
        <rFont val="Arial"/>
        <color theme="1"/>
      </rPr>
      <t xml:space="preserve">&lt;/i&gt;
&lt;ul&gt;&lt;li&gt;Тиомерсал (консервант);&lt;/li&gt;
&lt;li&gt;Динатрия гидрофосфат 12-водный;&lt;/li&gt;
&lt;li&gt;Калия дигидрофосфат;&lt;/li&gt;
&lt;li&gt;Калия хлорид;&lt;/li&gt;
&lt;li&gt;Натрия хлорид;&lt;/li&gt;
&lt;li&gt;Вода для инъекций.&lt;/li&gt;&lt;/ul&gt;
</t>
    </r>
    <r>
      <rPr>
        <rFont val="Arial"/>
        <i/>
        <color theme="1"/>
      </rPr>
      <t>&lt;i&gt;Вакцина без консерванта:&lt;/i&gt;</t>
    </r>
    <r>
      <rPr>
        <rFont val="Arial"/>
        <color theme="1"/>
      </rPr>
      <t xml:space="preserve">
&lt;ul&gt;&lt;li&gt;Динатрия гидрофосфат 12-водный;&lt;/li&gt;
&lt;li&gt;Калия дигидрофосфат;&lt;/li&gt;
&lt;li&gt;Калия хлорид;&lt;/li&gt;
&lt;li&gt;Натрия хлорид;&lt;/li&gt;
&lt;li&gt;Вода для инъекций.&lt;/li&gt;&lt;/ul&gt;&lt;/p&gt;</t>
    </r>
  </si>
  <si>
    <t>https://grls.rosminzdrav.ru/InstrImg/2026/01/22/1525392/c4730a97-f7f4-406f-954c-6a6bed44be35.pdf</t>
  </si>
  <si>
    <r>
      <rPr>
        <rFont val="Arial"/>
        <color theme="1"/>
      </rPr>
      <t xml:space="preserve">0,5 мл (1 доза) вакцины содержит:
</t>
    </r>
    <r>
      <rPr>
        <rFont val="Arial"/>
        <i/>
        <color theme="1"/>
      </rPr>
      <t>Действующие вещества:</t>
    </r>
    <r>
      <rPr>
        <rFont val="Arial"/>
        <color theme="1"/>
      </rPr>
      <t xml:space="preserve">
• пептидный антиген №1 белка S вируса SARS-CoV-2 и пептидный антиген №2/3 белка S вируса SARS-CoV-2, конъюгированные на белок-носитель — (225±45) мкг.
</t>
    </r>
    <r>
      <rPr>
        <rFont val="Arial"/>
        <i/>
        <color theme="1"/>
      </rPr>
      <t>Вспомогательные вещества:</t>
    </r>
    <r>
      <rPr>
        <rFont val="Arial"/>
        <color theme="1"/>
      </rPr>
      <t xml:space="preserve">
• алюминия гидроксид в пересчете на (Al) — (0,60±0,10) мг;
• калия дигидрофосфат — (0,12±0,01) мг;
• калия хлорид — (0,10±0,01) мг;
• натрия гидрофосфата додекагидрат — (1,82±0,10) мг;
• натрия хлорид — (4,00±0,20) мг;
• вода для инъекций — до 0,5 мл.</t>
    </r>
  </si>
  <si>
    <r>
      <rPr>
        <rFont val="Arial"/>
        <color theme="1"/>
      </rPr>
      <t xml:space="preserve">&lt;p&gt;0,5&amp;nbsp;мл (1&amp;nbsp;доза) вакцины содержит:&lt;/p&gt;
</t>
    </r>
    <r>
      <rPr>
        <rFont val="Arial"/>
        <i/>
        <color theme="1"/>
      </rPr>
      <t>&lt;p&gt;&lt;i&gt;Действующие вещества:</t>
    </r>
    <r>
      <rPr>
        <rFont val="Arial"/>
        <color theme="1"/>
      </rPr>
      <t xml:space="preserve">&lt;/i&gt;
&lt;ul&gt;&lt;li&gt;пептидный антиген&amp;nbsp;№1 белка&amp;nbsp;S вируса SARS-CoV-2 и пептидный антиген&amp;nbsp;№2/3 белка&amp;nbsp;S вируса SARS-CoV-2, конъюгированные на белок-носитель — (225±45)&amp;nbsp;мкг.&lt;/li&gt;&lt;/ul&gt;
</t>
    </r>
    <r>
      <rPr>
        <rFont val="Arial"/>
        <i/>
        <color theme="1"/>
      </rPr>
      <t>&lt;i&gt;Вспомогательные вещества:</t>
    </r>
    <r>
      <rPr>
        <rFont val="Arial"/>
        <color theme="1"/>
      </rPr>
      <t>&lt;/i&gt;
&lt;ul&gt;&lt;li&gt;алюминия гидроксид в пересчете на (Al) — (0,60±0,10)&amp;nbsp;мг;&lt;/li&gt;
&lt;li&gt;калия дигидрофосфат — (0,12±0,01)&amp;nbsp;мг;&lt;/li&gt;
&lt;li&gt;калия хлорид — (0,10±0,01)&amp;nbsp;мг;&lt;/li&gt;
&lt;li&gt;натрия гидрофосфата додекагидрат — (1,82±0,10)&amp;nbsp;мг;&lt;/li&gt;
&lt;li&gt;натрия хлорид — (4,00±0,20)&amp;nbsp;мг;&lt;/li&gt;
&lt;li&gt;вода для инъекций — до 0,5&amp;nbsp;мл.&lt;/li&gt;&lt;/ul&gt;&lt;/p&gt;</t>
    </r>
  </si>
  <si>
    <t>https://grls.rosminzdrav.ru/InstrImg/2023/03/01/1491468/c8da2905-b80e-470c-adc7-c40c03707ddd.pdf</t>
  </si>
  <si>
    <r>
      <rPr>
        <rFont val="Arial"/>
        <color theme="1"/>
      </rPr>
      <t xml:space="preserve">После восстановления 1 доза (2,5 мл) содержит:
• Ротавирус типа G1¹ — не менее 10⁵·⁶ ФФЕ*.
• Ротавирус типа G2¹ — не менее 10⁵·⁶ ФФЕ*.
• Ротавирус типа G3¹ — не менее 10⁵·⁶ ФФЕ*.
• Ротавирус типа G4¹ — не менее 10⁵·⁶ ФФЕ*.
• Ротавирус типа G9¹ — не менее 10⁵·⁶ ФФЕ*.
¹ Живые реассортанты человеческого и бычьего ротавирусов, выращенные на культуре клеток Веро.
* ФФЕ — фокус флуоресцирующие единицы.
Не содержит консервантов.
</t>
    </r>
    <r>
      <rPr>
        <rFont val="Arial"/>
        <i/>
        <color theme="1"/>
      </rPr>
      <t>Перечень вспомогательных веществ:</t>
    </r>
    <r>
      <rPr>
        <rFont val="Arial"/>
        <color theme="1"/>
      </rPr>
      <t xml:space="preserve">
• Сахароза.
• Глицин.
• Среда МЕМ.
</t>
    </r>
    <r>
      <rPr>
        <rFont val="Arial"/>
        <i/>
        <color theme="1"/>
      </rPr>
      <t>Растворитель:</t>
    </r>
    <r>
      <rPr>
        <rFont val="Arial"/>
        <color theme="1"/>
      </rPr>
      <t xml:space="preserve">
• Натрия бикарбонат.
• Лимонной кислоты моногидрат.
• Вода для инъекций.</t>
    </r>
  </si>
  <si>
    <t>&lt;p&gt;После восстановления 1&amp;nbsp;доза (2,5&amp;nbsp;мл) содержит:
&lt;ul&gt;&lt;li&gt;Ротавирус типа&amp;nbsp;G1¹ — не менее 10⁵&lt;sup&gt;,&lt;/sup&gt;⁶&amp;nbsp;ФФЕ*.&lt;/li&gt;
&lt;li&gt;Ротавирус типа&amp;nbsp;G2¹ — не менее 10⁵&lt;sup&gt;,&lt;/sup&gt;⁶&amp;nbsp;ФФЕ*.&lt;/li&gt;
&lt;li&gt;Ротавирус типа&amp;nbsp;G3¹ — не менее 10⁵&lt;sup&gt;,&lt;/sup&gt;⁶&amp;nbsp;ФФЕ*.&lt;/li&gt;
&lt;li&gt;Ротавирус типа&amp;nbsp;G4¹ — не менее 10⁵&lt;sup&gt;,&lt;/sup&gt;⁶&amp;nbsp;ФФЕ*.&lt;/li&gt;
&lt;li&gt;Ротавирус типа&amp;nbsp;G9¹ — не менее 10⁵&lt;sup&gt;,&lt;/sup&gt;⁶&amp;nbsp;ФФЕ*.&lt;/li&gt;&lt;/ul&gt;
¹&amp;nbsp;Живые реассортанты человеческого и бычьего ротавирусов, выращенные на культуре клеток Веро.&lt;br&gt;
*&amp;nbsp;ФФЕ — фокус флуоресцирующие единицы.&lt;br&gt;
Не содержит консервантов.&lt;br&gt;&lt;br&gt;
&lt;i&gt;Перечень вспомогательных веществ:&lt;/i&gt;
&lt;ul&gt;&lt;li&gt;Сахароза.&lt;/li&gt;
&lt;li&gt;Глицин.&lt;/li&gt;
&lt;li&gt;Среда МЕМ.&lt;/li&gt;&lt;/ul&gt;
&lt;i&gt;Растворитель:&lt;/i&gt;
&lt;ul&gt;&lt;li&gt;Натрия бикарбонат.&lt;/li&gt;
&lt;li&gt;Лимонной кислоты моногидрат.&lt;/li&gt;
&lt;li&gt;Вода для инъекций.&lt;/li&gt;&lt;/ul&gt;&lt;/p&gt;</t>
  </si>
  <si>
    <t>https://lk.regmed.ru/Register/GetPDFfromDA?ID=1641359721</t>
  </si>
  <si>
    <t>В одной дозе восстановленной вакцины содержится:
Активные вещества: капсульный полисахарид Haemophilus influenzae тип b от 9,5 до 14,3 мкг, столбнячный анатоксин от 19,0 до 28,6 мкг.
Вспомогательные вещества: сахароза — от 20 до 30 мг.
Растворитель: вода для инъекции — 0,5 мл.</t>
  </si>
  <si>
    <t>&lt;p&gt;В одной дозе восстановленной вакцины содержится:&lt;/p&gt;
&lt;p&gt;&lt;i&gt;Активные вещества&lt;/i&gt;: капсульный полисахарид &lt;i&gt;Haemophilus&amp;nbsp;influenzae&lt;/i&gt; тип&amp;nbsp;&lt;i&gt;b&lt;/i&gt; от 9,5 до 14,3&amp;nbsp;мкг, столбнячный анатоксин от 19,0 до 28,6&amp;nbsp;мкг.&lt;/p&gt;
&lt;p&gt;&lt;i&gt;Вспомогательные вещества&lt;/i&gt;: сахароза — от 20 до 30&amp;nbsp;мг.&lt;/p&gt;
&lt;p&gt;&lt;i&gt;Растворитель&lt;/i&gt;: вода для инъекции — 0,5&amp;nbsp;мл.&lt;/p&gt;</t>
  </si>
  <si>
    <t>https://grls.rosminzdrav.ru/InstrImg/2020/11/27/1463649/%D0%9B%D0%9F-000499[2016]_0.pdf</t>
  </si>
  <si>
    <r>
      <rPr>
        <rFont val="Arial"/>
        <color theme="1"/>
      </rPr>
      <t xml:space="preserve">1 доза для взрослых (1 мл) содержит:
• Антиген вируса гепатита В поверхностный рекомбинантный (HBsAg) (серотип </t>
    </r>
    <r>
      <rPr>
        <rFont val="Arial"/>
        <i/>
        <color theme="1"/>
      </rPr>
      <t>ау</t>
    </r>
    <r>
      <rPr>
        <rFont val="Arial"/>
        <color theme="1"/>
      </rPr>
      <t xml:space="preserve"> и/или </t>
    </r>
    <r>
      <rPr>
        <rFont val="Arial"/>
        <i/>
        <color theme="1"/>
      </rPr>
      <t>ad</t>
    </r>
    <r>
      <rPr>
        <rFont val="Arial"/>
        <color theme="1"/>
      </rPr>
      <t xml:space="preserve">)¹·² — 20 мкг
¹ Получен из дрожжевых клеток </t>
    </r>
    <r>
      <rPr>
        <rFont val="Arial"/>
        <i/>
        <color theme="1"/>
      </rPr>
      <t>Saccharomyces cerevisiae</t>
    </r>
    <r>
      <rPr>
        <rFont val="Arial"/>
        <color theme="1"/>
      </rPr>
      <t xml:space="preserve"> (серотип </t>
    </r>
    <r>
      <rPr>
        <rFont val="Arial"/>
        <i/>
        <color theme="1"/>
      </rPr>
      <t>ау</t>
    </r>
    <r>
      <rPr>
        <rFont val="Arial"/>
        <color theme="1"/>
      </rPr>
      <t xml:space="preserve">) и/или </t>
    </r>
    <r>
      <rPr>
        <rFont val="Arial"/>
        <i/>
        <color theme="1"/>
      </rPr>
      <t>Hansenula polymorpha</t>
    </r>
    <r>
      <rPr>
        <rFont val="Arial"/>
        <color theme="1"/>
      </rPr>
      <t xml:space="preserve"> (серотип </t>
    </r>
    <r>
      <rPr>
        <rFont val="Arial"/>
        <i/>
        <color theme="1"/>
      </rPr>
      <t xml:space="preserve">ау </t>
    </r>
    <r>
      <rPr>
        <rFont val="Arial"/>
        <color theme="1"/>
      </rPr>
      <t xml:space="preserve">и/или </t>
    </r>
    <r>
      <rPr>
        <rFont val="Arial"/>
        <i/>
        <color theme="1"/>
      </rPr>
      <t>ad</t>
    </r>
    <r>
      <rPr>
        <rFont val="Arial"/>
        <color theme="1"/>
      </rPr>
      <t xml:space="preserve">) по технологии рекомбинантной ДНК.
² Адсорбированный на алюминия гидроксиде (0,50 мг Al³⁺).
</t>
    </r>
    <r>
      <rPr>
        <rFont val="Arial"/>
        <i/>
        <color theme="1"/>
      </rPr>
      <t>Перечень вспомогательных веществ:</t>
    </r>
    <r>
      <rPr>
        <rFont val="Arial"/>
        <color theme="1"/>
      </rPr>
      <t xml:space="preserve">
• Натрия дигидрофосфат дигидрат;
• Натрия хлорид;
• Натрия гидроксид;
• Вода для инъекций.</t>
    </r>
  </si>
  <si>
    <r>
      <rPr>
        <rFont val="Arial"/>
        <color theme="1"/>
      </rPr>
      <t>&lt;p&gt;1&amp;nbsp;доза для взрослых (1&amp;nbsp;мл) содержит:
&lt;ul&gt;&lt;li&gt;Антиген вируса гепатита В поверхностный рекомбинантный (HBsAg) (серотип &lt;i&gt;</t>
    </r>
    <r>
      <rPr>
        <rFont val="Arial"/>
        <i/>
        <color theme="1"/>
      </rPr>
      <t>ау&lt;/i&gt;</t>
    </r>
    <r>
      <rPr>
        <rFont val="Arial"/>
        <color theme="1"/>
      </rPr>
      <t xml:space="preserve"> и/или &lt;i&gt;</t>
    </r>
    <r>
      <rPr>
        <rFont val="Arial"/>
        <i/>
        <color theme="1"/>
      </rPr>
      <t>ad&lt;/i&gt;</t>
    </r>
    <r>
      <rPr>
        <rFont val="Arial"/>
        <color theme="1"/>
      </rPr>
      <t xml:space="preserve">)¹&lt;sup&gt;,&lt;/sup&gt;² — 20&amp;nbsp;мкг&lt;/li&gt;&lt;/ul&gt;
¹&amp;nbsp;Получен из дрожжевых клеток </t>
    </r>
    <r>
      <rPr>
        <rFont val="Arial"/>
        <i/>
        <color theme="1"/>
      </rPr>
      <t>&lt;i&gt;Saccharomyces cerevisiae&lt;/i&gt;</t>
    </r>
    <r>
      <rPr>
        <rFont val="Arial"/>
        <color theme="1"/>
      </rPr>
      <t xml:space="preserve"> (серотип &lt;i&gt;</t>
    </r>
    <r>
      <rPr>
        <rFont val="Arial"/>
        <i/>
        <color theme="1"/>
      </rPr>
      <t>ау&lt;/i&gt;</t>
    </r>
    <r>
      <rPr>
        <rFont val="Arial"/>
        <color theme="1"/>
      </rPr>
      <t xml:space="preserve">) и/или </t>
    </r>
    <r>
      <rPr>
        <rFont val="Arial"/>
        <i/>
        <color theme="1"/>
      </rPr>
      <t>&lt;i&gt;Hansenula polymorpha&lt;/i&gt;</t>
    </r>
    <r>
      <rPr>
        <rFont val="Arial"/>
        <color theme="1"/>
      </rPr>
      <t xml:space="preserve"> (серотип </t>
    </r>
    <r>
      <rPr>
        <rFont val="Arial"/>
        <i/>
        <color theme="1"/>
      </rPr>
      <t xml:space="preserve">&lt;i&gt;ау&lt;/i&gt; </t>
    </r>
    <r>
      <rPr>
        <rFont val="Arial"/>
        <color theme="1"/>
      </rPr>
      <t>и/или &lt;i&gt;</t>
    </r>
    <r>
      <rPr>
        <rFont val="Arial"/>
        <i/>
        <color theme="1"/>
      </rPr>
      <t>ad&lt;/i&gt;</t>
    </r>
    <r>
      <rPr>
        <rFont val="Arial"/>
        <color theme="1"/>
      </rPr>
      <t xml:space="preserve">) по технологии рекомбинантной ДНК.&lt;br&gt;
²&amp;nbsp;Адсорбированный на алюминия гидроксиде (0,50&amp;nbsp;мг Al³⁺).&lt;br&gt;&lt;br&gt;
</t>
    </r>
    <r>
      <rPr>
        <rFont val="Arial"/>
        <i/>
        <color theme="1"/>
      </rPr>
      <t>&lt;i&gt;Перечень вспомогательных веществ:&lt;/i&gt;</t>
    </r>
    <r>
      <rPr>
        <rFont val="Arial"/>
        <color theme="1"/>
      </rPr>
      <t xml:space="preserve">
&lt;ul&gt;&lt;li&gt;Натрия дигидрофосфат дигидрат;&lt;/li&gt;
&lt;li&gt;Натрия хлорид;&lt;/li&gt;
&lt;li&gt;Натрия гидроксид;&lt;/li&gt;
&lt;li&gt;Вода для инъекций.&lt;/li&gt;&lt;/ul&gt;&lt;/p&gt;</t>
    </r>
  </si>
  <si>
    <r>
      <rPr>
        <rFont val="Arial"/>
        <color theme="1"/>
      </rPr>
      <t xml:space="preserve">1 взрослая доза (1,0 мл) вакцины содержит:
</t>
    </r>
    <r>
      <rPr>
        <rFont val="Arial"/>
        <i/>
        <color theme="1"/>
      </rPr>
      <t>Действующее вещество:</t>
    </r>
    <r>
      <rPr>
        <rFont val="Arial"/>
        <color theme="1"/>
      </rPr>
      <t xml:space="preserve"> очищенный поверхностный антиген вируса гепатита В (HBsAg) — 20 мкг.
</t>
    </r>
    <r>
      <rPr>
        <rFont val="Arial"/>
        <i/>
        <color theme="1"/>
      </rPr>
      <t>Вспомогательные вещества:</t>
    </r>
    <r>
      <rPr>
        <rFont val="Arial"/>
        <color theme="1"/>
      </rPr>
      <t xml:space="preserve"> алюминия гидроксид — 0,5 мг.
</t>
    </r>
    <r>
      <rPr>
        <rFont val="Arial"/>
        <i/>
        <color theme="1"/>
      </rPr>
      <t>Компоненты буферного раствора:</t>
    </r>
    <r>
      <rPr>
        <rFont val="Arial"/>
        <color theme="1"/>
      </rPr>
      <t xml:space="preserve"> натрия хлорид; натрия гидрофосфат; натрия дигидрофосфата дигидрат; 2 М раствор натрия гидроксида до рН 6,95–7,05; вода для инъекций.
Данный препарат содержит менее 1 ммоль (23 мг) натрия на дозу.</t>
    </r>
  </si>
  <si>
    <r>
      <rPr>
        <rFont val="Arial"/>
        <color theme="1"/>
      </rPr>
      <t xml:space="preserve">&lt;p&gt;1&amp;nbsp;взрослая доза (1,0&amp;nbsp;мл) вакцины содержит:&lt;/p&gt;
</t>
    </r>
    <r>
      <rPr>
        <rFont val="Arial"/>
        <i/>
        <color theme="1"/>
      </rPr>
      <t>&lt;p&gt;&lt;i&gt;Действующее вещество:&lt;/i&gt;</t>
    </r>
    <r>
      <rPr>
        <rFont val="Arial"/>
        <color theme="1"/>
      </rPr>
      <t xml:space="preserve"> очищенный поверхностный антиген вируса гепатита В (HBsAg) — 20&amp;nbsp;мкг.&lt;/p&gt;
</t>
    </r>
    <r>
      <rPr>
        <rFont val="Arial"/>
        <i/>
        <color theme="1"/>
      </rPr>
      <t>&lt;p&gt;&lt;i&gt;Вспомогательные вещества:&lt;/i&gt;</t>
    </r>
    <r>
      <rPr>
        <rFont val="Arial"/>
        <color theme="1"/>
      </rPr>
      <t xml:space="preserve"> алюминия гидроксид — 0,5&amp;nbsp;мг.&lt;/p&gt;
</t>
    </r>
    <r>
      <rPr>
        <rFont val="Arial"/>
        <i/>
        <color theme="1"/>
      </rPr>
      <t>&lt;p&gt;&lt;i&gt;Компоненты буферного раствора:&lt;/i&gt;</t>
    </r>
    <r>
      <rPr>
        <rFont val="Arial"/>
        <color theme="1"/>
      </rPr>
      <t xml:space="preserve"> натрия хлорид; натрия гидрофосфат; натрия дигидрофосфата дигидрат; 2&amp;nbsp;М раствор натрия гидроксида до рН&amp;nbsp;6,95–7,05; вода для инъекций.&lt;/p&gt;
&lt;p&gt;Данный препарат содержит менее 1&amp;nbsp;ммоль (23&amp;nbsp;мг) натрия на дозу.&lt;/p&gt;</t>
    </r>
  </si>
  <si>
    <r>
      <rPr>
        <rFont val="Arial"/>
        <color theme="1"/>
      </rPr>
      <t xml:space="preserve">Одна прививочная доза (0,5 мл) содержит:
• Живой аттенуированный вирус кори (штамм Schwarz), выращенный в культуре клеток куриных эмбрионов — Не менее 3,0 lg ТЦД₅₀¹.
• Живой аттенуированный вирус паротита (штамм RIT4385, производный Jeryl Lynn), выращенный в культуре клеток куриных эмбрионов — Не менее 4,4 lg ТЦД₅₀.
• Живой аттенуированный вирус краснухи (штамм Wistar RA 27/3), выращенный в культуре диплоидных клеток человека MRC-5 — Не менее 3,0 lg ТЦД₅₀.
• Живой аттенуированный вирус ветряной оспы (штамм Oka), выращенный в культуре диплоидных клеток человека MRC-5 — Не менее 3,3 lg БОЕ².
¹ ТЦД₅₀ — доза, инфицирующая 50% культуры клеток с цитопатогенным действием в 50% клеток монослоя.
² БОЕ — бляшкообразующая единица.
Вакцина содержит следовые количества неомицина сульфата (не более 25 мкг/дозу).
Перечень вспомогательных веществ.
</t>
    </r>
    <r>
      <rPr>
        <rFont val="Arial"/>
        <i/>
        <color theme="1"/>
      </rPr>
      <t>Лиофилизат</t>
    </r>
    <r>
      <rPr>
        <rFont val="Arial"/>
        <color theme="1"/>
      </rPr>
      <t xml:space="preserve">:
• лактоза;
• сорбитол;
• маннитол;
• аминокислоты (включая фенилаланин).
</t>
    </r>
    <r>
      <rPr>
        <rFont val="Arial"/>
        <i/>
        <color theme="1"/>
      </rPr>
      <t>Растворитель</t>
    </r>
    <r>
      <rPr>
        <rFont val="Arial"/>
        <color theme="1"/>
      </rPr>
      <t>:
• вода для инъекций.</t>
    </r>
  </si>
  <si>
    <r>
      <rPr>
        <rFont val="Arial"/>
        <color theme="1"/>
      </rPr>
      <t xml:space="preserve">&lt;p&gt;Одна прививочная доза (0,5&amp;nbsp;мл) содержит:
&lt;ul&gt;&lt;li&gt;Живой аттенуированный вирус кори (штамм Schwarz), выращенный в культуре клеток куриных эмбрионов — Не менее 3,0&amp;nbsp;lg ТЦД₅₀¹.&lt;/li&gt;
&lt;li&gt;Живой аттенуированный вирус паротита (штамм RIT4385, производный Jeryl Lynn), выращенный в культуре клеток куриных эмбрионов — Не менее 4,4&amp;nbsp;lg ТЦД₅₀.&lt;/li&gt;
&lt;li&gt;Живой аттенуированный вирус краснухи (штамм Wistar RA 27/3), выращенный в культуре диплоидных клеток человека MRC-5 — Не менее 3,0&amp;nbsp;lg ТЦД₅₀.&lt;/li&gt;
&lt;li&gt;Живой аттенуированный вирус ветряной оспы (штамм Oka), выращенный в культуре диплоидных клеток человека MRC-5 — Не менее 3,3&amp;nbsp;lg БОЕ².&lt;/li&gt;&lt;/ul&gt;
¹&amp;nbsp;ТЦД₅₀ — доза, инфицирующая 50% культуры клеток с цитопатогенным действием в 50% клеток монослоя.&lt;br&gt;
²&amp;nbsp;БОЕ — бляшкообразующая единица.&lt;br&gt;&lt;br&gt;
Вакцина содержит следовые количества неомицина сульфата (не более 25&amp;nbsp;мкг/дозу).&lt;br&gt;&lt;br&gt;
Перечень вспомогательных веществ.&lt;br&gt;&lt;br&gt;
</t>
    </r>
    <r>
      <rPr>
        <rFont val="Arial"/>
        <i/>
        <color theme="1"/>
      </rPr>
      <t>&lt;i&gt;Лиофилизат</t>
    </r>
    <r>
      <rPr>
        <rFont val="Arial"/>
        <color theme="1"/>
      </rPr>
      <t xml:space="preserve">:&lt;/i&gt;
&lt;ul&gt;&lt;li&gt;лактоза;&lt;/li&gt;
&lt;li&gt;сорбитол;&lt;/li&gt;
&lt;li&gt;маннитол;&lt;/li&gt;
&lt;li&gt;аминокислоты (включая фенилаланин).&lt;/li&gt;&lt;/ul&gt;
</t>
    </r>
    <r>
      <rPr>
        <rFont val="Arial"/>
        <i/>
        <color theme="1"/>
      </rPr>
      <t>&lt;i&gt;Растворитель</t>
    </r>
    <r>
      <rPr>
        <rFont val="Arial"/>
        <color theme="1"/>
      </rPr>
      <t>:&lt;/i&gt;
&lt;ul&gt;&lt;li&gt;вода для инъекций.&lt;/li&gt;&lt;/ul&gt;&lt;/p&gt;</t>
    </r>
  </si>
  <si>
    <t>https://lk.regmed.ru/Register/GetPDFfromDA?ID=1596978511</t>
  </si>
  <si>
    <r>
      <rPr>
        <rFont val="Arial"/>
        <color theme="1"/>
      </rPr>
      <t xml:space="preserve">1 прививочная доза (0,5 мл) содержит:
Лиофилизат для приготовления раствора для внутримышечного введения¹.
</t>
    </r>
    <r>
      <rPr>
        <rFont val="Arial"/>
        <i/>
        <color theme="1"/>
      </rPr>
      <t>Действующие вещества</t>
    </r>
    <r>
      <rPr>
        <rFont val="Arial"/>
        <color theme="1"/>
      </rPr>
      <t xml:space="preserve">:
Олигосахарид N. meningitidis серогруппы A, — 10 мкг;
конъюгированный с белком Corynebacterium diphtheriae CRM₁₉₇ — 16,7-33,3 мкг.
</t>
    </r>
    <r>
      <rPr>
        <rFont val="Arial"/>
        <i/>
        <color theme="1"/>
      </rPr>
      <t>Вспомогательные вещества</t>
    </r>
    <r>
      <rPr>
        <rFont val="Arial"/>
        <color theme="1"/>
      </rPr>
      <t xml:space="preserve">:
Калия дигидрофосфат — 5 ммоль.
Сахароза — 12,5 мг.
Раствор для внутримышечного введения¹.
</t>
    </r>
    <r>
      <rPr>
        <rFont val="Arial"/>
        <i/>
        <color theme="1"/>
      </rPr>
      <t>Действующие вещества</t>
    </r>
    <r>
      <rPr>
        <rFont val="Arial"/>
        <color theme="1"/>
      </rPr>
      <t xml:space="preserve">:
Олигосахарид N. meningitidis серогруппы C, — 5 мкг;
конъюгированный с белком Corynebacterium diphtheriae CRM₁₉₇ — 7.1-12.5 мкг.
Олигосахарид N. meningitidis серогруппы W₁₃₅, — 5 мкг;
конъюгированный с белком Corynebacterium diphtheriae CRM₁₉₇ — 3.3-8.3 мкг.
Олигосахарид N. meningitidis серогруппы Y, — 5 мкг;
конъюгированный с белком Corynebacterium diphtheriae CRM₁₉₇ — 5,6-10 мкг.
</t>
    </r>
    <r>
      <rPr>
        <rFont val="Arial"/>
        <i/>
        <color theme="1"/>
      </rPr>
      <t>Вспомогательные вещества</t>
    </r>
    <r>
      <rPr>
        <rFont val="Arial"/>
        <color theme="1"/>
      </rPr>
      <t>:
Натрия хлорид — 4,5 мг.
Фосфатный буферный раствор (10 ммоль), содержащий:
натрия дигидрофосфата моногидрат — 2,5 ммоль (0,345 мг/мл);
натрия гидрофосфата дигидрат — 7,5 ммоль (1,335 мг/мл).
Вода для инъекций — до 0,5 мл.
Примечание:
¹ - для компенсации потерь в процессе восстановления лиофилизата раствором и обеспечения содержания заявленных количеств действующих и вспомогательных веществ в инъецируемой дозе (0,5 мл), в процессе фасовки во флаконы закладывается 20% избыток компонентов лиофилизата и раствора.
Вакцина Менвео не содержит адъювантов и консервантов.</t>
    </r>
  </si>
  <si>
    <r>
      <rPr>
        <rFont val="Arial"/>
        <color theme="1"/>
      </rPr>
      <t xml:space="preserve">&lt;p&gt;1&amp;nbsp;прививочная доза (0,5&amp;nbsp;мл) содержит:&lt;/p&gt;
&lt;p&gt;Лиофилизат для приготовления раствора для внутримышечного введения¹.&lt;/p&gt;
</t>
    </r>
    <r>
      <rPr>
        <rFont val="Arial"/>
        <i/>
        <color theme="1"/>
      </rPr>
      <t>&lt;p&gt;&lt;i&gt;Действующие вещества</t>
    </r>
    <r>
      <rPr>
        <rFont val="Arial"/>
        <color theme="1"/>
      </rPr>
      <t xml:space="preserve">:&lt;/i&gt;
&lt;ul&gt;&lt;li&gt;Олигосахарид N.&amp;nbsp;meningitidis серогруппы&amp;nbsp;A, — 10&amp;nbsp;мкг;&lt;br&gt;
конъюгированный с белком Corynebacterium diphtheriae&amp;nbsp;CRM₁₉₇ — 16,7-33,3&amp;nbsp;мкг.&lt;/li&gt;&lt;/ul&gt;
</t>
    </r>
    <r>
      <rPr>
        <rFont val="Arial"/>
        <i/>
        <color theme="1"/>
      </rPr>
      <t>&lt;i&gt;Вспомогательные вещества</t>
    </r>
    <r>
      <rPr>
        <rFont val="Arial"/>
        <color theme="1"/>
      </rPr>
      <t xml:space="preserve">:&lt;/i&gt;
&lt;ul&gt;&lt;li&gt;Калия дигидрофосфат — 5&amp;nbsp;ммоль.&lt;/li&gt;
&lt;li&gt;Сахароза — 12,5&amp;nbsp;мг.&lt;/li&gt;&lt;/ul&gt;&lt;/p&gt;
&lt;p&gt;Раствор для внутримышечного введения¹.&lt;/p&gt;
</t>
    </r>
    <r>
      <rPr>
        <rFont val="Arial"/>
        <i/>
        <color theme="1"/>
      </rPr>
      <t>&lt;p&gt;&lt;i&gt;Действующие вещества</t>
    </r>
    <r>
      <rPr>
        <rFont val="Arial"/>
        <color theme="1"/>
      </rPr>
      <t xml:space="preserve">:&lt;/i&gt;
&lt;ul&gt;&lt;li&gt;Олигосахарид N.&amp;nbsp;meningitidis серогруппы&amp;nbsp;C, — 5&amp;nbsp;мкг:&lt;br&gt;
конъюгированный с белком Corynebacterium diphtheriae&amp;nbsp;CRM₁₉₇ — 7.1-12.5&amp;nbsp;мкг.&lt;/li&gt;
&lt;li&gt;Олигосахарид N.&amp;nbsp;meningitidis серогруппы&amp;nbsp;W₁₃₅, — 5&amp;nbsp;мкг;&lt;br&gt;
конъюгированный с белком Corynebacterium diphtheriae&amp;nbsp;CRM₁₉₇ — 3.3-8.3&amp;nbsp;мкг.&lt;/li&gt;
&lt;li&gt;Олигосахарид N.&amp;nbsp;meningitidis серогруппы&amp;nbsp;Y, — 5&amp;nbsp;мкг;&lt;br&gt;
конъюгированный с белком Corynebacterium diphtheriae&amp;nbsp;CRM₁₉₇ — 5,6-10&amp;nbsp;мкг.&lt;/li&gt;&lt;/ul&gt;
</t>
    </r>
    <r>
      <rPr>
        <rFont val="Arial"/>
        <i/>
        <color theme="1"/>
      </rPr>
      <t>&lt;i&gt;Вспомогательные вещества</t>
    </r>
    <r>
      <rPr>
        <rFont val="Arial"/>
        <color theme="1"/>
      </rPr>
      <t>:&lt;/i&gt;
&lt;ul&gt;&lt;li&gt;Натрия хлорид — 4,5&amp;nbsp;мг.&lt;/li&gt;
&lt;li&gt;Фосфатный буферный раствор (10&amp;nbsp;ммоль), содержащий:&lt;br&gt;
натрия дигидрофосфата моногидрат — 2,5&amp;nbsp;ммоль (0,345&amp;nbsp;мг/мл);&lt;br&gt;
натрия гидрофосфата дигидрат — 7,5&amp;nbsp;ммоль (1,335&amp;nbsp;мг/мл).&lt;/li&gt;
&lt;li&gt;Вода для инъекций — до 0,5&amp;nbsp;мл.&lt;/li&gt;&lt;/ul&gt;&lt;/p&gt;
&lt;p&gt;Примечание:&lt;br&gt;
¹ - для компенсации потерь в процессе восстановления лиофилизата раствором и обеспечения содержания заявленных количеств действующих и вспомогательных веществ в инъецируемой дозе (0,5&amp;nbsp;мл), в процессе фасовки во флаконы закладывается 20% избыток компонентов лиофилизата и раствора.&lt;/p&gt;
&lt;p&gt;Вакцина Менвео не содержит адъювантов и консервантов.&lt;/p&gt;</t>
    </r>
  </si>
  <si>
    <t>https://grls.rosminzdrav.ru/InstrImg/2023/04/13/1492490/6ff5839d-5715-4ac9-b3b7-b35008686c67.pdf</t>
  </si>
  <si>
    <r>
      <rPr>
        <rFont val="Arial"/>
        <color theme="1"/>
      </rPr>
      <t xml:space="preserve">Компонент I содержит:
</t>
    </r>
    <r>
      <rPr>
        <rFont val="Arial"/>
        <i/>
        <color theme="1"/>
      </rPr>
      <t>Действующее вещество:</t>
    </r>
    <r>
      <rPr>
        <rFont val="Arial"/>
        <color theme="1"/>
      </rPr>
      <t xml:space="preserve"> рекомбинантные аденовирусные частицы 26 серотипа, содержащие ген белка S вируса SARS-CoV-2, в количестве (1,0±0,5)×10¹¹ частиц.
</t>
    </r>
    <r>
      <rPr>
        <rFont val="Arial"/>
        <i/>
        <color theme="1"/>
      </rPr>
      <t>Вспомогательные вещества:</t>
    </r>
    <r>
      <rPr>
        <rFont val="Arial"/>
        <color theme="1"/>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
Компонент II содержит:
</t>
    </r>
    <r>
      <rPr>
        <rFont val="Arial"/>
        <i/>
        <color theme="1"/>
      </rPr>
      <t>Действующее вещество:</t>
    </r>
    <r>
      <rPr>
        <rFont val="Arial"/>
        <color theme="1"/>
      </rPr>
      <t xml:space="preserve"> рекомбинантные аденовирусные частицы 5 серотипа, содержащие ген белка S вируса SARS-CoV-2, в количестве (1,0±0,5)×10¹¹ частиц.
</t>
    </r>
    <r>
      <rPr>
        <rFont val="Arial"/>
        <i/>
        <color theme="1"/>
      </rPr>
      <t>Вспомогательные вещества:</t>
    </r>
    <r>
      <rPr>
        <rFont val="Arial"/>
        <color theme="1"/>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t>
    </r>
  </si>
  <si>
    <r>
      <rPr>
        <rFont val="Arial"/>
        <color theme="1"/>
      </rPr>
      <t xml:space="preserve">&lt;p&gt;Компонент&amp;nbsp;I содержит:&lt;/p&gt;
</t>
    </r>
    <r>
      <rPr>
        <rFont val="Arial"/>
        <i/>
        <color theme="1"/>
      </rPr>
      <t>&lt;p&gt;&lt;i&gt;Действующее вещество:</t>
    </r>
    <r>
      <rPr>
        <rFont val="Arial"/>
        <color theme="1"/>
      </rPr>
      <t xml:space="preserve">&lt;/i&gt; рекомбинантные аденовирусные частицы 26&amp;nbsp;серотипа, содержащие ген белка&amp;nbsp;S вируса SARS-CoV-2, в количестве (1,0±0,5)×10¹¹&amp;nbsp;частиц.&lt;/p&gt;
</t>
    </r>
    <r>
      <rPr>
        <rFont val="Arial"/>
        <i/>
        <color theme="1"/>
      </rPr>
      <t>&lt;p&gt;&lt;i&gt;Вспомогательные вещества:&lt;/i&gt;</t>
    </r>
    <r>
      <rPr>
        <rFont val="Arial"/>
        <color theme="1"/>
      </rPr>
      <t xml:space="preserve">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
&lt;p&gt;Компонент&amp;nbsp;II содержит:&lt;/p&gt;
</t>
    </r>
    <r>
      <rPr>
        <rFont val="Arial"/>
        <i/>
        <color theme="1"/>
      </rPr>
      <t>&lt;p&gt;&lt;i&gt;Действующее вещество:&lt;/i&gt;</t>
    </r>
    <r>
      <rPr>
        <rFont val="Arial"/>
        <color theme="1"/>
      </rPr>
      <t xml:space="preserve"> рекомбинантные аденовирусные частицы 5&amp;nbsp;серотипа, содержащие ген белка&amp;nbsp;S вируса SARS-CoV-2, в количестве (1,0±0,5)×10¹¹&amp;nbsp;частиц.&lt;/p&gt;
</t>
    </r>
    <r>
      <rPr>
        <rFont val="Arial"/>
        <i/>
        <color theme="1"/>
      </rPr>
      <t>&lt;p&gt;&lt;i&gt;Вспомогательные вещества:&lt;/i&gt;</t>
    </r>
    <r>
      <rPr>
        <rFont val="Arial"/>
        <color theme="1"/>
      </rPr>
      <t xml:space="preserve">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t>
    </r>
  </si>
  <si>
    <t>https://grls.rosminzdrav.ru/InstrImg/2022/09/09/1485745/6205a5ae-4bbb-42bf-84d2-93c4042be1cb.pdf</t>
  </si>
  <si>
    <t>1 доза (0,25 мл) содержит:
Действующие вещества:
Антиген вируса гриппа типа А (H₁N₁)* с содержанием гемагглютинина — 2,5 мкг
Антиген вируса гриппа типа А (H₃N₂)* с содержанием гемагглютинина — 2,5 мкг
Антиген вируса гриппа типа В* с содержанием гемагглютинина — 2,5 мкг
Полиоксидоний® (Азоксимера бромид) — 250 мкг
* 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
Вакцинные штаммы выращены на куриных эмбрионах.
Перечень вспомогательных веществ:
Фосфатно-солевой буферный раствор
Состав фосфатно-солевого буферного раствора на 1 дозу (0,25 мл) лекарственного средства: калия хлорид — 50 мкг, калия дигидрофосфат — 50 мкг, динатрия гидрофосфат дигидрат — 335 мкг, натрия хлорид — 2000 мкг, вода для инъекций — до 0,25 мл.
Данный препарат содержит менее 0,5 ммоль (11,5 мг) натрия на 1 дозу, то есть по сути не содержит натрия.
Данный препарат содержит калий менее 0,5 ммоль (19,5 мг) на 1 дозу, то есть по сути не содержит калия.</t>
  </si>
  <si>
    <t>&lt;p&gt;1&amp;nbsp;доза (0,25&amp;nbsp;мл) содержит:&lt;br&gt;&lt;br&gt;
&lt;i&gt;Действующие вещества:&lt;/i&gt;
&lt;ul&gt;&lt;li&gt;Антиген вируса гриппа типа А (H₁N₁)* с содержанием гемагглютинина — 2,5&amp;nbsp;мкг&lt;/li&gt;
&lt;li&gt;Антиген вируса гриппа типа А (H₃N₂)* с содержанием гемагглютинина — 2,5&amp;nbsp;мкг&lt;/li&gt;
&lt;li&gt;Антиген вируса гриппа типа В* с содержанием гемагглютинина — 2,5&amp;nbsp;мкг&lt;/li&gt;
&lt;li&gt;Полиоксидоний® (Азоксимера бромид) — 250&amp;nbsp;мкг&lt;/li&gt;&lt;/ul&gt;
*&amp;nbsp;Штаммы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полушария.&lt;br&gt;&lt;br&gt;
Вакцинные штаммы выращены на куриных эмбрионах.&lt;/p&gt;
&lt;p&gt;&lt;i&gt;Перечень вспомогательных веществ:&lt;/i&gt;
&lt;ul&gt;&lt;li&gt;Фосфатно-солевой буферный раствор&lt;/li&gt;
Состав фосфатно-солевого буферного раствора на 1&amp;nbsp;дозу (0,25&amp;nbsp;мл) лекарственного средства: калия хлорид — 50&amp;nbsp;мкг, калия дигидрофосфат — 50&amp;nbsp;мкг, динатрия гидрофосфат дигидрат — 335&amp;nbsp;мкг, натрия хлорид — 2000&amp;nbsp;мкг, вода для инъекций — до 0,25&amp;nbsp;мл.&lt;/ul&gt;
Данный препарат содержит менее 0,5&amp;nbsp;ммоль (11,5&amp;nbsp;мг) натрия на 1&amp;nbsp;дозу, то есть по сути не содержит натрия.&lt;br&gt;
Данный препарат содержит калий менее 0,5&amp;nbsp;ммоль (19,5&amp;nbsp;мг) на 1&amp;nbsp;дозу, то есть по сути не содержит калия.&lt;/p&gt;</t>
  </si>
  <si>
    <r>
      <rPr>
        <rFont val="Arial"/>
        <color theme="1"/>
      </rPr>
      <t xml:space="preserve">0,5 мл (1 доза) содержит:
</t>
    </r>
    <r>
      <rPr>
        <rFont val="Arial"/>
        <i/>
        <color theme="1"/>
      </rPr>
      <t>Препарат с консервантом:</t>
    </r>
    <r>
      <rPr>
        <rFont val="Arial"/>
        <color theme="1"/>
      </rPr>
      <t xml:space="preserve">
• Гемагглютинин вируса гриппа подтипа А(Н1N1)¹·² — 15 мкг;
• Гемагглютинин вируса гриппа подтипа A(H3N2)¹·² — 15 мкг;
• Гемагглютинин вируса гриппа типа В (линия Yamagata)¹·² — 15 мкг;
• Гемагглютинин вируса гриппа типа В (линия Victoria)¹·² — 15 мкг.
</t>
    </r>
    <r>
      <rPr>
        <rFont val="Arial"/>
        <i/>
        <color theme="1"/>
      </rPr>
      <t>Препарат без консерванта:</t>
    </r>
    <r>
      <rPr>
        <rFont val="Arial"/>
        <color theme="1"/>
      </rPr>
      <t xml:space="preserve">
• Гемагглютинин вируса гриппа подтипа A(H1N 1)¹·² — 15 мкг;
• Гемагглютинин вируса гриппа подтипа A(H3N2)¹·² — 15 мкг;
• Гемагглютинин вируса гриппа типа В (линия Yamagata)¹·² — 15 мкг;
• Гемагглютинин вируса гриппа типа В (линия Victoria)¹·² — 15 мкг.
¹ Действующие вещества выделены из очищенных вирионов вируса гриппа А и В, полученных из вируссодержащей аллантоисной жидкости куриных эмбрионов.
² Штаммовый состав вакцины изменяется каждый год в соответствии с эпидемиологической ситуацией и рекомендациям Всемирной организации здравоохранения (ВОЗ) для Северного полушария.
Перечень вспомогательных веществ:
</t>
    </r>
    <r>
      <rPr>
        <rFont val="Arial"/>
        <i/>
        <color theme="1"/>
      </rPr>
      <t>Вспомогательные вещества препарата с консервантом:</t>
    </r>
    <r>
      <rPr>
        <rFont val="Arial"/>
        <color theme="1"/>
      </rPr>
      <t xml:space="preserve">
• Тиомерсал (консервант);
• Тритон Х-100 (стабилизатор);
• Фосфатно-солевой буферный раствор.
</t>
    </r>
    <r>
      <rPr>
        <rFont val="Arial"/>
        <i/>
        <color theme="1"/>
      </rPr>
      <t>Вспомогательные вещества препарата без консерванта:</t>
    </r>
    <r>
      <rPr>
        <rFont val="Arial"/>
        <color theme="1"/>
      </rPr>
      <t xml:space="preserve">
• Тритон Х-100 (стабилизатор);
• Фосфатно-солевой буферный раствор.
Состав фосфатно-солевого буферного раствора на дозу лекарственного средства (0,5 мл): натрия хлорид, динатрия фосфата додекагидрат, калия дигидрофосфат, вода для инъекций.</t>
    </r>
  </si>
  <si>
    <t>&lt;p&gt;0,5&amp;nbsp;мл (1&amp;nbsp;доза) содержит:&lt;br&gt;&lt;br&gt;
&lt;i&gt;Препарат с консервантом:&lt;/i&gt;
&lt;ul&gt;&lt;li&gt;Гемагглютинин вируса гриппа подтипа&amp;nbsp;А(Н1N1)¹&lt;sup&gt;,&lt;/sup&gt;² — 15&amp;nbsp;мкг;&lt;/li&gt;
&lt;li&gt;Гемагглютинин вируса гриппа подтипа&amp;nbsp;A(H3N2)¹&lt;sup&gt;,&lt;/sup&gt;² — 15&amp;nbsp;мкг;&lt;/li&gt;
&lt;li&gt;Гемагглютинин вируса гриппа типа&amp;nbsp;В (линия Yamagata)¹&lt;sup&gt;,&lt;/sup&gt;² — 15&amp;nbsp;мкг;&lt;/li&gt;
&lt;li&gt;Гемагглютинин вируса гриппа типа&amp;nbsp;В (линия Victoria)¹&lt;sup&gt;,&lt;/sup&gt;² — 15&amp;nbsp;мкг.&lt;/li&gt;&lt;/ul&gt;
&lt;i&gt;Препарат без консерванта:&lt;/i&gt;
&lt;ul&gt;&lt;li&gt;Гемагглютинин вируса гриппа подтипа A(H1N 1)¹&lt;sup&gt;,&lt;/sup&gt;² — 15&amp;nbsp;мкг;&lt;/li&gt;
&lt;li&gt;Гемагглютинин вируса гриппа подтипа A(H3N2)¹&lt;sup&gt;,&lt;/sup&gt;² — 15&amp;nbsp;мкг;&lt;/li&gt;
&lt;li&gt;Гемагглютинин вируса гриппа типа В (линия Yamagata)¹&lt;sup&gt;,&lt;/sup&gt;² — 15&amp;nbsp;мкг;&lt;/li&gt;
&lt;li&gt;Гемагглютинин вируса гриппа типа В (линия Victoria)¹&lt;sup&gt;,&lt;/sup&gt;² — 15&amp;nbsp;мкг.&lt;/li&gt;&lt;/ul&gt;
¹&amp;nbsp;Действующие вещества выделены из очищенных вирионов вируса гриппа А и В, полученных из вируссодержащей аллантоисной жидкости куриных эмбрионов.&lt;br&gt;
²&amp;nbsp;Штаммовый состав вакцины изменяется каждый год в соответствии с эпидемиологической ситуацией и рекомендациям Всемирной организации здравоохранения (ВОЗ) для Северного полушария.&lt;br&gt;&lt;br&gt;
Перечень вспомогательных веществ:&lt;br&gt;&lt;br&gt;
&lt;i&gt;Вспомогательные вещества препарата с консервантом:&lt;/i&gt;
&lt;ul&gt;&lt;li&gt;Тиомерсал (консервант);&lt;/li&gt;
&lt;li&gt;Тритон Х-100 (стабилизатор);&lt;/li&gt;
&lt;li&gt;Фосфатно-солевой буферный раствор.&lt;/li&gt;&lt;/ul&gt;
&lt;i&gt;Вспомогательные вещества препарата без консерванта:&lt;/i&gt;
&lt;ul&gt;&lt;li&gt;Тритон Х-100 (стабилизатор);&lt;/li&gt;
&lt;li&gt;Фосфатно-солевой буферный раствор.&lt;/li&gt;&lt;/ul&gt;
Состав фосфатно-солевого буферного раствора на дозу лекарственного средства (0,5&amp;nbsp;мл): натрия хлорид, динатрия фосфата додекагидрат, калия дигидрофосфат, вода для инъекций.&lt;/p&gt;</t>
  </si>
  <si>
    <t>https://grls.rosminzdrav.ru/InstrImg/2025/04/07/1515838/1b86346c-ace0-4de8-a757-2d3e7e4604e4.pdf</t>
  </si>
  <si>
    <r>
      <rPr>
        <rFont val="Arial"/>
        <color theme="1"/>
      </rPr>
      <t xml:space="preserve">Одна доза (0,5 мл) вакцины содержит:
Вирусы гриппа, культивированные на куриных эмбрионах, инактивированные расщепленные, представленные штаммами, эквивалентными следующим:
• А/(H₁N₁)* — 15 мкг гемагглютинина;
• А/(H₃N₂)* — 15 мкг гемагглютинина;
• В/(линии Victoria)* — 15 мкг гемагглютинина;
• В/(линии Yamagata)* — 15 мкг гемагглютинина.
Не содержит адъювантов и консервантов.
Производственные примеси овальбумин, неомицин, формальдегид или октоксинол-9 могут содержаться в следовых количествах.
Штаммовый состав вакцины и количественное содержание активных фармацевтических субстанций соответствует рекомендациям ВОЗ для Северного полушария по составу гриппозных вакцин сезона &lt;…&gt;** гг. и рекомендациям ВОЗ по производству и контролю вакцин против гриппа (инактивированных).
</t>
    </r>
    <r>
      <rPr>
        <rFont val="Arial"/>
        <i/>
        <color theme="1"/>
      </rPr>
      <t>Перечень вспомогательных веществ:</t>
    </r>
    <r>
      <rPr>
        <rFont val="Arial"/>
        <color theme="1"/>
      </rPr>
      <t xml:space="preserve">
Буферный раствор, содержащий натрия хлорид, калия хлорид, натрия гидрофосфата дигидрат, калия дигидрофосфат, воду для инъекций.
* - Указываются актуальные штаммы, рекомендованные ВОЗ и решением ЕС для Северного полушария на текущий эпидемический сезон.
** - В поле выносится указание текущего эпидемического сезона гриппа.</t>
    </r>
  </si>
  <si>
    <t>&lt;p&gt;Одна доза (0,5&amp;nbsp;мл) вакцины содержит:&lt;br&gt;&lt;br&gt;
Вирусы гриппа, культивированные на куриных эмбрионах, инактивированные расщепленные, представленные штаммами, эквивалентными следующим:
&lt;ul&gt;&lt;li&gt;А/(H₁N₁)* — 15&amp;nbsp;мкг гемагглютинина;&lt;/li&gt;
&lt;li&gt;А/(H₃N₂)* — 15&amp;nbsp;мкг гемагглютинина;&lt;/li&gt;
&lt;li&gt;В/(линии Victoria)* — 15&amp;nbsp;мкг гемагглютинина;&lt;/li&gt;
&lt;li&gt;В/(линии Yamagata)* — 15&amp;nbsp;мкг гемагглютинина.&lt;/li&gt;&lt;/ul&gt;
Не содержит адъювантов и консервантов.&lt;br&gt;
Производственные примеси овальбумин, неомицин, формальдегид или октоксинол-9 могут содержаться в следовых количествах.&lt;br&gt;
Штаммовый состав вакцины и количественное содержание активных фармацевтических субстанций соответствует рекомендациям ВОЗ для Северного полушария по составу гриппозных вакцин сезона &lt;…&gt;** гг. и рекомендациям ВОЗ по производству и контролю вакцин против гриппа (инактивированных).&lt;br&gt;&lt;br&gt;
&lt;i&gt;Перечень вспомогательных веществ:&lt;/i&gt;&lt;br&gt;
Буферный раствор, содержащий натрия хлорид, калия хлорид, натрия гидрофосфата дигидрат, калия дигидрофосфат, воду для инъекций.&lt;br&gt;&lt;br&gt;
* - Указываются актуальные штаммы, рекомендованные ВОЗ и решением ЕС для Северного полушария на текущий эпидемический сезон.&lt;br&gt;
** - В поле выносится указание текущего эпидемического сезона гриппа.&lt;/p&gt;</t>
  </si>
  <si>
    <t>https://lk.regmed.ru/Register/GetPDFfromDA?ID=1545562701</t>
  </si>
  <si>
    <t>Одна доза вакцины (0,5 мл) после разведения прилагающейся к ней водой для инъекций содержит следующие компоненты:
Активный компонент:
• Вирус Varicella Zoster (штамм ОКА) живой аттенуированный — не менее 1000 БОЕ.
Вспомогательные вещества:
• Натрия хлорид — 1,14 мг;
• Калия хлорид — 0,03 мг;
• Калия дигидрофосфат — 0,29 мг;
• Натрия гидрофосфата додекагидрат — 3,14 мг;
• Сахароза — 25,0 мг;
• Натрия глутамат — 0,36 мг;
• Канамицина моносульфат — не более 7 мкг;
• Эритромицина лактобионат — не более 2 мкг;
• Вода для инъекций — до 0,5 мл.
Вакцина не содержит консервантов.</t>
  </si>
  <si>
    <t>&lt;p&gt;Одна доза вакцины (0,5&amp;nbsp;мл) после разведения прилагающейся к ней водой для инъекций содержит следующие компоненты:&lt;/p&gt;
&lt;p&gt;Активный компонент:
&lt;ul&gt;&lt;li&gt;Вирус Varicella Zoster (штамм ОКА) живой аттенуированный — не менее 1000&amp;nbsp;БОЕ.&lt;/li&gt;&lt;/ul&gt;
Вспомогательные вещества:
&lt;ul&gt;&lt;li&gt;Натрия хлорид — 1,14&amp;nbsp;мг;&lt;/li&gt;
&lt;li&gt;Калия хлорид — 0,03&amp;nbsp;мг;&lt;/li&gt;
&lt;li&gt;Калия дигидрофосфат — 0,29&amp;nbsp;мг;&lt;/li&gt;
&lt;li&gt;Натрия гидрофосфата додекагидрат — 3,14&amp;nbsp;мг;&lt;/li&gt;
&lt;li&gt;Сахароза — 25,0&amp;nbsp;мг;&lt;/li&gt;
&lt;li&gt;Натрия глутамат — 0,36&amp;nbsp;мг;&lt;/li&gt;
&lt;li&gt;Канамицина моносульфат — не более 7&amp;nbsp;мкг;&lt;/li&gt;
&lt;li&gt;Эритромицина лактобионат — не более 2&amp;nbsp;мкг;&lt;/li&gt;
&lt;li&gt;Вода для инъекций — до 0,5&amp;nbsp;мл.&lt;/li&gt;&lt;/ul&gt;
Вакцина не содержит консервантов.&lt;/p&gt;</t>
  </si>
  <si>
    <t>https://grls.rosminzdrav.ru/InstrImg/2020/12/02/1423524/629a6384-1db2-499f-afb1-e87dac723b9a.pdf</t>
  </si>
  <si>
    <r>
      <rPr>
        <rFont val="Arial"/>
        <color theme="1"/>
      </rPr>
      <t xml:space="preserve">Одна доза вакцины (0,5 мл) содержит:
</t>
    </r>
    <r>
      <rPr>
        <rFont val="Arial"/>
        <i/>
        <color theme="1"/>
      </rPr>
      <t>Активные компоненты:</t>
    </r>
    <r>
      <rPr>
        <rFont val="Arial"/>
        <color theme="1"/>
      </rPr>
      <t xml:space="preserve">
• очищенные капсульные полисахариды </t>
    </r>
    <r>
      <rPr>
        <rFont val="Arial"/>
        <i/>
        <color theme="1"/>
      </rPr>
      <t>Streptococcus pneumoniae</t>
    </r>
    <r>
      <rPr>
        <rFont val="Arial"/>
        <color theme="1"/>
      </rPr>
      <t xml:space="preserve"> 23 серотипов: 1, 2, 3, 4, 5, 6B, 7F, 8, 9N, 9V, 10A, 11A, 12F, 14, 15B, 17F, 18C, 19A, 19F, 20, 22F, 23F, 33F — по 25 мкг каждого.
</t>
    </r>
    <r>
      <rPr>
        <rFont val="Arial"/>
        <i/>
        <color theme="1"/>
      </rPr>
      <t>Вспомогательные вещества:</t>
    </r>
    <r>
      <rPr>
        <rFont val="Arial"/>
        <color theme="1"/>
      </rPr>
      <t xml:space="preserve">
• фенол — консервант ≤1,25 мг;
• натрия хлорид — 4,15 мг;
• натрия гидрофосфата дигидрат — 0,065 мг;
• натрия дигидрофосфата дигидрат — 0,023 мг;
• вода для инъекций — до 0,5 мл.</t>
    </r>
  </si>
  <si>
    <r>
      <rPr>
        <rFont val="Arial"/>
        <color theme="1"/>
      </rPr>
      <t xml:space="preserve">&lt;p&gt;Одна доза вакцины (0,5&amp;nbsp;мл) содержит:&lt;/p&gt;
</t>
    </r>
    <r>
      <rPr>
        <rFont val="Arial"/>
        <i/>
        <color theme="1"/>
      </rPr>
      <t>&lt;p&gt;&lt;i&gt;Активные компоненты:</t>
    </r>
    <r>
      <rPr>
        <rFont val="Arial"/>
        <color theme="1"/>
      </rPr>
      <t xml:space="preserve">&lt;/i&gt;
&lt;ul&gt;&lt;li&gt;очищенные капсульные полисахариды </t>
    </r>
    <r>
      <rPr>
        <rFont val="Arial"/>
        <i/>
        <color theme="1"/>
      </rPr>
      <t>Streptococcus pneumoniae</t>
    </r>
    <r>
      <rPr>
        <rFont val="Arial"/>
        <color theme="1"/>
      </rPr>
      <t xml:space="preserve"> 23&amp;nbsp;серотипов: 1, 2, 3, 4, 5, 6B, 7F, 8, 9N, 9V, 10A, 11A, 12F, 14, 15B, 17F, 18C, 19A, 19F, 20, 22F, 23F, 33F — по 25&amp;nbsp;мкг каждого.&lt;/li&gt;&lt;/ul&gt;
</t>
    </r>
    <r>
      <rPr>
        <rFont val="Arial"/>
        <i/>
        <color theme="1"/>
      </rPr>
      <t>&lt;i&gt;Вспомогательные вещества:</t>
    </r>
    <r>
      <rPr>
        <rFont val="Arial"/>
        <color theme="1"/>
      </rPr>
      <t>&lt;/i&gt;
&lt;ul&gt;&lt;li&gt;фенол — консервант ≤1,25&amp;nbsp;мг;&lt;/li&gt;
&lt;li&gt;натрия хлорид — 4,15&amp;nbsp;мг;&lt;/li&gt;
&lt;li&gt;натрия гидрофосфата дигидрат — 0,065&amp;nbsp;мг;&lt;/li&gt;
&lt;li&gt;натрия дигидрофосфата дигидрат — 0,023&amp;nbsp;мг;&lt;/li&gt;
&lt;li&gt;вода для инъекций — до 0,5&amp;nbsp;мл.&lt;/li&gt;&lt;/ul&gt;&lt;/p&gt;</t>
    </r>
  </si>
  <si>
    <t>https://grls.rosminzdrav.ru/InstrImg/2019/06/29/1424317/a2b80c77-0857-4a1d-a948-36a987511e54.pdf</t>
  </si>
  <si>
    <r>
      <rPr>
        <rFont val="Arial"/>
        <color theme="1"/>
      </rPr>
      <t xml:space="preserve">После восстановления 1 доза (0,5 мл) содержит:
• Вирус ветряной оспы* штамм Oka/Merck (живой, аттенуированный) не менее 1350 БОЕ**
* Получен из диплоидных клеток человека (MRC-5).
** Бляшкообразующая единица.
Перечень вспомогательных веществ:
</t>
    </r>
    <r>
      <rPr>
        <rFont val="Arial"/>
        <i/>
        <color theme="1"/>
      </rPr>
      <t>Лиофилизат:</t>
    </r>
    <r>
      <rPr>
        <rFont val="Arial"/>
        <color theme="1"/>
      </rPr>
      <t xml:space="preserve">
• Сахароза.
• Желатин (гидролизованный свиной).
• Мочевина.
• Натрия хлорид.
• Натрия L-глутамат.
• Натрия гидрофосфат.
• Калия дигидрофосфат.
• Калия хлорид.
</t>
    </r>
    <r>
      <rPr>
        <rFont val="Arial"/>
        <i/>
        <color theme="1"/>
      </rPr>
      <t>Растворитель:</t>
    </r>
    <r>
      <rPr>
        <rFont val="Arial"/>
        <color theme="1"/>
      </rPr>
      <t xml:space="preserve">
• Вода для инъекций.
Вакцина может содержать примеси технологического процесса (компоненты культуры клеток после разрушения ультразвуком и фильтрации, аминокислоты, антибиотик неомицин в неопределяемых количествах и бычий сывороточный альбумин (не более 1 мкг/мл))</t>
    </r>
  </si>
  <si>
    <t>&lt;p&gt;После восстановления 1&amp;nbsp;доза (0,5&amp;nbsp;мл) содержит:
&lt;ul&gt;&lt;li&gt;Вирус ветряной оспы* штамм Oka/Merck (живой, аттенуированный) не менее 1350&amp;nbsp;БОЕ**&lt;/li&gt;
* Получен из диплоидных клеток человека (MRC-5).&lt;br&gt;
** Бляшкообразующая единица.&lt;/ul&gt;
Перечень вспомогательных веществ:&lt;br&gt;
&lt;i&gt;Лиофилизат:&lt;/i&gt;
&lt;ul&gt;&lt;li&gt;Сахароза.&lt;/li&gt;
&lt;li&gt;Желатин (гидролизованный свиной).&lt;/li&gt;
&lt;li&gt;Мочевина.&lt;/li&gt;
&lt;li&gt;Натрия хлорид.&lt;/li&gt;
&lt;li&gt;Натрия L-глутамат.&lt;/li&gt;
&lt;li&gt;Натрия гидрофосфат.&lt;/li&gt;
&lt;li&gt;Калия дигидрофосфат.&lt;/li&gt;
&lt;li&gt;Калия хлорид.&lt;/li&gt;&lt;/ul&gt;
&lt;i&gt;Растворитель:&lt;/i&gt;
&lt;ul&gt;&lt;li&gt;Вода для инъекций.&lt;/li&gt;&lt;/ul&gt;
Вакцина может содержать примеси технологического процесса (компоненты культуры клеток после разрушения ультразвуком и фильтрации, аминокислоты, антибиотик неомицин в неопределяемых количествах и бычий сывороточный альбумин (не более 1&amp;nbsp;мкг/мл))&lt;/p&gt;</t>
  </si>
  <si>
    <t>https://lk.regmed.ru/Register/GetPDFfromDA?ID=1497046991</t>
  </si>
  <si>
    <r>
      <rPr>
        <rFont val="Arial"/>
        <color theme="1"/>
      </rPr>
      <t xml:space="preserve">1 доза (0,5 мл) содержит:
Пневмококковые конъюгаты (полисахарид — CRM197):
• Полисахарид серотипа 1¹ — 2,2 мкг;
• Полисахарид серотипа 3¹ — 2,2 мкг;
• Полисахарид серотипа 4¹ — 2,2 мкг;
• Полисахарид серотипа 5¹ — 2,2 мкг;
• Полисахарид серотипа 6А¹ — 2,2 мкг;
• Полисахарид серотипа 6В¹ — 4,4 мкг;
• Полисахарид серотипа 7F¹ — 2,2 мкг;
• Полисахарид серотипа 9V¹ — 2,2 мкг;
• Полисахарид серотипа 14¹ — 2,2 мкг;
• Полисахарид серотипа 18С¹ — 2,2 мкг;
• Полисахарид серотипа 19A¹ — 2,2 мкг;
• Полисахарид серотипа 19F¹ — 2,2 мкг;
• Полисахарид серотипа 23F¹ — 2,2 мкг.
¹ Конъюгированный с белком CRM197 в качестве носителя (всего 20—60 мкг на дозу) и адсорбированный на алюминия фосфате (всего 0,125 мг в пересчете на Al на одну дозу).
</t>
    </r>
    <r>
      <rPr>
        <rFont val="Arial"/>
        <i/>
        <color theme="1"/>
      </rPr>
      <t>Перечень вспомогательных веществ:</t>
    </r>
    <r>
      <rPr>
        <rFont val="Arial"/>
        <color theme="1"/>
      </rPr>
      <t xml:space="preserve">
• Натрия хлорид;
• Янтарная кислота;
• Полисорбат 20;
• Вода для инъекций.</t>
    </r>
  </si>
  <si>
    <r>
      <rPr>
        <rFont val="Arial"/>
        <color theme="1"/>
      </rPr>
      <t xml:space="preserve">&lt;p&gt;1&amp;nbsp;доза (0,5&amp;nbsp;мл) содержит:&lt;br&gt;&lt;br&gt;
Пневмококковые конъюгаты (полисахарид — CRM197):
&lt;ul&gt;&lt;li&gt;Полисахарид серотипа&amp;nbsp;1¹ — 2,2&amp;nbsp;мкг;&lt;/li&gt;
&lt;li&gt;Полисахарид серотипа&amp;nbsp;3¹ — 2,2&amp;nbsp;мкг;&lt;/li&gt;
&lt;li&gt;Полисахарид серотипа&amp;nbsp;4¹ — 2,2&amp;nbsp;мкг;&lt;/li&gt;
&lt;li&gt;Полисахарид серотипа&amp;nbsp;5¹ — 2,2&amp;nbsp;мкг;&lt;/li&gt;
&lt;li&gt;Полисахарид серотипа&amp;nbsp;6А¹ — 2,2&amp;nbsp;мкг;&lt;/li&gt;
&lt;li&gt;Полисахарид серотипа&amp;nbsp;6В¹ — 4,4&amp;nbsp;мкг;&lt;/li&gt;
&lt;li&gt;Полисахарид серотипа&amp;nbsp;7F¹ — 2,2&amp;nbsp;мкг;&lt;/li&gt;
&lt;li&gt;Полисахарид серотипа&amp;nbsp;9V¹ — 2,2&amp;nbsp;мкг;&lt;/li&gt;
&lt;li&gt;Полисахарид серотипа&amp;nbsp;14¹ — 2,2&amp;nbsp;мкг;&lt;/li&gt;
&lt;li&gt;Полисахарид серотипа&amp;nbsp;18С¹ — 2,2&amp;nbsp;мкг;&lt;/li&gt;
&lt;li&gt;Полисахарид серотипа&amp;nbsp;19A¹ — 2,2&amp;nbsp;мкг;&lt;/li&gt;
&lt;li&gt;Полисахарид серотипа&amp;nbsp;19F¹ — 2,2&amp;nbsp;мкг;&lt;/li&gt;
&lt;li&gt;Полисахарид серотипа&amp;nbsp;23F¹ — 2,2&amp;nbsp;мкг.&lt;/li&gt;&lt;/ul&gt;
¹&amp;nbsp;Конъюгированный с белком CRM197 в качестве носителя (всего 20—60&amp;nbsp;мкг на дозу) и адсорбированный на алюминия фосфате (всего 0,125&amp;nbsp;мг в пересчете на Al на одну дозу).&lt;br&gt;&lt;br&gt;
</t>
    </r>
    <r>
      <rPr>
        <rFont val="Arial"/>
        <i/>
        <color theme="1"/>
      </rPr>
      <t>&lt;i&gt;Перечень вспомогательных веществ:&lt;/i&gt;</t>
    </r>
    <r>
      <rPr>
        <rFont val="Arial"/>
        <color theme="1"/>
      </rPr>
      <t xml:space="preserve">
&lt;ul&gt;&lt;li&gt;Натрия хлорид;&lt;/li&gt;
&lt;li&gt;Янтарная кислота;&lt;/li&gt;
&lt;li&gt;Полисорбат&amp;nbsp;20;&lt;/li&gt;
&lt;li&gt;Вода для инъекций.&lt;/li&gt;&lt;/ul&gt;&lt;/p&gt;</t>
    </r>
  </si>
  <si>
    <t>https://grls.rosminzdrav.ru/InstrImg/2025/06/02/1517806/3c9102ff-eafa-47bc-b83f-eb05cfac1092.pdf</t>
  </si>
  <si>
    <r>
      <rPr>
        <rFont val="Arial"/>
        <color theme="1"/>
      </rPr>
      <t xml:space="preserve">1 прививочная доза (0,5 мл) содержит¹:
</t>
    </r>
    <r>
      <rPr>
        <rFont val="Arial"/>
        <i/>
        <color theme="1"/>
      </rPr>
      <t>Действующие вещества</t>
    </r>
    <r>
      <rPr>
        <rFont val="Arial"/>
        <color theme="1"/>
      </rPr>
      <t xml:space="preserve">:
• Живой аттенуированный вирус кори (штамм Schwarz), выращенный в культуре клеток куриных эмбрионов — не менее 3,0 lg ТЦД₅₀²·³.
• Живой аттенуированный вирус паротита (штамм RIT 4385), выращенный в культуре клеток куриных эмбрионов — не менее 3,7 lg ТЦД₅₀².
• Живой аттенуированный вирус краснухи (штамм Wistar RA 27/3), выращенный в диплоидной культуре клеток человека MRC-5 — не менее 3,0 lg ТЦД₅₀².
</t>
    </r>
    <r>
      <rPr>
        <rFont val="Arial"/>
        <i/>
        <color theme="1"/>
      </rPr>
      <t>Вспомогательные вещества</t>
    </r>
    <r>
      <rPr>
        <rFont val="Arial"/>
        <color theme="1"/>
      </rPr>
      <t xml:space="preserve">:
• Лактоза — 32 мг.
• Сорбитол — 9 мг.
• Маннитол — 8 мг.
• Аминокислоты — 9 мг.
</t>
    </r>
    <r>
      <rPr>
        <rFont val="Arial"/>
        <i/>
        <color theme="1"/>
      </rPr>
      <t>Растворитель</t>
    </r>
    <r>
      <rPr>
        <rFont val="Arial"/>
        <color theme="1"/>
      </rPr>
      <t>:
• Вода для инъекций — 0,5 мл.
Примечание:
1. Вакцина содержит следовые количества неомицина сульфата.
2. Номинальный титр вируса соответствует минимальному титру, гарантируемому производителем на дату окончания срокка годности. Содержание вируса в одной прививочной дозе на момент выпуска препарата может отличаться и превышать минимальный титр, указанный в составе.
3. ТЦД₅₀ — доза, инфицирующая 50% клеток монослоя.</t>
    </r>
  </si>
  <si>
    <r>
      <rPr>
        <rFont val="Arial"/>
        <color theme="1"/>
      </rPr>
      <t>&lt;p&gt;1&amp;nbsp;прививочная доза (0,5&amp;nbsp;мл) содержит¹:&lt;/p&gt;
&lt;p&gt;&lt;i&gt;</t>
    </r>
    <r>
      <rPr>
        <rFont val="Arial"/>
        <i/>
        <color theme="1"/>
      </rPr>
      <t>Действующие вещества:</t>
    </r>
    <r>
      <rPr>
        <rFont val="Arial"/>
        <color theme="1"/>
      </rPr>
      <t xml:space="preserve">&lt;/i&gt;
&lt;ul&gt;&lt;li&gt;Живой аттенуированный вирус кори (штамм Schwarz), выращенный в культуре клеток куриных эмбрионов — не менее 3,0&amp;nbsp;lg&amp;nbsp;ТЦД₅₀²&lt;sup&gt;,&lt;/sup&gt;³.&lt;/li&gt;
&lt;li&gt;Живой аттенуированный вирус паротита (штамм RIT&amp;nbsp;4385), выращенный в культуре клеток куриных эмбрионов — не менее 3,7&amp;nbsp;lg&amp;nbsp;ТЦД₅₀².&lt;/li&gt;
&lt;li&gt;Живой аттенуированный вирус краснухи (штамм Wistar RA&amp;nbsp;27/3), выращенный в диплоидной культуре клеток человека&amp;nbsp;MRC-5 — не менее 3,0&amp;nbsp;lg&amp;nbsp;ТЦД₅₀².&lt;/li&gt;&lt;/ul&gt;
</t>
    </r>
    <r>
      <rPr>
        <rFont val="Arial"/>
        <i/>
        <color theme="1"/>
      </rPr>
      <t>&lt;i&gt;Вспомогательные вещества</t>
    </r>
    <r>
      <rPr>
        <rFont val="Arial"/>
        <color theme="1"/>
      </rPr>
      <t xml:space="preserve">:&lt;/i&gt;
&lt;ul&gt;&lt;li&gt;Лактоза — 32&amp;nbsp;мг.&lt;/li&gt;
&lt;li&gt;Сорбитол — 9&amp;nbsp;мг.&lt;/li&gt;
&lt;li&gt;Маннитол — 8&amp;nbsp;мг.&lt;/li&gt;
&lt;li&gt;Аминокислоты — 9&amp;nbsp;мг.&lt;/li&gt;&lt;/ul&gt;
</t>
    </r>
    <r>
      <rPr>
        <rFont val="Arial"/>
        <i/>
        <color theme="1"/>
      </rPr>
      <t>&lt;i&gt;Растворитель</t>
    </r>
    <r>
      <rPr>
        <rFont val="Arial"/>
        <color theme="1"/>
      </rPr>
      <t>&lt;/i&gt;
&lt;ul&gt;&lt;li&gt;Вода для инъекций — 0,5&amp;nbsp;мл.&lt;/li&gt;&lt;/ul&gt;&lt;/p&gt;
&lt;p&gt;Примечание:&lt;br&gt;
1. Вакцина содержит следовые количества неомицина сульфата.&lt;br&gt;
2. Номинальный титр вируса соответствует минимальному титру, гарантируемому производителем на дату окончания срокка годности. Содержание вируса в одной прививочной дозе на момент выпуска препарата может отличаться и превышать минимальный титр, указанный в составе.&lt;br&gt;
3. ТЦД₅₀ — доза, инфицирующая 50% клеток монослоя.&lt;/p&gt;</t>
    </r>
  </si>
  <si>
    <t>https://grls.rosminzdrav.ru/InstrImg/2021/04/08/1467900/f508c5e7-aa0d-42c7-bedb-2e85c64ad4f7.pdf</t>
  </si>
  <si>
    <r>
      <rPr>
        <rFont val="Arial"/>
        <color theme="1"/>
      </rPr>
      <t xml:space="preserve">Одна доза вакцины (0,5 мл) содержит:
</t>
    </r>
    <r>
      <rPr>
        <rFont val="Arial"/>
        <i/>
        <color theme="1"/>
      </rPr>
      <t>Действующие вещества</t>
    </r>
    <r>
      <rPr>
        <rFont val="Arial"/>
        <color theme="1"/>
      </rPr>
      <t xml:space="preserve">:
• Менингококковый полисахарид серогруппы А¹ — 10 мкг.
• Менингококковый полисахарид серогруппы C¹ — 10 мкг.
• Менингококковый полисахарид серогруппы W¹ — 10 мкг.
• Менингококковый полисахарид серогруппы Y¹ — 10 мкг.
¹ - Конъюгированный с белком-носителем — столбнячным анатоксином ~ 55 мкг.
</t>
    </r>
    <r>
      <rPr>
        <rFont val="Arial"/>
        <i/>
        <color theme="1"/>
      </rPr>
      <t>Перечень вспомогательных веществ:</t>
    </r>
    <r>
      <rPr>
        <rFont val="Arial"/>
        <color theme="1"/>
      </rPr>
      <t xml:space="preserve">
Натрия хлорид, натрия ацетат, вода для инъекций.</t>
    </r>
  </si>
  <si>
    <r>
      <rPr>
        <rFont val="Arial"/>
        <color theme="1"/>
      </rPr>
      <t xml:space="preserve">&lt;p&gt;Одна доза вакцины (0,5&amp;nbsp;мл) содержит:&lt;br&gt;&lt;br&gt;
</t>
    </r>
    <r>
      <rPr>
        <rFont val="Arial"/>
        <i/>
        <color theme="1"/>
      </rPr>
      <t>&lt;i&gt;Действующие вещества:</t>
    </r>
    <r>
      <rPr>
        <rFont val="Arial"/>
        <color theme="1"/>
      </rPr>
      <t xml:space="preserve">&lt;/i&gt;
&lt;ul&gt;&lt;li&gt;Менингококковый полисахарид серогруппы&amp;nbsp;А¹ — 10&amp;nbsp;мкг.&lt;/li&gt;
&lt;li&gt;Менингококковый полисахарид серогруппы&amp;nbsp;C¹ — 10&amp;nbsp;мкг.&lt;/li&gt;
&lt;li&gt;Менингококковый полисахарид серогруппы&amp;nbsp;W¹ — 10&amp;nbsp;мкг.&lt;/li&gt;
&lt;li&gt;Менингококковый полисахарид серогруппы&amp;nbsp;Y¹ — 10&amp;nbsp;мкг.&lt;/li&gt;&lt;/ul&gt;
¹ - Конъюгированный с белком-носителем — столбнячным анатоксином ~ 55&amp;nbsp;мкг.&lt;br&gt;&lt;br&gt;
</t>
    </r>
    <r>
      <rPr>
        <rFont val="Arial"/>
        <i/>
        <color theme="1"/>
      </rPr>
      <t>&lt;i&gt;</t>
    </r>
    <r>
      <rPr>
        <rFont val="Arial"/>
        <color theme="1"/>
      </rPr>
      <t>Перечень вспомогательных веществ:&lt;/i&gt;&lt;br&gt;
Натрия хлорид, натрия ацетат, вода для инъекций.&lt;/p&gt;</t>
    </r>
  </si>
  <si>
    <t>https://grls.rosminzdrav.ru/InstrImg/2026/01/16/1525169/a5f21ff0-2d7c-4ab8-8025-1ccbc0cf7cc6.pdf</t>
  </si>
  <si>
    <r>
      <rPr>
        <rFont val="Arial"/>
        <color theme="1"/>
      </rPr>
      <t xml:space="preserve">1 доза (0,5 мл) содержит:
• Рекомбинантный гибридный белок </t>
    </r>
    <r>
      <rPr>
        <rFont val="Arial"/>
        <i/>
        <color theme="1"/>
      </rPr>
      <t>Neisseria meningitidis</t>
    </r>
    <r>
      <rPr>
        <rFont val="Arial"/>
        <color theme="1"/>
      </rPr>
      <t xml:space="preserve"> серогруппы В NHBA¹·²·³ — 50 микрограммов.
• Рекомбинантный белок </t>
    </r>
    <r>
      <rPr>
        <rFont val="Arial"/>
        <i/>
        <color theme="1"/>
      </rPr>
      <t>Neisseria meningitidis</t>
    </r>
    <r>
      <rPr>
        <rFont val="Arial"/>
        <color theme="1"/>
      </rPr>
      <t xml:space="preserve"> серогруппы В NadA¹·²·³ — 50 микрограммов.
• Рекомбинантный гибридный белок </t>
    </r>
    <r>
      <rPr>
        <rFont val="Arial"/>
        <i/>
        <color theme="1"/>
      </rPr>
      <t>Neisseria meningitidis</t>
    </r>
    <r>
      <rPr>
        <rFont val="Arial"/>
        <color theme="1"/>
      </rPr>
      <t xml:space="preserve"> ceрогруппы В fHBP¹·²·³ — 50 микрограммов.
• Везикулы наружной мембраны (OMV)⁴ — 25 микрограммов.
¹ - Выращен в клетках </t>
    </r>
    <r>
      <rPr>
        <rFont val="Arial"/>
        <i/>
        <color theme="1"/>
      </rPr>
      <t>Escherichia coli</t>
    </r>
    <r>
      <rPr>
        <rFont val="Arial"/>
        <color theme="1"/>
      </rPr>
      <t xml:space="preserve"> по технологии рекомбинантной ДНК.
² - Адсорбированный на алюминия гидроксиде (0,5 мг в пересчете на алюминий).
³ - NHBA (нейссериальный гепарин-связывающий антиген), NadA (нейссериальный адгезин А), fHBP (белок, связывающий фактор Н).
⁴ - OMV </t>
    </r>
    <r>
      <rPr>
        <rFont val="Arial"/>
        <i/>
        <color theme="1"/>
      </rPr>
      <t>Neisseria meningitidis</t>
    </r>
    <r>
      <rPr>
        <rFont val="Arial"/>
        <color theme="1"/>
      </rPr>
      <t xml:space="preserve"> серогруппы В, полученные из штамма NZ98/254, определяемые как общее содержание белка PorA P1.4.
</t>
    </r>
    <r>
      <rPr>
        <rFont val="Arial"/>
        <i/>
        <color theme="1"/>
      </rPr>
      <t>Перечень вспомогательных веществ:</t>
    </r>
    <r>
      <rPr>
        <rFont val="Arial"/>
        <color theme="1"/>
      </rPr>
      <t xml:space="preserve">
• Натрия хлорид.
• Гистидин.
• Сахароза.
• Вода для инъекций.</t>
    </r>
  </si>
  <si>
    <r>
      <rPr>
        <rFont val="Arial"/>
        <color theme="1"/>
      </rPr>
      <t xml:space="preserve">&lt;p&gt;1&amp;nbsp;доза (0,5&amp;nbsp;мл) содержит:
&lt;ul&gt;&lt;li&gt;Рекомбинантный гибридный белок </t>
    </r>
    <r>
      <rPr>
        <rFont val="Arial"/>
        <i/>
        <color theme="1"/>
      </rPr>
      <t>Neisseria meningitidis</t>
    </r>
    <r>
      <rPr>
        <rFont val="Arial"/>
        <color theme="1"/>
      </rPr>
      <t xml:space="preserve"> серогруппы&amp;nbsp;В NHBA¹&lt;sup&gt;,&lt;/sup&gt;²&lt;sup&gt;,&lt;/sup&gt;³ — 50&amp;nbsp;микрограммов.&lt;/li&gt;
&lt;li&gt;Рекомбинантный белок </t>
    </r>
    <r>
      <rPr>
        <rFont val="Arial"/>
        <i/>
        <color theme="1"/>
      </rPr>
      <t>Neisseria meningitidis</t>
    </r>
    <r>
      <rPr>
        <rFont val="Arial"/>
        <color theme="1"/>
      </rPr>
      <t xml:space="preserve"> серогруппы&amp;nbsp;В NadA¹&lt;sup&gt;,&lt;/sup&gt;²&lt;sup&gt;,&lt;/sup&gt;³ — 50&amp;nbsp;микрограммов.&lt;/li&gt;
&lt;li&gt;Рекомбинантный гибридный белок </t>
    </r>
    <r>
      <rPr>
        <rFont val="Arial"/>
        <i/>
        <color theme="1"/>
      </rPr>
      <t>Neisseria meningitidis</t>
    </r>
    <r>
      <rPr>
        <rFont val="Arial"/>
        <color theme="1"/>
      </rPr>
      <t xml:space="preserve"> ceрогруппы&amp;nbsp;В fHBP¹&lt;sup&gt;,&lt;/sup&gt;²&lt;sup&gt;,&lt;/sup&gt;³ — 50&amp;nbsp;микрограммов.&lt;/li&gt;
&lt;li&gt;Везикулы наружной мембраны (OMV)⁴ — 25&amp;nbsp;микрограммов.&lt;/li&gt;&lt;/ul&gt;
¹ - Выращен в клетках </t>
    </r>
    <r>
      <rPr>
        <rFont val="Arial"/>
        <i/>
        <color theme="1"/>
      </rPr>
      <t>Escherichia coli</t>
    </r>
    <r>
      <rPr>
        <rFont val="Arial"/>
        <color theme="1"/>
      </rPr>
      <t xml:space="preserve"> по технологии рекомбинантной ДНК.&lt;br&gt;
² - Адсорбированный на алюминия гидроксиде (0,5&amp;nbsp;мг в пересчете на алюминий).&lt;br&gt;
³ - NHBA (нейссериальный гепарин-связывающий антиген), NadA (нейссериальный адгезин А), fHBP (белок, связывающий фактор Н).&lt;br&gt;
⁴ - OMV </t>
    </r>
    <r>
      <rPr>
        <rFont val="Arial"/>
        <i/>
        <color theme="1"/>
      </rPr>
      <t>Neisseria meningitidis</t>
    </r>
    <r>
      <rPr>
        <rFont val="Arial"/>
        <color theme="1"/>
      </rPr>
      <t xml:space="preserve"> серогруппы&amp;nbsp;В, полученные из штамма NZ98/254, определяемые как общее содержание белка PorA P1.4.&lt;br&gt;&lt;/p&gt;
</t>
    </r>
    <r>
      <rPr>
        <rFont val="Arial"/>
        <i/>
        <color theme="1"/>
      </rPr>
      <t>&lt;p&gt;&lt;i&gt;Перечень вспомогательных веществ:&lt;/i&gt;
&lt;ul&gt;&lt;li&gt;Натрия хлорид.&lt;/li&gt;
&lt;li&gt;Гистидин.&lt;/li&gt;
&lt;li&gt;Сахароза.&lt;/li&gt;
&lt;li&gt;Вода для инъекций.&lt;/li&gt;&lt;/ul&gt;&lt;/p&gt;</t>
    </r>
  </si>
  <si>
    <t>https://lk.regmed.ru/Register/GetPDFfromDA?ID=1574006211</t>
  </si>
  <si>
    <r>
      <rPr>
        <rFont val="Arial"/>
        <color theme="1"/>
      </rPr>
      <t xml:space="preserve">Компонент I содержит:
</t>
    </r>
    <r>
      <rPr>
        <rFont val="Arial"/>
        <i/>
        <color theme="1"/>
      </rPr>
      <t>Действующее вещество:</t>
    </r>
    <r>
      <rPr>
        <rFont val="Arial"/>
        <color theme="1"/>
      </rPr>
      <t xml:space="preserve"> рекомбинантные аденовирусные частицы 26 серотипа, содержащие ген белка S вируса SARS-CoV-2 — (1,0±0,5)x10¹⁰ частиц.
</t>
    </r>
    <r>
      <rPr>
        <rFont val="Arial"/>
        <i/>
        <color theme="1"/>
      </rPr>
      <t>Вспомогательные вещества:</t>
    </r>
    <r>
      <rPr>
        <rFont val="Arial"/>
        <color theme="1"/>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
Компонент II содержит:
</t>
    </r>
    <r>
      <rPr>
        <rFont val="Arial"/>
        <i/>
        <color theme="1"/>
      </rPr>
      <t>Действующее вещество:</t>
    </r>
    <r>
      <rPr>
        <rFont val="Arial"/>
        <color theme="1"/>
      </rPr>
      <t xml:space="preserve"> рекомбинантные аденовирусные частицы 5 серотипа, содержащие ген белка S вируса SARS-CoV-2 — (1,0±0,5)x10¹⁰ частиц.
</t>
    </r>
    <r>
      <rPr>
        <rFont val="Arial"/>
        <i/>
        <color theme="1"/>
      </rPr>
      <t>Вспомогательные вещества:</t>
    </r>
    <r>
      <rPr>
        <rFont val="Arial"/>
        <color theme="1"/>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t>
    </r>
  </si>
  <si>
    <t>&lt;p&gt;Компонент&amp;nbsp;I содержит:&lt;/p&gt;
&lt;p&gt;&lt;i&gt;Действующее вещество:&lt;/i&gt; рекомбинантные аденовирусные частицы 26&amp;nbsp;серотипа, содержащие ген белка&amp;nbsp;S вируса SARS-CoV-2 — (1,0±0,5)x10¹⁰&amp;nbsp;частиц.&lt;/p&gt;
&lt;p&gt;&lt;i&gt;Вспомогательные вещества:&lt;/i&gt;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
&lt;p&gt;Компонент&amp;nbsp;II содержит:&lt;/p&gt;
&lt;p&gt;&lt;i&gt;Действующее вещество:&lt;/i&gt; рекомбинантные аденовирусные частицы 5&amp;nbsp;серотипа, содержащие ген белка&amp;nbsp;S вируса SARS-CoV-2 — (1,0±0,5)x10¹⁰&amp;nbsp;частиц.&lt;/p&gt;
&lt;p&gt;&lt;i&gt;Вспомогательные вещества:&lt;i&gt;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t>
  </si>
  <si>
    <t>https://grls.rosminzdrav.ru/InstrImg/2023/07/13/1494926/d8440e50-44f6-4e4b-a50d-64608384e586.pdf</t>
  </si>
  <si>
    <r>
      <rPr>
        <rFont val="Arial"/>
        <color theme="1"/>
      </rPr>
      <t xml:space="preserve">Одна доза вакцины содержит:
</t>
    </r>
    <r>
      <rPr>
        <rFont val="Arial"/>
        <i/>
        <color theme="1"/>
      </rPr>
      <t>Активные компоненты:</t>
    </r>
    <r>
      <rPr>
        <rFont val="Arial"/>
        <color theme="1"/>
      </rPr>
      <t xml:space="preserve"> антиген вируса клещевого энцефалита (штамм К23) размноженного на культуре клеток куриного эмбриона, инактивированный, очищенный — 0,75 мкг.
</t>
    </r>
    <r>
      <rPr>
        <rFont val="Arial"/>
        <i/>
        <color theme="1"/>
      </rPr>
      <t>Вспомогательные компоненты:</t>
    </r>
    <r>
      <rPr>
        <rFont val="Arial"/>
        <color theme="1"/>
      </rPr>
      <t xml:space="preserve">
Трисгидроксиметиламинометан — 1,28 мг, Натрия хлорид — 1,2 мг, Сахароза — 10-15 мг, Алюминия гидроксид — 0,5 мг, Вода для инъекций — до 0,250 мл.
Вакцина не содержит консервантов.</t>
    </r>
  </si>
  <si>
    <r>
      <rPr>
        <rFont val="Arial"/>
        <color theme="1"/>
      </rPr>
      <t xml:space="preserve">&lt;p&gt;Одна доза вакцины содержит:&lt;/p&gt;
</t>
    </r>
    <r>
      <rPr>
        <rFont val="Arial"/>
        <i/>
        <color theme="1"/>
      </rPr>
      <t>&lt;p&gt;&lt;i&gt;Активные компоненты:</t>
    </r>
    <r>
      <rPr>
        <rFont val="Arial"/>
        <color theme="1"/>
      </rPr>
      <t xml:space="preserve">&lt;/i&gt; антиген вируса клещевого энцефалита (штамм К23) размноженного на культуре клеток куриного эмбриона, инактивированный, очищенный — 0,75&amp;nbsp;мкг.&lt;/p&gt;
</t>
    </r>
    <r>
      <rPr>
        <rFont val="Arial"/>
        <i/>
        <color theme="1"/>
      </rPr>
      <t>&lt;p&gt;&lt;i&gt;Вспомогательные компоненты:&lt;/i&gt;&lt;br&gt;</t>
    </r>
    <r>
      <rPr>
        <rFont val="Arial"/>
        <color theme="1"/>
      </rPr>
      <t xml:space="preserve">
Трисгидроксиметиламинометан — 1,28&amp;nbsp;мг, Натрия хлорид — 1,2&amp;nbsp;мг, Сахароза — 10-15&amp;nbsp;мг, Алюминия гидроксид — 0,5&amp;nbsp;мг, Вода для инъекций — до 0,250&amp;nbsp;мл.&lt;/p&gt;
&lt;p&gt;Вакцина не содержит консервантов.&lt;/p&gt;</t>
    </r>
  </si>
  <si>
    <t>https://grls.rosminzdrav.ru/InstrImg/2019/8/15/1445618/%D0%9F_N015312_01[2010]_0.pdf</t>
  </si>
  <si>
    <r>
      <rPr>
        <rFont val="Arial"/>
        <color theme="1"/>
      </rPr>
      <t xml:space="preserve">Одна доза (0,5 мл) вакцины содержит:
</t>
    </r>
    <r>
      <rPr>
        <rFont val="Arial"/>
        <i/>
        <color theme="1"/>
      </rPr>
      <t>Активные компоненты:</t>
    </r>
    <r>
      <rPr>
        <rFont val="Arial"/>
        <color theme="1"/>
      </rPr>
      <t xml:space="preserve"> антиген вируса клещевого энцефалита (штамм К23) размноженного на культуре клеток куриного эмбриона, инактивированный, очищенный — 1,5 мкг.
</t>
    </r>
    <r>
      <rPr>
        <rFont val="Arial"/>
        <i/>
        <color theme="1"/>
      </rPr>
      <t>Вспомогательные компоненты:</t>
    </r>
    <r>
      <rPr>
        <rFont val="Arial"/>
        <color theme="1"/>
      </rPr>
      <t xml:space="preserve">
Трисгидроксиметиламинометан — 2,55 мг, Натрия хлорид — 2,4 мг, Сахароза — 20-30 мг, Алюминия гидроксид — 1 мг, Вода для инъекций — до 0,5 мл.
Вакцина не содержит консервантов.</t>
    </r>
  </si>
  <si>
    <r>
      <rPr>
        <rFont val="Arial"/>
        <color theme="1"/>
      </rPr>
      <t xml:space="preserve">&lt;p&gt;Одна доза (0,5&amp;nbsp;мл) вакцины содержит:&lt;/p&gt;
</t>
    </r>
    <r>
      <rPr>
        <rFont val="Arial"/>
        <i/>
        <color theme="1"/>
      </rPr>
      <t>&lt;p&gt;&lt;i&gt;Активные компоненты:&lt;/i&gt;</t>
    </r>
    <r>
      <rPr>
        <rFont val="Arial"/>
        <color theme="1"/>
      </rPr>
      <t xml:space="preserve"> антиген вируса клещевого энцефалита (штамм К23) размноженного на культуре клеток куриного эмбриона, инактивированный, очищенный — 1,5&amp;nbsp;мкг.&lt;/p&gt;
</t>
    </r>
    <r>
      <rPr>
        <rFont val="Arial"/>
        <i/>
        <color theme="1"/>
      </rPr>
      <t>&lt;p&gt;&lt;i&gt;Вспомогательные компоненты:</t>
    </r>
    <r>
      <rPr>
        <rFont val="Arial"/>
        <color theme="1"/>
      </rPr>
      <t>&lt;/i&gt;&lt;br&gt;
Трисгидроксиметиламинометан — 2,55&amp;nbsp;мг, Натрия хлорид — 2,4&amp;nbsp;мг, Сахароза — 20-30&amp;nbsp;мг, Алюминия гидроксид — 1&amp;nbsp;мг, Вода для инъекций — до 0,5&amp;nbsp;мл.&lt;/p&gt;
&lt;p&gt;Вакцина не содержит консервантов.&lt;/p&gt;</t>
    </r>
  </si>
  <si>
    <t>https://grls.rosminzdrav.ru/InstrImg/2019/8/14/1445562/%D0%9F_N013657_01[2009]_0.pdf</t>
  </si>
  <si>
    <r>
      <rPr>
        <rFont val="Arial"/>
        <color theme="1"/>
      </rPr>
      <t xml:space="preserve">На одну дозу (0,5 мл):
</t>
    </r>
    <r>
      <rPr>
        <rFont val="Arial"/>
        <i/>
        <color theme="1"/>
      </rPr>
      <t>Действующие вещества¹:</t>
    </r>
    <r>
      <rPr>
        <rFont val="Arial"/>
        <color theme="1"/>
      </rPr>
      <t xml:space="preserve">
• Вирус полиомиелита тип 1, аттенуированный штамм Сэбина, инактивированный — не менее 15 единиц D-антигена.
• Вирус полиомиелита тип 2, аттенуированный штамм Сэбина, инактивированный — не менее 15 единиц D-антигена.
• Вирус полиомиелита тип 3, аттенуированный штамм Сэбина, инактивированный — не менее 50 единиц D-антигена.
</t>
    </r>
    <r>
      <rPr>
        <rFont val="Arial"/>
        <i/>
        <color theme="1"/>
      </rPr>
      <t>Вспомогательные вещества:</t>
    </r>
    <r>
      <rPr>
        <rFont val="Arial"/>
        <color theme="1"/>
      </rPr>
      <t xml:space="preserve">
• Полисорбат 80 — не более 500 мкг.
• Формальдегид — не более 25 мкг.
• Среда 199² (10-кратный концентрат) — 0,05 мл.
• Буферный раствор³ (динатрия фосфат дигидрат, натрия дигидрофосфата дигидрат, натрия хлорид, вода для инъекций) — до 0,5 мл.
Примечание:
1 - Культивированные на клетках Vero.
2 - Среда 199 представляет собой сложную смесь аминокислот, минералов, витаминов и других компонентов, разведенную в воде для инъекций: натрия хлорид, калия хлорид, кальция хлорид, магния сульфат, натрия фосфат двузамещенный, калия фосфат однозамещенный, железа (III) нитрат, глюкоза, натрия ацетат, L-аланин, L-аргинин моногидрохлорид, L-аспарагиновая кислота, L-цистеин гидрохлорид, L-цистин, L-глутаминовая кислота, L-глутамин, L-гистидин моногидрохлорид, гидрокси-L-пролин, глицин, L-изолейцин, L-лейцин, L-лизин монохлорид, L-метионин, L-фенилаланин, L-пролин, L-серин, L-треонин, L-триптофан, L-тирозин, L-валин, аскорбиновая кислота, D-биотин, кальциферол, холина хлорид, фолиевая кислота, менадион, мио-инозитол, амид никотиновой кислоты, никотиновая кислота, 4-аминобензойная кислота, кальция пантотенат, пиридоксаль гидрохлорид, пиридоксина гидрохлорид, ретинола ацетат, рибофлавин, DL-альфа-токоферол фосфат натриевая соль, тиамина гидрохлорид, аденин сульфат, аденозин трифосфат натриевая соль, холестерол, дезоксирибоза, глутатион, гуанина гидрохлорид, гипоксантин, твин 80, рибоза, тимин, урацил, ксантин, адениловая кислота.
3 - Состав на 0,5 мл буферного раствора:
• динатрия фосфат дигидрат — 2,43 мг;
• натрия дигидрофосфата дигидрат — 0,99 мг;
• натрия хлорид — 2,92 мг;
• вода для инъекций — до 0,5 мл.</t>
    </r>
  </si>
  <si>
    <r>
      <rPr>
        <rFont val="Arial"/>
        <color theme="1"/>
      </rPr>
      <t xml:space="preserve">&lt;p&gt;На одну дозу (0,5&amp;nbsp;мл):&lt;/p&gt;
</t>
    </r>
    <r>
      <rPr>
        <rFont val="Arial"/>
        <i/>
        <color theme="1"/>
      </rPr>
      <t>&lt;p&gt;&lt;i&gt;Действующие вещества¹:</t>
    </r>
    <r>
      <rPr>
        <rFont val="Arial"/>
        <color theme="1"/>
      </rPr>
      <t xml:space="preserve">&lt;/i&gt;
&lt;ul&gt;&lt;li&gt;Вирус полиомиелита тип&amp;nbsp;1, аттенуированный штамм Сэбина, инактивированный — не менее 15&amp;nbsp;единиц D-антигена.&lt;/li&gt;
&lt;li&gt;Вирус полиомиелита тип&amp;nbsp;2, аттенуированный штамм Сэбина, инактивированный — не менее 15&amp;nbsp;единиц D-антигена.&lt;/li&gt;
&lt;li&gt;Вирус полиомиелита тип&amp;nbsp;3, аттенуированный штамм Сэбина, инактивированный — не менее 50&amp;nbsp;единиц D-антигена.&lt;/li&gt;&lt;/ul&gt;
</t>
    </r>
    <r>
      <rPr>
        <rFont val="Arial"/>
        <i/>
        <color theme="1"/>
      </rPr>
      <t>&lt;i&gt;Вспомогательные вещества:</t>
    </r>
    <r>
      <rPr>
        <rFont val="Arial"/>
        <color theme="1"/>
      </rPr>
      <t>&lt;/i&gt;
&lt;ul&gt;&lt;li&gt;Полисорбат&amp;nbsp;80 — не более 500&amp;nbsp;мкг.&lt;/li&gt;
&lt;li&gt;Формальдегид — не более&amp;nbsp;25 мкг.&lt;/li&gt;
&lt;li&gt;Среда&amp;nbsp;199² (10-кратный концентрат) — 0,05&amp;nbsp;мл.&lt;/li&gt;
&lt;li&gt;Буферный раствор³ (динатрия фосфат дигидрат, натрия дигидрофосфата дигидрат, натрия хлорид, вода для инъекций) — до 0,5&amp;nbsp;мл.&lt;/li&gt;&lt;/ul&gt;
Примечание:&lt;br&gt;
1 - Культивированные на клетках Vero.&lt;br&gt;
2 - Среда&amp;nbsp;199 представляет собой сложную смесь аминокислот, минералов, витаминов и других компонентов, разведенную в воде для инъекций: натрия хлорид, калия хлорид, кальция хлорид, магния сульфат, натрия фосфат двузамещенный, калия фосфат однозамещенный, железа (III) нитрат, глюкоза, натрия ацетат, L-аланин, L-аргинин моногидрохлорид, L-аспарагиновая кислота, L-цистеин гидрохлорид, L-цистин, L-глутаминовая кислота, L-глутамин, L-гистидин моногидрохлорид, гидрокси-L-пролин, глицин, L-изолейцин, L-лейцин, L-лизин монохлорид, L-метионин, L-фенилаланин, L-пролин, L-серин, L-треонин, L-триптофан, L-тирозин, L-валин, аскорбиновая кислота, D-биотин, кальциферол, холина хлорид, фолиевая кислота, менадион, мио-инозитол, амид никотиновой кислоты, никотиновая кислота, 4-аминобензойная кислота, кальция пантотенат, пиридоксаль гидрохлорид, пиридоксина гидрохлорид, ретинола ацетат, рибофлавин, DL-альфа-токоферол фосфат натриевая соль, тиамина гидрохлорид, аденин сульфат, аденозин трифосфат натриевая соль, холестерол, дезоксирибоза, глутатион, гуанина гидрохлорид, гипоксантин, твин 80, рибоза, тимин, урацил, ксантин, адениловая кислота.&lt;br&gt;
3 - Состав на 0,5&amp;nbsp;мл буферного раствора:
&lt;ul&gt;&lt;li&gt;динатрия фосфат дигидрат — 2,43&amp;nbsp;мг;&lt;/li&gt;
&lt;li&gt;натрия дигидрофосфата дигидрат — 0,99&amp;nbsp;мг;&lt;/li&gt;
&lt;li&gt;натрия хлорид — 2,92&amp;nbsp;мг;&lt;/li&gt;
&lt;li&gt;вода для инъекций — до 0,5&amp;nbsp;мл.&lt;/li&gt;&lt;/ul&gt;&lt;/p&gt;</t>
    </r>
  </si>
  <si>
    <t>https://grls.rosminzdrav.ru/InstrImg/2023/07/19/1495141/8a2ba9a0-eb39-4368-9a0d-f81451183bb0.pdf</t>
  </si>
  <si>
    <r>
      <rPr>
        <rFont val="Arial"/>
        <color theme="1"/>
      </rPr>
      <t xml:space="preserve">Одна доза вакцины содержит:
Лиофилизат.
</t>
    </r>
    <r>
      <rPr>
        <rFont val="Arial"/>
        <i/>
        <color theme="1"/>
      </rPr>
      <t>Действующие вещества</t>
    </r>
    <r>
      <rPr>
        <rFont val="Arial"/>
        <color theme="1"/>
      </rPr>
      <t xml:space="preserve">:
• Полисахарид </t>
    </r>
    <r>
      <rPr>
        <rFont val="Arial"/>
        <i/>
        <color theme="1"/>
      </rPr>
      <t>Наеmophilus influenzae</t>
    </r>
    <r>
      <rPr>
        <rFont val="Arial"/>
        <color theme="1"/>
      </rPr>
      <t xml:space="preserve"> тип </t>
    </r>
    <r>
      <rPr>
        <rFont val="Arial"/>
        <i/>
        <color theme="1"/>
      </rPr>
      <t>b</t>
    </r>
    <r>
      <rPr>
        <rFont val="Arial"/>
        <color theme="1"/>
      </rPr>
      <t xml:space="preserve"> — 10 мкг.
• Конъюгированный столбнячный белок — 18-30 мкг.
</t>
    </r>
    <r>
      <rPr>
        <rFont val="Arial"/>
        <i/>
        <color theme="1"/>
      </rPr>
      <t>Вспомогательные вещества:</t>
    </r>
    <r>
      <rPr>
        <rFont val="Arial"/>
        <color theme="1"/>
      </rPr>
      <t xml:space="preserve">
• Сахароза — 42,5 мг.
• Трометамол — 0,6 мг.
Растворитель (натрия хлорида раствор 0,4%).
• Натрия хлорид — 2,0 мг.
• Вода для инъекций — до 0,5 мл.</t>
    </r>
  </si>
  <si>
    <r>
      <rPr>
        <rFont val="Arial"/>
        <color theme="1"/>
      </rPr>
      <t xml:space="preserve">&lt;p&gt;Одна доза вакцины содержит:&lt;/p&gt;
&lt;p&gt;Лиофилизат.&lt;br&gt;
</t>
    </r>
    <r>
      <rPr>
        <rFont val="Arial"/>
        <i/>
        <color theme="1"/>
      </rPr>
      <t>&lt;i&gt;Действующие вещества</t>
    </r>
    <r>
      <rPr>
        <rFont val="Arial"/>
        <color theme="1"/>
      </rPr>
      <t xml:space="preserve">:&lt;/i&gt;
&lt;ul&gt;&lt;li&gt;Полисахарид </t>
    </r>
    <r>
      <rPr>
        <rFont val="Arial"/>
        <i/>
        <color theme="1"/>
      </rPr>
      <t>&lt;i&gt;Наеmophilus influenzae&lt;/i&gt;</t>
    </r>
    <r>
      <rPr>
        <rFont val="Arial"/>
        <color theme="1"/>
      </rPr>
      <t xml:space="preserve"> тип &lt;i&gt;</t>
    </r>
    <r>
      <rPr>
        <rFont val="Arial"/>
        <i/>
        <color theme="1"/>
      </rPr>
      <t>b</t>
    </r>
    <r>
      <rPr>
        <rFont val="Arial"/>
        <color theme="1"/>
      </rPr>
      <t xml:space="preserve">&lt;/i&gt; — 10&amp;nbsp;мкг.&lt;/li&gt;
&lt;li&gt;Конъюгированный столбнячный белок — 18-30&amp;nbsp;мкг.&lt;/li&gt;&lt;/ul&gt;
</t>
    </r>
    <r>
      <rPr>
        <rFont val="Arial"/>
        <i/>
        <color theme="1"/>
      </rPr>
      <t>&lt;i&gt;Вспомогательные вещества:</t>
    </r>
    <r>
      <rPr>
        <rFont val="Arial"/>
        <color theme="1"/>
      </rPr>
      <t>&lt;/i&gt;
&lt;ul&gt;&lt;li&gt;Сахароза — 42,5&amp;nbsp;мг.&lt;/li&gt;
&lt;li&gt;Трометамол — 0,6&amp;nbsp;мг.&lt;/li&gt;&lt;/ul&gt;
Растворитель (натрия хлорида раствор 0,4%).
&lt;ul&gt;&lt;li&gt;Натрия хлорид — 2,0&amp;nbsp;мг.&lt;/li&gt;
&lt;li&gt;Вода для инъекций — до 0,5&amp;nbsp;мл.&lt;/li&gt;&lt;/ul&gt;&lt;/p&gt;</t>
    </r>
  </si>
  <si>
    <t>https://grls.rosminzdrav.ru/InstrImg/2020/4/29/1456610/%D0%9F_N013850_01[2017]_2.pdf</t>
  </si>
  <si>
    <r>
      <rPr>
        <rFont val="Arial"/>
        <color theme="1"/>
      </rPr>
      <t xml:space="preserve">1 доза вакцины (0,5 мл) содержит:
Вакцина для профилактики инфекции, вызываемой </t>
    </r>
    <r>
      <rPr>
        <rFont val="Arial"/>
        <i/>
        <color theme="1"/>
      </rPr>
      <t>Наеmophilus influenzae</t>
    </r>
    <r>
      <rPr>
        <rFont val="Arial"/>
        <color theme="1"/>
      </rPr>
      <t xml:space="preserve"> тип </t>
    </r>
    <r>
      <rPr>
        <rFont val="Arial"/>
        <i/>
        <color theme="1"/>
      </rPr>
      <t>b</t>
    </r>
    <r>
      <rPr>
        <rFont val="Arial"/>
        <color theme="1"/>
      </rPr>
      <t xml:space="preserve">.
</t>
    </r>
    <r>
      <rPr>
        <rFont val="Arial"/>
        <i/>
        <color theme="1"/>
      </rPr>
      <t>Действующее вещество</t>
    </r>
    <r>
      <rPr>
        <rFont val="Arial"/>
        <color theme="1"/>
      </rPr>
      <t xml:space="preserve">:
• Капсульный полисахарид </t>
    </r>
    <r>
      <rPr>
        <rFont val="Arial"/>
        <i/>
        <color theme="1"/>
      </rPr>
      <t>Наеmophilus influenzae</t>
    </r>
    <r>
      <rPr>
        <rFont val="Arial"/>
        <color theme="1"/>
      </rPr>
      <t xml:space="preserve"> тип </t>
    </r>
    <r>
      <rPr>
        <rFont val="Arial"/>
        <i/>
        <color theme="1"/>
      </rPr>
      <t>b</t>
    </r>
    <r>
      <rPr>
        <rFont val="Arial"/>
        <color theme="1"/>
      </rPr>
      <t xml:space="preserve">, — 10 мкг*;
конъюгированный со столбнячным анатоксином ≈25 мкг.
</t>
    </r>
    <r>
      <rPr>
        <rFont val="Arial"/>
        <i/>
        <color theme="1"/>
      </rPr>
      <t>Вспомогательное вещество</t>
    </r>
    <r>
      <rPr>
        <rFont val="Arial"/>
        <color theme="1"/>
      </rPr>
      <t xml:space="preserve">:
• Лактоза — не более  12,6 мг*.
</t>
    </r>
    <r>
      <rPr>
        <rFont val="Arial"/>
        <i/>
        <color theme="1"/>
      </rPr>
      <t>Растворитель (0,9% раствор натрия хлорида для инъекций)</t>
    </r>
    <r>
      <rPr>
        <rFont val="Arial"/>
        <color theme="1"/>
      </rPr>
      <t xml:space="preserve">.
• Натрия хлорид — 4,5 мг.
• Вода для инъекций — до 0,5 мл.
Примечание.
* - Для компенсации потерь в процессе восстановления вакцины и обеспечения содержания действующего вещества 10 мкг/0,5 мл в инъецируемой дозе, в процессе фасовки вакцины во флаконы закладывается 25% избыток (по массе).
Итого: капсульный полисахарид </t>
    </r>
    <r>
      <rPr>
        <rFont val="Arial"/>
        <i/>
        <color theme="1"/>
      </rPr>
      <t>Наеmophilus influenzae</t>
    </r>
    <r>
      <rPr>
        <rFont val="Arial"/>
        <color theme="1"/>
      </rPr>
      <t xml:space="preserve"> тип </t>
    </r>
    <r>
      <rPr>
        <rFont val="Arial"/>
        <i/>
        <color theme="1"/>
      </rPr>
      <t xml:space="preserve">b </t>
    </r>
    <r>
      <rPr>
        <rFont val="Arial"/>
        <color theme="1"/>
      </rPr>
      <t xml:space="preserve">(в составе конъюгата) — 12,50 мкг/флакон; лактоза — 15,75 мкг/флакон.
Хиберикс® отвечает требованиям Всемирной организации здравоохранения (ВОЗ), относящимся к производству биологических субстанций, а также конъюгированным вакцинам для профилактики инфекции, вызываемой </t>
    </r>
    <r>
      <rPr>
        <rFont val="Arial"/>
        <i/>
        <color theme="1"/>
      </rPr>
      <t>Наеmophilus influenzae</t>
    </r>
    <r>
      <rPr>
        <rFont val="Arial"/>
        <color theme="1"/>
      </rPr>
      <t xml:space="preserve"> тип </t>
    </r>
    <r>
      <rPr>
        <rFont val="Arial"/>
        <i/>
        <color theme="1"/>
      </rPr>
      <t>b</t>
    </r>
    <r>
      <rPr>
        <rFont val="Arial"/>
        <color theme="1"/>
      </rPr>
      <t>.</t>
    </r>
  </si>
  <si>
    <r>
      <rPr>
        <rFont val="Arial"/>
        <color theme="1"/>
      </rPr>
      <t>&lt;p&gt;1&amp;nbsp;доза вакцины (0,5&amp;nbsp;мл) содержит:&lt;/p&gt;
&lt;p&gt;Вакцина для профилактики инфекции, вызываемой &lt;i&gt;</t>
    </r>
    <r>
      <rPr>
        <rFont val="Arial"/>
        <i/>
        <color theme="1"/>
      </rPr>
      <t>Наеmophilus influenzae&lt;/i&gt;</t>
    </r>
    <r>
      <rPr>
        <rFont val="Arial"/>
        <color theme="1"/>
      </rPr>
      <t xml:space="preserve"> тип &lt;i&gt;</t>
    </r>
    <r>
      <rPr>
        <rFont val="Arial"/>
        <i/>
        <color theme="1"/>
      </rPr>
      <t>b&lt;/i&gt;.&lt;/p&gt;</t>
    </r>
    <r>
      <rPr>
        <rFont val="Arial"/>
        <color theme="1"/>
      </rPr>
      <t xml:space="preserve">
</t>
    </r>
    <r>
      <rPr>
        <rFont val="Arial"/>
        <i/>
        <color theme="1"/>
      </rPr>
      <t>&lt;p&gt;&lt;i&gt;Действующее вещество:</t>
    </r>
    <r>
      <rPr>
        <rFont val="Arial"/>
        <color theme="1"/>
      </rPr>
      <t xml:space="preserve">&lt;/i&gt;
&lt;ul&gt;&lt;li&gt;Капсульный полисахарид &lt;i&gt;Наеmophilus influenzae&lt;/i&gt; тип &lt;i&gt;b&lt;/i&gt;, — 10&amp;nbsp;мкг*;&lt;br&gt;
конъюгированный со столбнячным анатоксином ≈25&amp;nbsp;мкг.&lt;/li&gt;&lt;/ul&gt;
</t>
    </r>
    <r>
      <rPr>
        <rFont val="Arial"/>
        <i/>
        <color theme="1"/>
      </rPr>
      <t>&lt;i&gt;Вспомогательное вещество</t>
    </r>
    <r>
      <rPr>
        <rFont val="Arial"/>
        <color theme="1"/>
      </rPr>
      <t xml:space="preserve">:&lt;/i&gt;
&lt;ul&gt;&lt;li&gt;Лактоза — не более  12,6&amp;nbsp;мг*.&lt;/li&gt;&lt;/ul&gt;
</t>
    </r>
    <r>
      <rPr>
        <rFont val="Arial"/>
        <i/>
        <color theme="1"/>
      </rPr>
      <t>&lt;i&gt;Растворитель (0,9% раствор натрия хлорида для инъекций)</t>
    </r>
    <r>
      <rPr>
        <rFont val="Arial"/>
        <color theme="1"/>
      </rPr>
      <t>&lt;/i&gt;.
&lt;ul&gt;&lt;li&gt;Натрия хлорид — 4,5&amp;nbsp;мг.&lt;/li&gt;
&lt;li&gt;Вода для инъекций — до 0,5&amp;nbsp;мл.&lt;/li&gt;&lt;/ul&gt;
Примечание.&lt;br&gt;
* - Для компенсации потерь в процессе восстановления вакцины и обеспечения содержания действующего вещества 10&amp;nbsp;мкг/0,5 мл в инъецируемой дозе, в процессе фасовки вакцины во флаконы закладывается 25% избыток (по массе).&lt;br&gt;
Итого: капсульный полисахарид &lt;i&gt;Наеmophilus influenzae&lt;/i&gt; тип &lt;i&gt;b&lt;/i&gt; (в составе конъюгата) — 12,50&amp;nbsp;мкг/флакон; лактоза — 15,75&amp;nbsp;мкг/флакон.&lt;/p&gt;
&lt;p&gt;Хиберикс® отвечает требованиям Всемирной организации здравоохранения (ВОЗ), относящимся к производству биологических субстанций, а также конъюгированным вакцинам для профилактики инфекции, вызываемой &lt;i&gt;Наеmophilus influenzae&lt;/i&gt; тип &lt;i&gt;b&lt;/i&gt;.&lt;/p&gt;</t>
    </r>
  </si>
  <si>
    <t>https://grls.rosminzdrav.ru/InstrImg/2020/12/15/1464278/%D0%9F_N015829_01[2017]_3.pdf</t>
  </si>
  <si>
    <t>1 доза (0,25 мл) содержит:
• Антиген вируса клещевого энцефалита (КЭ) (активный компонент) — 1,19 мкг.
• Гель алюминия гидроксида (адъювант) — 0,5 мг (от 0,14 до 0,21 мг в пересчете на алюминий).
• Альбумин крови человека (стабилизатор) — 0,25 мг.
• Формальдегид (инактиватор) — не более 0,0025 мг.
• Сахароза — не более 7,5 мг.
• Протамин сульфат — не более 0,0025 мг.
• Неомицин — следы.
• Гентамицин — следы.
• Натрия хлорид — 1,725 мг.
• Натрия гидрофосфат дигидрат — 0,11 мг.
• Калия дигидрофосфат — 0,0225 мг.
• Вода для инъекций — до 0,25 мл.
Не содержит консервантов.</t>
  </si>
  <si>
    <t>&lt;p&gt;1&amp;nbsp;доза (0,25&amp;nbsp;мл) содержит:
&lt;ul&gt;&lt;li&gt;Антиген вируса клещевого энцефалита (КЭ) (активный компонент) — 1,19&amp;nbsp;мкг.&lt;/li&gt;
&lt;li&gt;Гель алюминия гидроксида (адъювант) — 0,5&amp;nbsp;мг (от 0,14 до 0,21&amp;nbsp;мг в пересчете на алюминий).&lt;/li&gt;
&lt;li&gt;Альбумин крови человека (стабилизатор) — 0,25&amp;nbsp;мг.&lt;/li&gt;
&lt;li&gt;Формальдегид (инактиватор) — не более 0,0025&amp;nbsp;мг.&lt;/li&gt;
&lt;li&gt;Сахароза — не более 7,5&amp;nbsp;мг.&lt;/li&gt;
&lt;li&gt;Протамин сульфат — не более 0,0025&amp;nbsp;мг.&lt;/li&gt;
&lt;li&gt;Неомицин — следы.&lt;/li&gt;
&lt;li&gt;Гентамицин — следы.&lt;/li&gt;
&lt;li&gt;Натрия хлорид — 1,725&amp;nbsp;мг.&lt;/li&gt;
&lt;li&gt;Натрия гидрофосфат дигидрат — 0,11&amp;nbsp;мг.&lt;/li&gt;
&lt;li&gt;Калия дигидрофосфат — 0,0225&amp;nbsp;мг.&lt;/li&gt;
&lt;li&gt;Вода для инъекций — до 0,25&amp;nbsp;мл.&lt;/li&gt;&lt;/ul&gt;
Не содержит консервантов.&lt;/p&gt;</t>
  </si>
  <si>
    <t>https://grls.rosminzdrav.ru/InstrImg/2016/6/9/1308974/%D0%9B%D0%A1%D0%A0-003210_07[2018]_0.pdf</t>
  </si>
  <si>
    <t>1 доза (0,5 мл) содержит:
• Антиген вируса клещевого энцефалита (КЭ) (активный компонент) — 2,38 мкг.
• Гель алюминия гидроксида (адъювант) — 1,0 мг (от 0,28 до 0,41 мг в пересчете на алюминий).
• Альбумин крови человека (стабилизатор) — 0,5 мг.
• Формальдегид (инактиватор) — не более 0,005 мг.
• Сахароза — не более 20,0 мг.
• Протамин сульфат — не более 0,005 мг.
• Неомицин — следы.
• Гентамицин — следы.
• Натрия хлорид — 3,45 мг.
• Натрия гидрофосфат дигидрат — 0,22 мг.
• Калия дигидрофосфат — 0,045 мг.
• Вода для инъекций — до 0,5 мл.
Не содержит консервантов.</t>
  </si>
  <si>
    <t>&lt;p&gt;1&amp;nbsp;доза (0,25&amp;nbsp;мл) содержит:
&lt;ul&gt;&lt;li&gt;Антиген вируса клещевого энцефалита (КЭ) (активный компонент) — 2,38&amp;nbsp;мкг.&lt;/li&gt;
&lt;li&gt;Гель алюминия гидроксида (адъювант) — 1,0&amp;nbsp;мг (от 0,28 до 0,41&amp;nbsp;мг в пересчете на алюминий).&lt;/li&gt;
&lt;li&gt;Альбумин крови человека (стабилизатор) — 0,5&amp;nbsp;мг.&lt;/li&gt;
&lt;li&gt;Формальдегид (инактиватор) — не более 0,005&amp;nbsp;мг.&lt;/li&gt;
&lt;li&gt;Сахароза — не более 20,0&amp;nbsp;мг.&lt;/li&gt;
&lt;li&gt;Протамин сульфат — не более 0,005&amp;nbsp;мг.&lt;/li&gt;
&lt;li&gt;Неомицин — следы.&lt;/li&gt;
&lt;li&gt;Гентамицин — следы.&lt;/li&gt;
&lt;li&gt;Натрия хлорид — 3,45&amp;nbsp;мг.&lt;/li&gt;
&lt;li&gt;Натрия гидрофосфат дигидрат — 0,22&amp;nbsp;мг.&lt;/li&gt;
&lt;li&gt;Калия дигидрофосфат — 0,045&amp;nbsp;мг.&lt;/li&gt;
&lt;li&gt;Вода для инъекций — до 0,5&amp;nbsp;мл.&lt;/li&gt;&lt;/ul&gt;
Не содержит консервантов.&lt;/p&gt;</t>
  </si>
  <si>
    <t>https://grls.rosminzdrav.ru/InstrImg/2020/12/18/1464410/%D0%9F_N014361_01[2020]_0.pdf</t>
  </si>
  <si>
    <r>
      <rPr>
        <rFont val="Arial"/>
        <color theme="1"/>
      </rPr>
      <t xml:space="preserve">1 мл вакцины содержит:
</t>
    </r>
    <r>
      <rPr>
        <rFont val="Arial"/>
        <i/>
        <color theme="1"/>
      </rPr>
      <t>Действующее вещество:</t>
    </r>
    <r>
      <rPr>
        <rFont val="Arial"/>
        <color theme="1"/>
      </rPr>
      <t xml:space="preserve"> Рекомбинантный поверхностный антиген вируса гепатита В (HBsAg) — 10 мкг.
</t>
    </r>
    <r>
      <rPr>
        <rFont val="Arial"/>
        <i/>
        <color theme="1"/>
      </rPr>
      <t>Вспомогательные вещества*:</t>
    </r>
    <r>
      <rPr>
        <rFont val="Arial"/>
        <color theme="1"/>
      </rPr>
      <t xml:space="preserve"> алюминия гидроксид в виде 2% водного раствора — 1500 мкг, натрия хлорид — 8450 мкг, калия хлорид — 20 мкг, динатрия гидрофосфат — 380 мкг, калия дигидрофосфат — 20 мкг, вода для инъекций до 1 мл.
* - 10 М раствор натрия гидроксида или 6 М раствор хлористоводородной кислоты — при необходимости для достижения рН 7,50±0,05.</t>
    </r>
  </si>
  <si>
    <r>
      <rPr>
        <rFont val="Arial"/>
        <color theme="1"/>
      </rPr>
      <t xml:space="preserve">&lt;p&gt;1&amp;nbsp;мл вакцины содержит:&lt;/p&gt;
</t>
    </r>
    <r>
      <rPr>
        <rFont val="Arial"/>
        <i/>
        <color theme="1"/>
      </rPr>
      <t>&lt;p&gt;&lt;i&gt;Действующее вещество:&lt;/i&gt;</t>
    </r>
    <r>
      <rPr>
        <rFont val="Arial"/>
        <color theme="1"/>
      </rPr>
      <t xml:space="preserve"> Рекомбинантный поверхностный антиген вируса гепатита В (HBsAg) — 10&amp;nbsp;мкг.&lt;/p&gt;
</t>
    </r>
    <r>
      <rPr>
        <rFont val="Arial"/>
        <i/>
        <color theme="1"/>
      </rPr>
      <t>&lt;p&gt;&lt;i&gt;Вспомогательные вещества*:&lt;/i&gt;</t>
    </r>
    <r>
      <rPr>
        <rFont val="Arial"/>
        <color theme="1"/>
      </rPr>
      <t xml:space="preserve"> алюминия гидроксид в виде 2% водного раствора — 1500&amp;nbsp;мкг, натрия хлорид — 8450&amp;nbsp;мкг, калия хлорид — 20&amp;nbsp;мкг, динатрия гидрофосфат — 380&amp;nbsp;мкг, калия дигидрофосфат — 20&amp;nbsp;мкг, вода для инъекций до 1&amp;nbsp;мл.&lt;/p&gt;
&lt;p&gt;* - 10&amp;nbsp;М раствор натрия гидроксида или 6&amp;nbsp;М раствор хлористоводородной кислоты — при необходимости для достижения рН&amp;nbsp;7,50±0,05.&lt;/p&gt;</t>
    </r>
  </si>
  <si>
    <t>https://grls.rosminzdrav.ru/InstrImg/2023/02/09/1490961/74e94624-eabc-450e-bf32-2c1ddaca2be5.pdf</t>
  </si>
  <si>
    <r>
      <rPr>
        <rFont val="Arial"/>
        <color theme="1"/>
      </rPr>
      <t xml:space="preserve">Состав 1 дозы (0,5 мл).
</t>
    </r>
    <r>
      <rPr>
        <rFont val="Arial"/>
        <i/>
        <color theme="1"/>
      </rPr>
      <t>аАКДС-Геп В компонент:</t>
    </r>
    <r>
      <rPr>
        <rFont val="Arial"/>
        <color theme="1"/>
      </rPr>
      <t xml:space="preserve">
• Анатоксин дифтерийный¹ — 20 Lf;
• Анатоксин столбнячный¹ — 5 Lf;
• Антигенная фракция Bordetella pertussis, очищенная без разделения компонентов — 60 мкг;
• Поверхностный антиген вируса гепатита В (HBsAg)¹ — 5 мкг.
¹ - Адсорбированный на алюминия гидроксиде (в пересчете на Al³⁺) — не более 0,55 мг.
</t>
    </r>
    <r>
      <rPr>
        <rFont val="Arial"/>
        <i/>
        <color theme="1"/>
      </rPr>
      <t>Hib компонент:</t>
    </r>
    <r>
      <rPr>
        <rFont val="Arial"/>
        <color theme="1"/>
      </rPr>
      <t xml:space="preserve">
• Полирибозилрибитола фосфат, — 10 мкг;
конъюгированный со столбнячным анатоксином — от 20 до 31 мкг.
в качестве белка носителя.
Перечень вспомогательных веществ.
</t>
    </r>
    <r>
      <rPr>
        <rFont val="Arial"/>
        <i/>
        <color theme="1"/>
      </rPr>
      <t>аАКДС-Геп В компонент:</t>
    </r>
    <r>
      <rPr>
        <rFont val="Arial"/>
        <color theme="1"/>
      </rPr>
      <t xml:space="preserve">
• Алюминия гидроксид;
• Формальдегид.
</t>
    </r>
    <r>
      <rPr>
        <rFont val="Arial"/>
        <i/>
        <color theme="1"/>
      </rPr>
      <t>Hib компонент:</t>
    </r>
    <r>
      <rPr>
        <rFont val="Arial"/>
        <color theme="1"/>
      </rPr>
      <t xml:space="preserve">
• Сахароза;
• Натрия дигидрофосфат;
• Динатрия гидрофосфат.</t>
    </r>
  </si>
  <si>
    <r>
      <rPr>
        <rFont val="Arial"/>
        <color theme="1"/>
      </rPr>
      <t xml:space="preserve">&lt;p&gt;Состав 1&amp;nbsp;дозы (0,5&amp;nbsp;мл).&lt;br&gt;&lt;br&gt;
</t>
    </r>
    <r>
      <rPr>
        <rFont val="Arial"/>
        <i/>
        <color theme="1"/>
      </rPr>
      <t>&lt;i&gt;аАКДС-Геп В компонент:</t>
    </r>
    <r>
      <rPr>
        <rFont val="Arial"/>
        <color theme="1"/>
      </rPr>
      <t xml:space="preserve">&lt;/i&gt;
&lt;ul&gt;&lt;li&gt;Анатоксин дифтерийный¹ — 20&amp;nbsp;Lf;&lt;/li&gt;
&lt;li&gt;Анатоксин столбнячный¹ — 5&amp;nbsp;Lf;&lt;/li&gt;
&lt;li&gt;Антигенная фракция &lt;i&gt;Bordetella pertussis&lt;/i&gt;, очищенная без разделения компонентов — 60&amp;nbsp;мкг;&lt;/li&gt;
&lt;li&gt;Поверхностный антиген вируса гепатита В (HBsAg)¹ — 5&amp;nbsp;мкг.&lt;/li&gt;&lt;/ul&gt;
¹&amp;nbsp;- Адсорбированный на алюминия гидроксиде (в пересчете на Al³⁺) — не более 0,55&amp;nbsp;мг.&lt;br&gt;&lt;br&gt;
</t>
    </r>
    <r>
      <rPr>
        <rFont val="Arial"/>
        <i/>
        <color theme="1"/>
      </rPr>
      <t>&lt;i&gt;Hib компонент:</t>
    </r>
    <r>
      <rPr>
        <rFont val="Arial"/>
        <color theme="1"/>
      </rPr>
      <t xml:space="preserve">&lt;/i&gt;
&lt;ul&gt;&lt;li&gt;Полирибозилрибитола фосфат, — 10&amp;nbsp;мкг;&lt;br&gt;
конъюгированный со столбнячным анатоксином — от 20 до 31&amp;nbsp;мкг.&lt;br&gt;
в качестве белка носителя.&lt;/li&gt;&lt;/ul&gt;
Перечень вспомогательных веществ.&lt;br&gt;&lt;br&gt;
</t>
    </r>
    <r>
      <rPr>
        <rFont val="Arial"/>
        <i/>
        <color theme="1"/>
      </rPr>
      <t>&lt;i&gt;аАКДС-Геп В компонент:</t>
    </r>
    <r>
      <rPr>
        <rFont val="Arial"/>
        <color theme="1"/>
      </rPr>
      <t xml:space="preserve">&lt;/i&gt;
&lt;ul&gt;&lt;li&gt;Алюминия гидроксид;&lt;/li&gt;
&lt;li&gt;Формальдегид.&lt;/li&gt;&lt;/ul&gt;
</t>
    </r>
    <r>
      <rPr>
        <rFont val="Arial"/>
        <i/>
        <color theme="1"/>
      </rPr>
      <t>&lt;i&gt;Hib компонент:&lt;/i&gt;</t>
    </r>
    <r>
      <rPr>
        <rFont val="Arial"/>
        <color theme="1"/>
      </rPr>
      <t xml:space="preserve">
&lt;ul&gt;&lt;li&gt;Сахароза;&lt;/li&gt;
&lt;li&gt;Натрия дигидрофосфат;&lt;/li&gt;
&lt;li&gt;Динатрия гидрофосфат.&lt;/li&gt;&lt;/ul&gt;&lt;/p&gt;</t>
    </r>
  </si>
  <si>
    <t>https://lk.regmed.ru/Register/GetPDFfromDA?ID=1558408561</t>
  </si>
  <si>
    <t>В одной прививочной дозе (0,2 мл) содержится: 
• активные компоненты: специфические антигены вируса простого герпеса (ВПГ) I и II типов, (штамм «УС» и штамм «ВН» соответственно), полученные путем репродукции в культуре перевиваемых клеток почек африканской зеленой мартышки (VERO B), инактивированные формальдегидом и лиофилизированные с добавлением в качестве стабилизатора сахарозо-желатозной среды;
• вспомогательные вещества: формальдегид не более 200 мкг/мл; гентамицина сульфат не более 40 мкг/мл, сахароза не более 0,075 г/мл; желатоза не более 0,01 г/мл.</t>
  </si>
  <si>
    <t>&lt;ul&gt;В одной прививочной дозе (0,2&amp;nbsp;мл) содержится: 
&lt;li&gt;активные компоненты: специфические антигены вируса простого герпеса (ВПГ) I&amp;nbsp;и&amp;nbsp;II&amp;nbsp;типов, (штамм&amp;nbsp;«УС» и штамм&amp;nbsp;«ВН» соответственно), полученные путем репродукции в культуре перевиваемых клеток почек африканской зеленой мартышки (VERO&amp;nbsp;B), инактивированные формальдегидом и лиофилизированные с добавлением в качестве стабилизатора сахарозо-желатозной среды;&lt;/li&gt;
&lt;li&gt;вспомогательные вещества: формальдегид не более 200&amp;nbsp;мкг/мл; гентамицина сульфат не более 40&amp;nbsp;мкг/мл, сахароза не более 0,075&amp;nbsp;г/мл; желатоза не более 0,01&amp;nbsp;г/мл.&lt;/li&gt;&lt;/ul&gt;</t>
  </si>
  <si>
    <t>https://grls.rosminzdrav.ru/InstrImg/2023/03/14/1491812/20189f0f-07b3-427e-9a8a-d8006843c2d6.pdf</t>
  </si>
  <si>
    <t>Shingrix</t>
  </si>
  <si>
    <r>
      <rPr>
        <rFont val="Arial"/>
        <color theme="1"/>
      </rPr>
      <t xml:space="preserve">1 доза (0,5 мл) содержит 50 мкг антигена гликопротеина Е (gE)¹ вируса </t>
    </r>
    <r>
      <rPr>
        <rFont val="Arial"/>
        <i/>
        <color theme="1"/>
      </rPr>
      <t>Varicella Zoster</t>
    </r>
    <r>
      <rPr>
        <rFont val="Arial"/>
        <color theme="1"/>
      </rPr>
      <t xml:space="preserve"> с адъювантной системой AS01</t>
    </r>
    <r>
      <rPr>
        <rFont val="Arial"/>
        <color theme="1"/>
        <sz val="6.0"/>
      </rPr>
      <t>B</t>
    </r>
    <r>
      <rPr>
        <rFont val="Arial"/>
        <color theme="1"/>
      </rPr>
      <t xml:space="preserve">².
¹ гликопротеин Е (gE) вируса </t>
    </r>
    <r>
      <rPr>
        <rFont val="Arial"/>
        <i/>
        <color theme="1"/>
      </rPr>
      <t>Varicella Zoster</t>
    </r>
    <r>
      <rPr>
        <rFont val="Arial"/>
        <color theme="1"/>
      </rPr>
      <t xml:space="preserve">, получен из штамма вируса </t>
    </r>
    <r>
      <rPr>
        <rFont val="Arial"/>
        <i/>
        <color theme="1"/>
      </rPr>
      <t>Varicella Zoster</t>
    </r>
    <r>
      <rPr>
        <rFont val="Arial"/>
        <color theme="1"/>
      </rPr>
      <t xml:space="preserve"> в клетках яичника китайского хомячка (СНО) по технологии рекомбинантной ДНК.
² адъювантная система AS01</t>
    </r>
    <r>
      <rPr>
        <rFont val="Arial"/>
        <color theme="1"/>
        <sz val="6.0"/>
      </rPr>
      <t>B</t>
    </r>
    <r>
      <rPr>
        <rFont val="Arial"/>
        <color theme="1"/>
      </rPr>
      <t xml:space="preserve">, состоит из очищенных сапонинов </t>
    </r>
    <r>
      <rPr>
        <rFont val="Arial"/>
        <i/>
        <color theme="1"/>
      </rPr>
      <t>Quillaja</t>
    </r>
    <r>
      <rPr>
        <rFont val="Arial"/>
        <color theme="1"/>
      </rPr>
      <t xml:space="preserve">, полученных из растительного экстракта </t>
    </r>
    <r>
      <rPr>
        <rFont val="Arial"/>
        <i/>
        <color theme="1"/>
      </rPr>
      <t>Quillaja saponaria Molina</t>
    </r>
    <r>
      <rPr>
        <rFont val="Arial"/>
        <color theme="1"/>
      </rPr>
      <t xml:space="preserve">, фракция 21 (QS-21) (50 мкг) и 3-О-дезацилированного монофосфорил-липида А (МФЛ), полученного из </t>
    </r>
    <r>
      <rPr>
        <rFont val="Arial"/>
        <i/>
        <color theme="1"/>
      </rPr>
      <t>Salmonella minnesota</t>
    </r>
    <r>
      <rPr>
        <rFont val="Arial"/>
        <color theme="1"/>
      </rPr>
      <t xml:space="preserve"> (50 мкг).
Вспомогательные вещества, наличие которых надо учитывать в составе лекарственного препарата: натрия дигидрофосфата дигидрат 0,160 мг, динатрия гидрофосфат безводный 150 мкг, натрия хлорид 4,385 мг, калия дигидрофосфат 0,54 мг.
Перечень вспомогательных веществ:
</t>
    </r>
    <r>
      <rPr>
        <rFont val="Arial"/>
        <i/>
        <color theme="1"/>
      </rPr>
      <t>Лиофилизат</t>
    </r>
    <r>
      <rPr>
        <rFont val="Arial"/>
        <color theme="1"/>
      </rPr>
      <t xml:space="preserve">
Сахароза, полисорбат 80, натрия дигидрофосфата дигидрат, калия гидрофосфат.
</t>
    </r>
    <r>
      <rPr>
        <rFont val="Arial"/>
        <i/>
        <color theme="1"/>
      </rPr>
      <t>Суспензия</t>
    </r>
    <r>
      <rPr>
        <rFont val="Arial"/>
        <color theme="1"/>
      </rPr>
      <t xml:space="preserve">
3-О-дезацилированный монофосфорил-липид А (МФЛ), сапонины Quillaja очищенные (QS–21), диолеоила фосфатидилхолин, холестерин, динатрия гидрофосфат безводный, калия дигидрофосфат, натрия хлорид, вода для инъекций.</t>
    </r>
  </si>
  <si>
    <r>
      <rPr>
        <rFont val="Arial"/>
        <color theme="1"/>
      </rPr>
      <t xml:space="preserve">&lt;p&gt;1&amp;nbsp;доза (0,5&amp;nbsp;мл) содержит 50&amp;nbsp;мкг антигена гликопротеина Е (gE)¹ вируса </t>
    </r>
    <r>
      <rPr>
        <rFont val="Arial"/>
        <i/>
        <color theme="1"/>
      </rPr>
      <t>&lt;i&gt;Varicella Zoster&lt;/i&gt;</t>
    </r>
    <r>
      <rPr>
        <rFont val="Arial"/>
        <color theme="1"/>
      </rPr>
      <t xml:space="preserve"> с адъювантной системой AS01&lt;sub&gt;B&lt;/sub&gt;².&lt;br&gt;&lt;br&gt;
¹&amp;nbsp;гликопротеин Е (gE) вируса &lt;i&gt;</t>
    </r>
    <r>
      <rPr>
        <rFont val="Arial"/>
        <i/>
        <color theme="1"/>
      </rPr>
      <t>Varicella Zoster&lt;/i&gt;</t>
    </r>
    <r>
      <rPr>
        <rFont val="Arial"/>
        <color theme="1"/>
      </rPr>
      <t xml:space="preserve">, получен из штамма вируса </t>
    </r>
    <r>
      <rPr>
        <rFont val="Arial"/>
        <i/>
        <color theme="1"/>
      </rPr>
      <t>&lt;i&gt;Varicella Zoster&lt;/i&gt;</t>
    </r>
    <r>
      <rPr>
        <rFont val="Arial"/>
        <color theme="1"/>
      </rPr>
      <t xml:space="preserve"> в клетках яичника китайского хомячка (СНО) по технологии рекомбинантной ДНК.&lt;br&gt;
²&amp;nbsp;адъювантная система AS01&lt;sub&gt;B&lt;/sub&gt;, состоит из очищенных сапонинов </t>
    </r>
    <r>
      <rPr>
        <rFont val="Arial"/>
        <i/>
        <color theme="1"/>
      </rPr>
      <t>&lt;i&gt;Quillaja</t>
    </r>
    <r>
      <rPr>
        <rFont val="Arial"/>
        <color theme="1"/>
      </rPr>
      <t xml:space="preserve">&lt;/i&gt;, полученных из растительного экстракта </t>
    </r>
    <r>
      <rPr>
        <rFont val="Arial"/>
        <i/>
        <color theme="1"/>
      </rPr>
      <t>&lt;i&gt;Quillaja saponaria Molina&lt;/i&gt;</t>
    </r>
    <r>
      <rPr>
        <rFont val="Arial"/>
        <color theme="1"/>
      </rPr>
      <t xml:space="preserve">, фракция&amp;nbsp;21 (QS-21) (50&amp;nbsp;мкг) и 3-О-дезацилированного монофосфорил-липида А (МФЛ), полученного из </t>
    </r>
    <r>
      <rPr>
        <rFont val="Arial"/>
        <i/>
        <color theme="1"/>
      </rPr>
      <t>&lt;i&gt;Salmonella minnesota&lt;/i&gt;</t>
    </r>
    <r>
      <rPr>
        <rFont val="Arial"/>
        <color theme="1"/>
      </rPr>
      <t xml:space="preserve"> (50&amp;nbsp;мкг).&lt;/p&gt;
&lt;p&gt;Вспомогательные вещества, наличие которых надо учитывать в составе лекарственного препарата: натрия дигидрофосфата дигидрат 0,160&amp;nbsp;мг, динатрия гидрофосфат безводный 150&amp;nbsp;мкг, натрия хлорид 4,385&amp;nbsp;мг, калия дигидрофосфат 0,54&amp;nbsp;мг.&lt;br&gt;&lt;br&gt;
Перечень вспомогательных веществ:&lt;br&gt;
</t>
    </r>
    <r>
      <rPr>
        <rFont val="Arial"/>
        <i/>
        <color theme="1"/>
      </rPr>
      <t>&lt;i&gt;Лиофилизат&lt;/i&gt;&lt;br&gt;</t>
    </r>
    <r>
      <rPr>
        <rFont val="Arial"/>
        <color theme="1"/>
      </rPr>
      <t xml:space="preserve">
Сахароза, полисорбат&amp;nbsp;80, натрия дигидрофосфата дигидрат, калия гидрофосфат.&lt;br&gt;
</t>
    </r>
    <r>
      <rPr>
        <rFont val="Arial"/>
        <i/>
        <color theme="1"/>
      </rPr>
      <t>&lt;i&gt;Суспензия</t>
    </r>
    <r>
      <rPr>
        <rFont val="Arial"/>
        <color theme="1"/>
      </rPr>
      <t>&lt;/i&gt;&lt;br&gt;
3-О-дезацилированный монофосфорил-липид А (МФЛ), сапонины Quillaja очищенные (QS–21), диолеоила фосфатидилхолин, холестерин, динатрия гидрофосфат безводный, калия дигидрофосфат, натрия хлорид, вода для инъекций.&lt;/p&gt;</t>
    </r>
  </si>
  <si>
    <t>https://lk.regmed.ru/Register/GetPDFfromDA?ID=1589687781</t>
  </si>
  <si>
    <r>
      <rPr>
        <rFont val="Arial"/>
        <color theme="1"/>
      </rPr>
      <t xml:space="preserve">После восстановления 1 доза (0,5 мл) содержит:
• Вирус кори¹, штамм Эдмонстон-Загреб — не менее 1000 (3,0 lg) ТЦД₅₀²;
• Вирус паротита³, штамм Л-Загреб — не менее 5000 (3,7 lg) ТЦД₅₀²;
• Вирус краснухи¹, штамм Вистар RA 27/3 — не менее 1000 (3,0 lg) ТЦД₅₀².
¹ культивированный на диплоидных клетках человека MRC-5
² ТДЦ₅₀ — 50% тканевая цитопатогенная доза
³ культивированный на культуре клеток куриных фибробластов
Содержит следовые количества неомицина сульфата (остаточная технологическая примесь) — не более 2,5 мкг.
Перечень вспомогательных веществ
</t>
    </r>
    <r>
      <rPr>
        <rFont val="Arial"/>
        <i/>
        <color theme="1"/>
      </rPr>
      <t>Лиофилизат:</t>
    </r>
    <r>
      <rPr>
        <rFont val="Arial"/>
        <color theme="1"/>
      </rPr>
      <t xml:space="preserve">
• сорбитол;
• желатин;
• гистидин;
• аланин;
• трицин;
• аргинин;
• лактальбумин;
• среда МЕМ.
</t>
    </r>
    <r>
      <rPr>
        <rFont val="Arial"/>
        <i/>
        <color theme="1"/>
      </rPr>
      <t>Растворитель:</t>
    </r>
    <r>
      <rPr>
        <rFont val="Arial"/>
        <color theme="1"/>
      </rPr>
      <t xml:space="preserve">
• Вода для инъекций.</t>
    </r>
  </si>
  <si>
    <r>
      <rPr>
        <rFont val="Arial"/>
        <color theme="1"/>
      </rPr>
      <t xml:space="preserve">&lt;p&gt;После восстановления 1&amp;nbsp;доза (0,5&amp;nbsp;мл) содержит: 
&lt;ul&gt;&lt;li&gt;Вирус кори¹, штамм Эдмонстон-Загреб — не менее 1000&amp;nbsp;(3,0&amp;nbsp;lg)&amp;nbsp;ТЦД₅₀²;&lt;/li&gt;
&lt;li&gt;Вирус паротита³, штамм Л-Загреб — не менее 5000&amp;nbsp;(3,7&amp;nbsp;lg)&amp;nbsp;ТЦД₅₀²;&lt;/li&gt;
&lt;li&gt;Вирус краснухи¹, штамм Вистар RA 27/3 — не менее 1000&amp;nbsp;(3,0&amp;nbsp;lg)&amp;nbsp;ТЦД₅₀².&lt;/li&gt;&lt;/ul&gt;
¹&amp;nbsp;культивированный на диплоидных клетках человека MRC-5&lt;br&gt;
²&amp;nbsp;ТДЦ₅₀ — 50% тканевая цитопатогенная доза&lt;br&gt;
³&amp;nbsp;культивированный на культуре клеток куриных фибробластов&lt;br&gt;&lt;br&gt;
Содержит следовые количества неомицина сульфата (остаточная технологическая примесь) — не более 2,5&amp;nbsp;мкг.&lt;br&gt;&lt;br&gt;
Перечень вспомогательных веществ&lt;br&gt;&lt;br&gt;
</t>
    </r>
    <r>
      <rPr>
        <rFont val="Arial"/>
        <i/>
        <color theme="1"/>
      </rPr>
      <t>&lt;i&gt;Лиофилизат:&lt;/i&gt;</t>
    </r>
    <r>
      <rPr>
        <rFont val="Arial"/>
        <color theme="1"/>
      </rPr>
      <t xml:space="preserve">
&lt;ul&gt;&lt;li&gt;сорбитол;&lt;/li&gt;
&lt;li&gt;желатин;&lt;/li&gt;
&lt;li&gt;гистидин;&lt;/li&gt;
&lt;li&gt;аланин;&lt;/li&gt;
&lt;li&gt;трицин;&lt;/li&gt;
&lt;li&gt;аргинин;&lt;/li&gt;
&lt;li&gt;лактальбумин;&lt;/li&gt;
&lt;li&gt;среда МЕМ.&lt;/li&gt;&lt;/ul&gt;
</t>
    </r>
    <r>
      <rPr>
        <rFont val="Arial"/>
        <i/>
        <color theme="1"/>
      </rPr>
      <t>&lt;i&gt;Растворитель:&lt;/i&gt;</t>
    </r>
    <r>
      <rPr>
        <rFont val="Arial"/>
        <color theme="1"/>
      </rPr>
      <t xml:space="preserve">
&lt;ul&gt;&lt;li&gt;Вода для инъекций.&lt;/li&gt;&lt;/ul&gt;&lt;/p&gt;</t>
    </r>
  </si>
  <si>
    <t>https://grls.rosminzdrav.ru/InstrImg/2026/01/22/1525402/07c3adec-cd5e-49f6-9bc3-7a3e029cd98c.pdf</t>
  </si>
  <si>
    <r>
      <rPr>
        <rFont val="Arial"/>
        <color theme="1"/>
      </rPr>
      <t xml:space="preserve">1 доза (0,5 мл) содержит:
• Капсульный полисахарид </t>
    </r>
    <r>
      <rPr>
        <rFont val="Arial"/>
        <i/>
        <color theme="1"/>
      </rPr>
      <t>Haemophilus influenzae</t>
    </r>
    <r>
      <rPr>
        <rFont val="Arial"/>
        <color theme="1"/>
      </rPr>
      <t xml:space="preserve"> тип </t>
    </r>
    <r>
      <rPr>
        <rFont val="Arial"/>
        <i/>
        <color theme="1"/>
      </rPr>
      <t>b</t>
    </r>
    <r>
      <rPr>
        <rFont val="Arial"/>
        <color theme="1"/>
      </rPr>
      <t xml:space="preserve"> (полирибозилрибитолфосфат) — 11,9 мкг,
конъюгированный со столбнячным анатоксином — 11,9 мкг.
Перечень вспомогательных веществ:
• Сахароза;
• Трометамол.</t>
    </r>
  </si>
  <si>
    <r>
      <rPr>
        <rFont val="Arial"/>
        <color theme="1"/>
      </rPr>
      <t xml:space="preserve">&lt;p&gt;1&amp;nbsp;доза (0,5&amp;nbsp;мл) содержит:
&lt;ul&gt;&lt;li&gt;Капсульный полисахарид </t>
    </r>
    <r>
      <rPr>
        <rFont val="Arial"/>
        <i/>
        <color theme="1"/>
      </rPr>
      <t>&lt;i&gt;Haemophilus influenzae</t>
    </r>
    <r>
      <rPr>
        <rFont val="Arial"/>
        <color theme="1"/>
      </rPr>
      <t>&lt;/i&gt; тип &lt;i&gt;</t>
    </r>
    <r>
      <rPr>
        <rFont val="Arial"/>
        <i/>
        <color theme="1"/>
      </rPr>
      <t>b</t>
    </r>
    <r>
      <rPr>
        <rFont val="Arial"/>
        <color theme="1"/>
      </rPr>
      <t>&lt;/i&gt; (полирибозилрибитолфосфат) — 11,9&amp;nbsp;мкг,&lt;br&gt;
конъюгированный со столбнячным анатоксином — 11,9&amp;nbsp;мкг.&lt;/li&gt;&lt;/ul&gt;
Перечень вспомогательных веществ:
&lt;ul&gt;&lt;li&gt;Сахароза;&lt;/li&gt;
&lt;li&gt;Трометамол.&lt;/li&gt;&lt;/ul&gt;&lt;/p&gt;</t>
    </r>
  </si>
  <si>
    <t>https://grls.rosminzdrav.ru/InstrImg/2025/10/30/1523008/59dd5156-957b-4de5-86c8-83d284b70f65.pdf</t>
  </si>
  <si>
    <t>Разовая доза препарата (0,5 мл) содержит: 5 флокулирующих единиц (Lf) дифтерийного анатоксина, от 0,25 до 0,55 мг алюминия гидроксида в пересчете на алюминий (сорбент), от 42,5 до 57,5 мкг тиомерсала (консервант).</t>
  </si>
  <si>
    <t>&lt;p&gt;Разовая доза препарата (0,5&amp;nbsp;мл) содержит: 5&amp;nbsp;флокулирующих единиц (Lf) дифтерийного анатоксина, от 0,25 до 0,55&amp;nbsp;мг алюминия гидроксида в пересчете на алюминий (сорбент), от 42,5 до 57,5&amp;nbsp;мкг тиомерсала (консервант).&lt;/p&gt;</t>
  </si>
  <si>
    <t>https://grls.rosminzdrav.ru/InstrImg/2020/06/16/1416543/cc00d61d-e7e3-4d66-bfd4-02dc184c0de6.pdf</t>
  </si>
  <si>
    <r>
      <rPr>
        <rFont val="Arial"/>
        <color theme="1"/>
      </rPr>
      <t xml:space="preserve">В 1 дозе (1 мл) содержится:
</t>
    </r>
    <r>
      <rPr>
        <rFont val="Arial"/>
        <i/>
        <color theme="1"/>
      </rPr>
      <t>Действующее вещество:</t>
    </r>
    <r>
      <rPr>
        <rFont val="Arial"/>
        <color theme="1"/>
      </rPr>
      <t xml:space="preserve">
• Анатоксин столбнячный — 40 ЕС;
</t>
    </r>
    <r>
      <rPr>
        <rFont val="Arial"/>
        <i/>
        <color theme="1"/>
      </rPr>
      <t>Вспомогательные вещества:</t>
    </r>
    <r>
      <rPr>
        <rFont val="Arial"/>
        <color theme="1"/>
      </rPr>
      <t xml:space="preserve">
• Алюминия гидроксид (в пересчете на алюминий Al³⁺) — не более 1,1 мг;
• Консервант – тиомерсал — от 85 до 115 мкг;
• Формальдегид — не более 200 мкг.
Удельная активность столбнячного анатоксина не менее 1000 ЕС/мг белкового азота.</t>
    </r>
  </si>
  <si>
    <t>&lt;p&gt;В 1&amp;nbsp;дозе (1&amp;nbsp;мл) содержится:&lt;br&gt;&lt;br&gt;
&lt;i&gt;Действующее вещество:&lt;/i&gt;
&lt;ul&gt;&lt;li&gt;Анатоксин столбнячный — 40&amp;nbsp;ЕС;&lt;/li&gt;&lt;/ul&gt;
&lt;i&gt;Вспомогательные вещества:&lt;/i&gt;
&lt;ul&gt;&lt;li&gt;Алюминия гидроксид (в пересчете на алюминий Al³⁺) — не более 1,1&amp;nbsp;мг;&lt;/li&gt;
&lt;li&gt;Консервант – тиомерсал — от 85 до 115&amp;nbsp;мкг;&lt;/li&gt;
&lt;li&gt;Формальдегид — не более 200&amp;nbsp;мкг.&lt;/li&gt;&lt;/ul&gt;
Удельная активность столбнячного анатоксина не менее 1000&amp;nbsp;ЕС/мг белкового азота.&lt;/p&gt;</t>
  </si>
  <si>
    <t>https://lk.regmed.ru/Register/GetPDFfromDA?ID=1543829851</t>
  </si>
  <si>
    <r>
      <rPr>
        <rFont val="Arial"/>
        <color theme="1"/>
      </rPr>
      <t xml:space="preserve">1 доза вакцины содержит:
</t>
    </r>
    <r>
      <rPr>
        <rFont val="Arial"/>
        <i/>
        <color theme="1"/>
      </rPr>
      <t>Действующее вещество</t>
    </r>
    <r>
      <rPr>
        <rFont val="Arial"/>
        <color theme="1"/>
      </rPr>
      <t xml:space="preserve">: вирус осповакцины – не менее 10⁶ оспообразующих единиц (ООЕ).
</t>
    </r>
    <r>
      <rPr>
        <rFont val="Arial"/>
        <i/>
        <color theme="1"/>
      </rPr>
      <t>Вспомогательные вещества</t>
    </r>
    <r>
      <rPr>
        <rFont val="Arial"/>
        <color theme="1"/>
      </rPr>
      <t>:
Пептон
Глицерина раствор 50% (растворитель):
• глицерин;
• фосфатно-цитратный буферный раствор Мак-Ильвейна 0,004 М (кислота лимонная моногидрат; динатрия гидрофосфат безводный, или динатрия гидрофосфат дигидрат, или динатрия гидрофосфат додекагидрат; вода очищенная).</t>
    </r>
  </si>
  <si>
    <r>
      <rPr>
        <rFont val="Arial"/>
        <color theme="1"/>
      </rPr>
      <t xml:space="preserve">&lt;p&gt;1&amp;nbsp;доза вакцины содержит:&lt;br&gt;&lt;br&gt;
</t>
    </r>
    <r>
      <rPr>
        <rFont val="Arial"/>
        <i/>
        <color theme="1"/>
      </rPr>
      <t>&lt;i&gt;Действующее вещество:&lt;/i&gt;</t>
    </r>
    <r>
      <rPr>
        <rFont val="Arial"/>
        <color theme="1"/>
      </rPr>
      <t xml:space="preserve"> вирус осповакцины – не менее 10⁶&amp;nbsp;оспообразующих единиц (ООЕ).&lt;br&gt;&lt;br&gt;
</t>
    </r>
    <r>
      <rPr>
        <rFont val="Arial"/>
        <i/>
        <color theme="1"/>
      </rPr>
      <t>&lt;i&gt;Вспомогательные вещества:&lt;/i&gt;</t>
    </r>
    <r>
      <rPr>
        <rFont val="Arial"/>
        <color theme="1"/>
      </rPr>
      <t>&lt;br&gt;
Пептон&lt;br&gt;
Глицерина раствор 50% (растворитель):
&lt;ul&gt;&lt;li&gt;глицерин;&lt;/l&gt;
&lt;li&gt;фосфатно-цитратный буферный раствор Мак-Ильвейна 0,004&amp;nbsp;М (кислота лимонная моногидрат; динатрия гидрофосфат безводный, или динатрия гидрофосфат дигидрат, или динатрия гидрофосфат додекагидрат; вода очищенная).&lt;/li&gt;&lt;/ul&gt;&lt;/p&gt;</t>
    </r>
  </si>
  <si>
    <t>https://lk.regmed.ru/Register/GetPDFfromDA?ID=1544404631</t>
  </si>
  <si>
    <r>
      <rPr>
        <rFont val="Arial"/>
        <color theme="1"/>
      </rPr>
      <t xml:space="preserve">В 1 дозе (0,5 мл) содержится:
</t>
    </r>
    <r>
      <rPr>
        <rFont val="Arial"/>
        <b/>
        <color theme="1"/>
      </rPr>
      <t>Препарат с консервантом</t>
    </r>
    <r>
      <rPr>
        <rFont val="Arial"/>
        <color theme="1"/>
      </rPr>
      <t xml:space="preserve">
</t>
    </r>
    <r>
      <rPr>
        <rFont val="Arial"/>
        <i/>
        <color theme="1"/>
      </rPr>
      <t>Действующие вещества:</t>
    </r>
    <r>
      <rPr>
        <rFont val="Arial"/>
        <color theme="1"/>
      </rPr>
      <t xml:space="preserve">
• Анатоксин дифтерийный¹ — 15 флокулирующих единиц (Lf);
• Анатоксин столбнячный¹ — 5 единиц связывания (ЕC);
• Коклюшная суспензия инактивированная — 10 млрд коклюшных микробных клеток;
• HBsAg¹ — 5 мкг.
</t>
    </r>
    <r>
      <rPr>
        <rFont val="Arial"/>
        <i/>
        <color theme="1"/>
      </rPr>
      <t>Вспомогательные вещества:</t>
    </r>
    <r>
      <rPr>
        <rFont val="Arial"/>
        <color theme="1"/>
      </rPr>
      <t xml:space="preserve">
• Консервант – тиомерсал.
¹ — Адсорбированный на алюминия гидроксиде (в пересчете на Al³⁺) — не более 0,55 мг.
</t>
    </r>
    <r>
      <rPr>
        <rFont val="Arial"/>
        <b/>
        <color theme="1"/>
      </rPr>
      <t>Препарат без консерванта</t>
    </r>
    <r>
      <rPr>
        <rFont val="Arial"/>
        <color theme="1"/>
      </rPr>
      <t xml:space="preserve">
</t>
    </r>
    <r>
      <rPr>
        <rFont val="Arial"/>
        <i/>
        <color theme="1"/>
      </rPr>
      <t>Действующие вещества:</t>
    </r>
    <r>
      <rPr>
        <rFont val="Arial"/>
        <color theme="1"/>
      </rPr>
      <t xml:space="preserve">
• Анатоксин дифтерийный¹ — 15 флокулирующих единиц (Lf);
• Анатоксин столбнячный¹ — 5 единиц связывания (ЕC);
• Коклюшная суспензия инактивированная без тиомерсала — 10 млрд коклюшных микробных клеток;
• HBsAg¹ — 5 мкг.
¹ — Адсорбированный на алюминия гидроксиде (в пересчете на Al³⁺) — не более 0,55 мг.
Вакцина может содержать остаточные производственные примеси: формальдегид (не более 50 мкг).</t>
    </r>
  </si>
  <si>
    <r>
      <rPr>
        <rFont val="Arial"/>
        <color theme="1"/>
      </rPr>
      <t xml:space="preserve">&lt;p&gt;В 1&amp;nbsp;дозе (0,5&amp;nbsp;мл) содержится:&lt;/p&gt;
</t>
    </r>
    <r>
      <rPr>
        <rFont val="Arial"/>
        <b/>
        <color theme="1"/>
      </rPr>
      <t>&lt;p&gt;&lt;b&gt;Препарат с консервантом</t>
    </r>
    <r>
      <rPr>
        <rFont val="Arial"/>
        <color theme="1"/>
      </rPr>
      <t xml:space="preserve">&lt;/b&gt;&lt;br&gt;&lt;br&gt;
</t>
    </r>
    <r>
      <rPr>
        <rFont val="Arial"/>
        <i/>
        <color theme="1"/>
      </rPr>
      <t>&lt;i&gt;Действующие вещества:</t>
    </r>
    <r>
      <rPr>
        <rFont val="Arial"/>
        <color theme="1"/>
      </rPr>
      <t xml:space="preserve">&lt;/i&gt;
&lt;ul&gt;&lt;li&gt;Анатоксин дифтерийный¹ — 15&amp;nbsp;флокулирующих единиц (Lf);&lt;/li&gt;
&lt;li&gt;Анатоксин столбнячный¹ — 5&amp;nbsp;единиц связывания (ЕC);&lt;/li&gt;
&lt;li&gt;Коклюшная суспензия инактивированная — 10&amp;nbsp;млрд коклюшных микробных клеток;&lt;/li&gt;
&lt;li&gt;HBsAg¹ — 5&amp;nbsp;мкг.&lt;/li&gt;&lt;/ul&gt;
</t>
    </r>
    <r>
      <rPr>
        <rFont val="Arial"/>
        <i/>
        <color theme="1"/>
      </rPr>
      <t>&lt;i&gt;Вспомогательные вещества:</t>
    </r>
    <r>
      <rPr>
        <rFont val="Arial"/>
        <color theme="1"/>
      </rPr>
      <t xml:space="preserve">&lt;/i&gt;
&lt;ul&gt;&lt;li&gt;Консервант – тиомерсал.&lt;/li&gt;&lt;/ul&gt;
¹ — Адсорбированный на алюминия гидроксиде (в пересчете на Al³⁺) — не более 0,55&amp;nbsp;мг.&lt;/p&gt;
</t>
    </r>
    <r>
      <rPr>
        <rFont val="Arial"/>
        <b/>
        <color theme="1"/>
      </rPr>
      <t>&lt;p&gt;&lt;b&gt;Препарат без консерванта</t>
    </r>
    <r>
      <rPr>
        <rFont val="Arial"/>
        <color theme="1"/>
      </rPr>
      <t xml:space="preserve">&lt;/b&gt;&lt;br&gt;&lt;br&gt;
</t>
    </r>
    <r>
      <rPr>
        <rFont val="Arial"/>
        <i/>
        <color theme="1"/>
      </rPr>
      <t>&lt;i&gt;Действующие вещества:</t>
    </r>
    <r>
      <rPr>
        <rFont val="Arial"/>
        <color theme="1"/>
      </rPr>
      <t>&lt;/i&gt;
&lt;ul&gt;&lt;li&gt;Анатоксин дифтерийный¹ — 15&amp;nbsp;флокулирующих единиц (Lf);&lt;/li&gt;
&lt;li&gt;Анатоксин столбнячный¹ — 5&amp;nbsp;единиц связывания (ЕC);&lt;/li&gt;
&lt;li&gt;Коклюшная суспензия инактивированная без тиомерсала — 10&amp;nbsp;млрд коклюшных микробных клеток;&lt;/li&gt;
&lt;li&gt;HBsAg¹ — 5&amp;nbsp;мкг.&lt;/li&gt;&lt;/ul&gt;
¹ — Адсорбированный на алюминия гидроксиде (в пересчете на Al³⁺) — не более 0,55&amp;nbsp;мг.&lt;/p&gt;
&lt;p&gt;Вакцина может содержать остаточные производственные примеси: формальдегид (не более 50&amp;nbsp;мкг).&lt;/p&gt;</t>
    </r>
  </si>
  <si>
    <t>https://lk.regmed.ru/Register/GetPDFfromDA?ID=1501096611</t>
  </si>
  <si>
    <r>
      <rPr>
        <rFont val="Arial"/>
        <color theme="1"/>
      </rPr>
      <t xml:space="preserve">1 доза вакцины содержит:
</t>
    </r>
    <r>
      <rPr>
        <rFont val="Arial"/>
        <i/>
        <color theme="1"/>
      </rPr>
      <t>Действующие вещества:</t>
    </r>
    <r>
      <rPr>
        <rFont val="Arial"/>
        <color theme="1"/>
      </rPr>
      <t xml:space="preserve">
• живые риккетсии Провачека¹ аттенуированного (вакцинного) штамма Е — 1000-100000 минимальных инфицирующих доз риккетсий для развивающихся куриных эмбрионов (МИДэ);
• растворимый антиген из риккетсий Провачека¹ вирулентного штамма Брейнль — не менее 16 антигенных единиц.
¹ — Получены с использованием клеток куриных эмбрионов.
</t>
    </r>
    <r>
      <rPr>
        <rFont val="Arial"/>
        <i/>
        <color theme="1"/>
      </rPr>
      <t>Перечень вспомогательных веществ:</t>
    </r>
    <r>
      <rPr>
        <rFont val="Arial"/>
        <color theme="1"/>
      </rPr>
      <t xml:space="preserve">
• Молоко питьевое обезжиренное стерильное.</t>
    </r>
  </si>
  <si>
    <t>&lt;p&gt;1&amp;nbsp;доза вакцины содержит:&lt;/p&gt;
&lt;p&gt;&lt;i&gt;Действующие вещества:&lt;/i&gt;
&lt;ul&gt;&lt;li&gt;живые риккетсии Провачека¹ аттенуированного (вакцинного) штамма Е — 1000-100000&amp;nbsp;минимальных инфицирующих доз риккетсий для развивающихся куриных эмбрионов (МИДэ);&lt;/li&gt;
&lt;li&gt;растворимый антиген из риккетсий Провачека¹ вирулентного штамма Брейнль — не менее 16&amp;nbsp;антигенных единиц.&lt;/li&gt;&lt;/ul&gt;
¹ — Получены с использованием клеток куриных эмбрионов.&lt;br&gt;&lt;br&gt;
&lt;i&gt;Перечень вспомогательных веществ:&lt;/i&gt;
&lt;ul&gt;&lt;li&gt;Молоко питьевое обезжиренное стерильное.&lt;/li&gt;&lt;/ul&gt;&lt;/p&gt;</t>
  </si>
  <si>
    <t>https://lk.regmed.ru/Register/GetPDFfromDA?ID=1494836031</t>
  </si>
  <si>
    <r>
      <rPr>
        <rFont val="Arial"/>
        <color theme="1"/>
      </rPr>
      <t xml:space="preserve">1 доза вакцины (лиофилизат из 0,5 мл) содержит:
</t>
    </r>
    <r>
      <rPr>
        <rFont val="Arial"/>
        <i/>
        <color theme="1"/>
      </rPr>
      <t>Действующее вещество:</t>
    </r>
    <r>
      <rPr>
        <rFont val="Arial"/>
        <color theme="1"/>
      </rPr>
      <t xml:space="preserve">
• Инактивированный антиген вируса осповакцины — 50 мкг.
</t>
    </r>
    <r>
      <rPr>
        <rFont val="Arial"/>
        <i/>
        <color theme="1"/>
      </rPr>
      <t>Перечень вспомогательных веществ:</t>
    </r>
    <r>
      <rPr>
        <rFont val="Arial"/>
        <color theme="1"/>
      </rPr>
      <t xml:space="preserve">
• Желатин.
• Сахароза.
• Кислота лимонная моногидрат.
• Динатрия гидрофосфат безводный (или динатрия гидрофосфат дигидрат, или динатрия гидрофосфат додекагидрат).</t>
    </r>
  </si>
  <si>
    <t>&lt;p&gt;1&amp;nbsp;доза вакцины (лиофилизат из 0,5&amp;nbsp;мл) содержит:&lt;/p&gt;
&lt;p&gt;&lt;i&gt;Действующее вещество:&lt;/i&gt;
&lt;ul&gt;&lt;li&gt;Инактивированный антиген вируса осповакцины — 50&amp;nbsp;мкг.&lt;/li&gt;&lt;/ul&gt;
&lt;i&gt;Перечень вспомогательных веществ:&lt;/i&gt;
&lt;ul&gt;&lt;li&gt;Желатин.&lt;/li&gt;
&lt;li&gt;Сахароза.&lt;/li&gt;
&lt;li&gt;Кислота лимонная моногидрат.&lt;/li&gt;
&lt;li&gt;Динатрия гидрофосфат безводный (или динатрия гидрофосфат дигидрат, или динатрия гидрофосфат додекагидрат).&lt;/li&gt;&lt;/ul&gt;&lt;/p&gt;</t>
  </si>
  <si>
    <t>https://lk.regmed.ru/Register/GetPDFfromDA?ID=1485438071</t>
  </si>
  <si>
    <r>
      <rPr>
        <rFont val="Arial"/>
        <color theme="1"/>
      </rPr>
      <t xml:space="preserve">1 мл препарата содержит:
• Инактивированная культура гонококков — 10 ME*.
Примечание.
* международных единиц ОСО мутности бактериальных взвесей.
</t>
    </r>
    <r>
      <rPr>
        <rFont val="Arial"/>
        <i/>
        <color theme="1"/>
      </rPr>
      <t>Перечень вспомогательных веществ:</t>
    </r>
    <r>
      <rPr>
        <rFont val="Arial"/>
        <color theme="1"/>
      </rPr>
      <t xml:space="preserve">
• Натрия хлорид;
• Фенол;
• Вода для инъекций.</t>
    </r>
  </si>
  <si>
    <r>
      <rPr>
        <rFont val="Arial"/>
        <color theme="1"/>
      </rPr>
      <t xml:space="preserve">&lt;p&gt;1&amp;nbsp;мл препарата содержит:
&lt;ul&gt;&lt;li&gt;Инактивированная культура гонококков — 10&amp;nbsp;ME*.&lt;/li&gt;&lt;/ul&gt;
Примечание.&lt;br&gt;
*&amp;nbsp;международных единиц ОСО мутности бактериальных взвесей.&lt;/p&gt;
</t>
    </r>
    <r>
      <rPr>
        <rFont val="Arial"/>
        <i/>
        <color theme="1"/>
      </rPr>
      <t>&lt;p&gt;&lt;i&gt;Перечень вспомогательных веществ:</t>
    </r>
    <r>
      <rPr>
        <rFont val="Arial"/>
        <color theme="1"/>
      </rPr>
      <t>&lt;/i&gt;
&lt;ul&gt;&lt;li&gt;Натрия хлорид;&lt;/li&gt;
&lt;li&gt;Фенол;&lt;/li&gt;
&lt;li&gt;Вода для инъекций.&lt;/li&gt;&lt;/ul&gt;&lt;/p&gt;</t>
    </r>
  </si>
  <si>
    <t>https://lk.regmed.ru/Register/GetPDFfromDA?ID=1448256521</t>
  </si>
  <si>
    <r>
      <rPr>
        <rFont val="Arial"/>
        <color theme="1"/>
      </rPr>
      <t xml:space="preserve">Состав на 1 дозу (0,2 мл) содержит:
• Вирус осповакцины, штамм Л-ИВП с шестью нарушенными генами вирулентности C3L, N1L, J2R, A35R, А56R, B8R (вирус осповакцины штамм VACΔ6¹) живой, аттенуированный — 10⁷ ООЕ²
¹ — получен с использованием перевиваемой линии клеток 4647 почки африканской зеленой мартышки;
² — оспообразующих единиц.
</t>
    </r>
    <r>
      <rPr>
        <rFont val="Arial"/>
        <i/>
        <color theme="1"/>
      </rPr>
      <t>Перечень вспомогательных веществ:</t>
    </r>
    <r>
      <rPr>
        <rFont val="Arial"/>
        <color theme="1"/>
      </rPr>
      <t xml:space="preserve">
• Пептон;
• Сахароза;
• Желатин;
• Натрия хлорид раствор для инфузий.</t>
    </r>
  </si>
  <si>
    <r>
      <rPr>
        <rFont val="Arial"/>
        <color theme="1"/>
      </rPr>
      <t xml:space="preserve">&lt;p&gt;Состав на 1&amp;nbsp;дозу (0,2&amp;nbsp;мл) содержит:
&lt;ul&gt;&lt;li&gt;Вирус осповакцины, штамм Л-ИВП с шестью нарушенными генами вирулентности C3L, N1L, J2R, A35R, А56R, B8R (вирус осповакцины штамм VACΔ6¹) живой, аттенуированный — 10⁷&amp;nbsp;ООЕ²&lt;/li&gt;&lt;/ul&gt;
¹ — получен с использованием перевиваемой линии клеток 4647 почки африканской зеленой мартышки;&lt;br&gt;
² — оспообразующих единиц.&lt;br&gt;&lt;br&gt;
</t>
    </r>
    <r>
      <rPr>
        <rFont val="Arial"/>
        <i/>
        <color theme="1"/>
      </rPr>
      <t>&lt;i&gt;Перечень вспомогательных веществ:</t>
    </r>
    <r>
      <rPr>
        <rFont val="Arial"/>
        <color theme="1"/>
      </rPr>
      <t>&lt;/i&gt;
&lt;ul&gt;&lt;li&gt;Пептон;&lt;/li&gt;
&lt;li&gt;Сахароза;&lt;/li&gt;
&lt;li&gt;Желатин;&lt;/li&gt;
&lt;li&gt;Натрия хлорид раствор для инфузий.&lt;/li&gt;&lt;/ul&gt;&lt;/p&gt;</t>
    </r>
  </si>
  <si>
    <t>https://lk.regmed.ru/Register/GetPDFfromDA?ID=1501926911</t>
  </si>
  <si>
    <r>
      <rPr>
        <rFont val="Arial"/>
        <color theme="1"/>
      </rPr>
      <t xml:space="preserve">1 доза (0,5 мл) содержит 125 мкг модифицированных липополисахаридов </t>
    </r>
    <r>
      <rPr>
        <rFont val="Arial"/>
        <i/>
        <color theme="1"/>
      </rPr>
      <t>Shigella flexneri</t>
    </r>
    <r>
      <rPr>
        <rFont val="Arial"/>
        <color theme="1"/>
      </rPr>
      <t xml:space="preserve">¹:
• штамм 2a № 1605-8 — 25 мкг;
• штамм Зa № 2167 — 25 мкг;
• штамм 1b № 1818 — 25 мкг;
• штамм Ү № 2643 — 25 мкг;
• штамм 6 № 281-55 — 25 мкг.
¹ Получены из культуры </t>
    </r>
    <r>
      <rPr>
        <rFont val="Arial"/>
        <i/>
        <color theme="1"/>
      </rPr>
      <t>Shigella flexneri</t>
    </r>
    <r>
      <rPr>
        <rFont val="Arial"/>
        <color theme="1"/>
      </rPr>
      <t xml:space="preserve"> и очищены ферментативными и физико-химическими методами.
</t>
    </r>
    <r>
      <rPr>
        <rFont val="Arial"/>
        <i/>
        <color theme="1"/>
      </rPr>
      <t>Перечень вспомогательных веществ:</t>
    </r>
    <r>
      <rPr>
        <rFont val="Arial"/>
        <color theme="1"/>
      </rPr>
      <t xml:space="preserve">
• Фенол;
• Натрия хлорид;
• Динатрия гидрофосфат гептагидрат;
• Натрия дигидрофосфат дигидрат;
• Вода для инъекций.</t>
    </r>
  </si>
  <si>
    <r>
      <rPr>
        <rFont val="Arial"/>
        <color theme="1"/>
      </rPr>
      <t>&lt;p&gt;1&amp;nbsp;доза (0,5&amp;nbsp;мл) содержит 125&amp;nbsp;мкг модифицированных липополисахаридов &lt;i&gt;</t>
    </r>
    <r>
      <rPr>
        <rFont val="Arial"/>
        <i/>
        <color theme="1"/>
      </rPr>
      <t>Shigella flexneri&lt;/i&gt;</t>
    </r>
    <r>
      <rPr>
        <rFont val="Arial"/>
        <color theme="1"/>
      </rPr>
      <t xml:space="preserve">¹:
&lt;ul&gt;&lt;li&gt;штамм&amp;nbsp;2a №&amp;nbsp;1605-8 — 25&amp;nbsp;мкг;&lt;/li&gt;
&lt;li&gt;штамм&amp;nbsp;Зa №&amp;nbsp;2167 — 25&amp;nbsp;мкг;&lt;/li&gt;
&lt;li&gt;штамм&amp;nbsp;1b №&amp;nbsp;1818 — 25&amp;nbsp;мкг;&lt;/li&gt;
&lt;li&gt;штамм&amp;nbsp;Ү №&amp;nbsp;2643 — 25&amp;nbsp;мкг;&lt;/li&gt;
&lt;li&gt;штамм&amp;nbsp;6 №&amp;nbsp;281-55 — 25&amp;nbsp;мкг.&lt;/li&gt;&lt;/ul&gt;
¹&amp;nbsp;Получены из культуры </t>
    </r>
    <r>
      <rPr>
        <rFont val="Arial"/>
        <i/>
        <color theme="1"/>
      </rPr>
      <t>&lt;i&gt;Shigella flexneri&lt;/i&gt;</t>
    </r>
    <r>
      <rPr>
        <rFont val="Arial"/>
        <color theme="1"/>
      </rPr>
      <t xml:space="preserve"> и очищены ферментативными и физико-химическими методами.&lt;br&gt;&lt;br&gt;
</t>
    </r>
    <r>
      <rPr>
        <rFont val="Arial"/>
        <i/>
        <color theme="1"/>
      </rPr>
      <t>&lt;i&gt;Перечень вспомогательных веществ:</t>
    </r>
    <r>
      <rPr>
        <rFont val="Arial"/>
        <color theme="1"/>
      </rPr>
      <t>&lt;/i&gt;
&lt;ul&gt;&lt;li&gt;Фенол;&lt;/li&gt;
&lt;li&gt;Натрия хлорид;&lt;/li&gt;
&lt;li&gt;Динатрия гидрофосфат гептагидрат;&lt;/li&gt;
&lt;li&gt;Натрия дигидрофосфат дигидрат;&lt;/li&gt;
&lt;li&gt;Вода для инъекций.&lt;/li&gt;&lt;/ul&gt;&lt;/p&gt;</t>
    </r>
  </si>
  <si>
    <t>https://grls.rosminzdrav.ru/InstrImg/2026/05/19/1529992/3e4bff0f-b904-49bd-8f8c-cf901c4749df.pdf</t>
  </si>
  <si>
    <r>
      <rPr>
        <rFont val="Arial"/>
        <i/>
        <color theme="1"/>
      </rPr>
      <t>Действующее вещество:</t>
    </r>
    <r>
      <rPr>
        <rFont val="Arial"/>
        <color theme="1"/>
      </rPr>
      <t xml:space="preserve">
• Вирус желтой лихорадки штамм «17Д» — не менее 1600 БОЕ (3,2 log₁₀ БОЕ) или 3,0 log₁₀ МЕ вируса
</t>
    </r>
    <r>
      <rPr>
        <rFont val="Arial"/>
        <i/>
        <color theme="1"/>
      </rPr>
      <t>Вспомогательные вещества (расчетное количество):</t>
    </r>
    <r>
      <rPr>
        <rFont val="Arial"/>
        <color theme="1"/>
      </rPr>
      <t xml:space="preserve">
• Лактозы моногидрат — 20 мг
• Сорбитол — 10 мг
• L-гистидин — 1,2 мг
• L-аланин — 0,7 мг
• Желатин — 5 мг
Вакцина выпускается в комплекте с растворителем — вода для инъекций. Одна доза восстановленного препарата составляет 0,5 мл.
Вакцина не содержит консервантов и антибиотиков.</t>
    </r>
  </si>
  <si>
    <t>&lt;p&gt;&lt;i&gt;Действующее вещество:&lt;/i&gt;
&lt;ul&gt;&lt;li&gt;Вирус желтой лихорадки штамм «17Д» — не менее 1600&amp;nbsp;БОЕ (3,2&amp;nbsp;log₁₀&amp;nbsp;БОЕ) или 3,0&amp;nbsp;log₁₀&amp;nbsp;МЕ вируса&lt;/li&gt;&lt;/ul&gt;
&lt;i&gt;Вспомогательные вещества (расчетное количество):&lt;/i&gt;
&lt;ul&gt;&lt;li&gt;Лактозы моногидрат — 20&amp;nbsp;мг&lt;/li&gt;
&lt;li&gt;Сорбитол — 10&amp;nbsp;мг&lt;/li&gt;
&lt;li&gt;L-гистидин — 1,2&amp;nbsp;мг&lt;/li&gt;
&lt;li&gt;L-аланин — 0,7&amp;nbsp;мг&lt;/li&gt;
&lt;li&gt;Желатин — 5&amp;nbsp;мг&lt;/li&gt;&lt;/ul&gt;
Вакцина выпускается в комплекте с растворителем — вода для инъекций. Одна доза восстановленного препарата составляет 0,5&amp;nbsp;мл.&lt;br&gt;
Вакцина не содержит консервантов и антибиотиков.&lt;/p&gt;</t>
  </si>
  <si>
    <t>https://grls.rosminzdrav.ru/InstrImg/2024/02/12/1501815/32f958db-a12b-4c41-9b5b-e1707a1b19ee.pdf</t>
  </si>
  <si>
    <r>
      <rPr>
        <rFont val="Arial"/>
        <color theme="1"/>
      </rPr>
      <t xml:space="preserve">0,5 мл (1 доза) вакцины содержит:
</t>
    </r>
    <r>
      <rPr>
        <rFont val="Arial"/>
        <i/>
        <color theme="1"/>
      </rPr>
      <t>Действующие вещества:</t>
    </r>
    <r>
      <rPr>
        <rFont val="Arial"/>
        <color theme="1"/>
      </rPr>
      <t xml:space="preserve">
• Пептидный антиген №1 белков вируса Эбола,
конъюгированный на белок-носитель — 50 мкг;
• Пептидный антиген №2 белков вируса Эбола,
конъюгированный на белок-носитель — 50 мкг;
</t>
    </r>
    <r>
      <rPr>
        <rFont val="Arial"/>
        <i/>
        <color theme="1"/>
      </rPr>
      <t>Вспомогательные вещества:</t>
    </r>
    <r>
      <rPr>
        <rFont val="Arial"/>
        <color theme="1"/>
      </rPr>
      <t xml:space="preserve">
• Алюминия гидроксид в пересчете на (Al³⁺) — 0,40 мг;
• Калия дигидрофосфат — 0,12 мг;
• Калия хлорид — 0,10 мг;
• Натрия гидрофосфата додекагидрат — 1,82 мг;
• Натрия хлорид — 4,0 мг;
• Вода для инъекций до 0,5 мл.</t>
    </r>
  </si>
  <si>
    <r>
      <rPr>
        <rFont val="Arial"/>
        <color theme="1"/>
      </rPr>
      <t xml:space="preserve">&lt;p&gt;0,5&amp;nbsp;мл (1&amp;nbsp;доза) вакцины содержит:&lt;br&gt;&lt;br&gt;
</t>
    </r>
    <r>
      <rPr>
        <rFont val="Arial"/>
        <i/>
        <color theme="1"/>
      </rPr>
      <t>&lt;i&gt;Действующие вещества:</t>
    </r>
    <r>
      <rPr>
        <rFont val="Arial"/>
        <color theme="1"/>
      </rPr>
      <t xml:space="preserve">&lt;/i&gt;
&lt;ul&gt;&lt;li&gt;Пептидный антиген №1 белков вируса Эбола,&lt;br&gt;
конъюгированный на белок-носитель — 50&amp;nbsp;мкг;&lt;/li&gt;
&lt;li&gt;Пептидный антиген №2 белков вируса Эбола,&lt;br&gt;
конъюгированный на белок-носитель — 50&amp;nbsp;мкг;&lt;/li&gt;&lt;/ul&gt;
</t>
    </r>
    <r>
      <rPr>
        <rFont val="Arial"/>
        <i/>
        <color theme="1"/>
      </rPr>
      <t>&lt;i&gt;Вспомогательные вещества:</t>
    </r>
    <r>
      <rPr>
        <rFont val="Arial"/>
        <color theme="1"/>
      </rPr>
      <t>&lt;/i&gt;
&lt;ul&gt;&lt;li&gt;Алюминия гидроксид в пересчете на (Al³⁺) — 0,40&amp;nbsp;мг;&lt;/li&gt;
&lt;li&gt;Калия дигидрофосфат — 0,12&amp;nbsp;мг;&lt;/li&gt;
&lt;li&gt;Калия хлорид — 0,10&amp;nbsp;мг;&lt;/li&gt;
&lt;li&gt;Натрия гидрофосфата додекагидрат — 1,82&amp;nbsp;мг;&lt;/li&gt;
&lt;li&gt;Натрия хлорид — 4,0&amp;nbsp;мг;&lt;/li&gt;
&lt;li&gt;Вода для инъекций до 0,5&amp;nbsp;мл.&lt;/li&gt;&lt;/ul&gt;&lt;/p&gt;</t>
    </r>
  </si>
  <si>
    <t>https://grls.rosminzdrav.ru/InstrImg/2023/11/15/1499083/aedb6c35-3db8-494a-a41e-8ffc737dc35b.pdf</t>
  </si>
  <si>
    <r>
      <rPr>
        <rFont val="Arial"/>
        <color theme="1"/>
      </rPr>
      <t xml:space="preserve">1 доза (0,5 мл) содержит:
</t>
    </r>
    <r>
      <rPr>
        <rFont val="Arial"/>
        <i/>
        <color theme="1"/>
      </rPr>
      <t>Компонент А</t>
    </r>
    <r>
      <rPr>
        <rFont val="Arial"/>
        <color theme="1"/>
      </rPr>
      <t xml:space="preserve">
• рекомбинантные частицы на основе вируса везикулярного стоматита, экспрессирующие ген GP вируса Эбола — (2,5±1,5)x10⁷ акт.ед.
</t>
    </r>
    <r>
      <rPr>
        <rFont val="Arial"/>
        <i/>
        <color theme="1"/>
      </rPr>
      <t>Компонент Б</t>
    </r>
    <r>
      <rPr>
        <rFont val="Arial"/>
        <color theme="1"/>
      </rPr>
      <t xml:space="preserve">
• рекомбинантные псевдоаденовирусные частицы, экспрессирующие ген GP вируса Эбола — (2,5±1,25)x10¹¹ частиц.
Перечень вспомогательных веществ:
</t>
    </r>
    <r>
      <rPr>
        <rFont val="Arial"/>
        <i/>
        <color theme="1"/>
      </rPr>
      <t>Компонент А</t>
    </r>
    <r>
      <rPr>
        <rFont val="Arial"/>
        <color theme="1"/>
      </rPr>
      <t xml:space="preserve">
• Трис(гидроксиметил)аминометан;
• ЭДТА динатриевая соль;
• Сахароза;
• Вода для инъекций.
</t>
    </r>
    <r>
      <rPr>
        <rFont val="Arial"/>
        <i/>
        <color theme="1"/>
      </rPr>
      <t>Компонент Б</t>
    </r>
    <r>
      <rPr>
        <rFont val="Arial"/>
        <color theme="1"/>
      </rPr>
      <t xml:space="preserve">
• Трис(гидроксиметил)аминометан;
• Натрия хлорид;
• Сахароза;
• Полисорбат 80;
• Магния хлорида гексагидрат;
• Этанол 95%;
• ЭДТА динатриевая соль;
• Вода для инъекций.</t>
    </r>
  </si>
  <si>
    <t>&lt;p&gt;1&amp;nbsp;доза (0,5&amp;nbsp;мл) содержит:&lt;br&gt;&lt;br&gt;
&lt;i&gt;Компонент&amp;nbsp;А&lt;/i&gt;
&lt;ul&gt;&lt;li&gt;рекомбинантные частицы на основе вируса везикулярного стоматита, экспрессирующие ген GP вируса Эбола — (2,5±1,5)x10⁷&amp;nbsp;акт.ед.&lt;/li&gt;&lt;/ul&gt;
&lt;i&gt;Компонент&amp;nbsp;Б&lt;/i&gt;
&lt;ul&gt;&lt;li&gt;рекомбинантные псевдоаденовирусные частицы, экспрессирующие ген GP вируса Эбола — (2,5±1,25)x10¹¹&amp;nbsp;частиц.&lt;/li&gt;&lt;/ul&gt;
Перечень вспомогательных веществ:&lt;br&gt;&lt;br&gt;
&lt;i&gt;Компонент&amp;nbsp;А&lt;/i&gt;
&lt;ul&gt;&lt;li&gt;Трис(гидроксиметил)аминометан;&lt;/li&gt;
&lt;li&gt;ЭДТА динатриевая соль;&lt;/li&gt;
&lt;li&gt;Сахароза;&lt;/li&gt;
&lt;li&gt;Вода для инъекций.&lt;/li&gt;&lt;/ul&gt;
&lt;i&gt;Компонент&amp;nbsp;Б&lt;/i&gt;
&lt;ul&gt;&lt;li&gt;Трис(гидроксиметил)аминометан;&lt;/li&gt;
&lt;li&gt;Натрия хлорид;&lt;/li&gt;
&lt;li&gt;Сахароза;&lt;/li&gt;
&lt;li&gt;Полисорбат&amp;nbsp;80;&lt;/li&gt;
&lt;li&gt;Магния хлорида гексагидрат;&lt;/li&gt;
&lt;li&gt;Этанол&amp;nbsp;95%;&lt;/li&gt;
&lt;li&gt;ЭДТА динатриевая соль;&lt;/li&gt;
&lt;li&gt;Вода для инъекций.&lt;/li&gt;&lt;/ul&gt;&lt;/p&gt;</t>
  </si>
  <si>
    <t>https://grls.rosminzdrav.ru/InstrImg/2026/04/08/1528373/3fb2f386-4fb1-4866-bc9c-0268096bb4fc.pdf</t>
  </si>
  <si>
    <r>
      <rPr>
        <rFont val="Arial"/>
        <i/>
        <color theme="1"/>
      </rPr>
      <t>Действующее вещество:</t>
    </r>
    <r>
      <rPr>
        <rFont val="Arial"/>
        <color theme="1"/>
      </rPr>
      <t xml:space="preserve">
• Комплекс пептидогликана
и тейхоевых кислот Staphylococcus aureus — 10 мг
</t>
    </r>
    <r>
      <rPr>
        <rFont val="Arial"/>
        <i/>
        <color theme="1"/>
      </rPr>
      <t>Вспомогательные вещества:</t>
    </r>
    <r>
      <rPr>
        <rFont val="Arial"/>
        <color theme="1"/>
      </rPr>
      <t xml:space="preserve">
• Фенол — (0,2±0,05)%
• Вода для инъекций — до 1 мл</t>
    </r>
  </si>
  <si>
    <r>
      <rPr>
        <rFont val="Arial"/>
        <i/>
        <color theme="1"/>
      </rPr>
      <t>&lt;p&gt;&lt;i&gt;Действующее вещество:</t>
    </r>
    <r>
      <rPr>
        <rFont val="Arial"/>
        <color theme="1"/>
      </rPr>
      <t xml:space="preserve">&lt;/i&gt;
&lt;ul&gt;&lt;li&gt;Комплекс пептидогликана&lt;br&gt;
и тейхоевых кислот Staphylococcus aureus — 10&amp;nbsp;мг&lt;/li&gt;&lt;/ul&gt;
</t>
    </r>
    <r>
      <rPr>
        <rFont val="Arial"/>
        <i/>
        <color theme="1"/>
      </rPr>
      <t>&lt;i&gt;Вспомогательные вещества:</t>
    </r>
    <r>
      <rPr>
        <rFont val="Arial"/>
        <color theme="1"/>
      </rPr>
      <t>&lt;/i&gt;
&lt;ul&gt;&lt;li&gt;Фенол — (0,2±0,05)%&lt;/li&gt;
&lt;li&gt;Вода для инъекций — до 1&amp;nbsp;мл&lt;/li&gt;&lt;/ul&gt;&lt;/p&gt;</t>
    </r>
  </si>
  <si>
    <t>https://grls.rosminzdrav.ru/InstrImg/2018/11/10/1426168/%D0%A0_N000460_01[2018]_0.pdf</t>
  </si>
  <si>
    <r>
      <rPr>
        <rFont val="Arial"/>
        <color theme="1"/>
      </rPr>
      <t xml:space="preserve">1 мл препарата содержит:
Действующие вещества: Антигены </t>
    </r>
    <r>
      <rPr>
        <rFont val="Arial"/>
        <i/>
        <color theme="1"/>
      </rPr>
      <t>Pseudomonas aeruginosa</t>
    </r>
    <r>
      <rPr>
        <rFont val="Arial"/>
        <color theme="1"/>
      </rPr>
      <t xml:space="preserve">:
• иммунотипа 1 — 0,125 мл;
• иммунотипа 2 — 0,125 мл;
• иммунотипа 3 — 0,125 мл;
• иммунотипа 4 — 0,125 мл;
• иммунотипа 5 — 0,125 мл;
• иммунотипа 6 — 0,125 мл;
• иммунотипа 7 — 0,125 мл;
• иммунотипа 3,7 — 0,125 мл.
Вспомогательные вещества: фенол — 2-4 мг.
Вакцинные штаммы </t>
    </r>
    <r>
      <rPr>
        <rFont val="Arial"/>
        <i/>
        <color theme="1"/>
      </rPr>
      <t>Pseudomonas aeruginosa</t>
    </r>
    <r>
      <rPr>
        <rFont val="Arial"/>
        <color theme="1"/>
      </rPr>
      <t xml:space="preserve"> культивированы на искусственной питательной среде Дэвиса.</t>
    </r>
  </si>
  <si>
    <t>&lt;p&gt;1&amp;nbsp;мл препарата содержит:&lt;br&gt;&lt;br&gt;
&lt;i&gt;Действующие вещества:&lt;/i&gt; Антигены &lt;i&gt;Pseudomonas aeruginosa:&lt;/i&gt;
&lt;ul&gt;&lt;li&gt;иммунотипа&amp;nbsp;1 — 0,125&amp;nbsp;мл;&lt;/li&gt;
&lt;li&gt;иммунотипа&amp;nbsp;2 — 0,125&amp;nbsp;мл;&lt;/li&gt;
&lt;li&gt;иммунотипа&amp;nbsp;3 — 0,125&amp;nbsp;мл;&lt;/li&gt;
&lt;li&gt;иммунотипа&amp;nbsp;4 — 0,125&amp;nbsp;мл;&lt;/li&gt;
&lt;li&gt;иммунотипа&amp;nbsp;5 — 0,125&amp;nbsp;мл;&lt;/li&gt;
&lt;li&gt;иммунотипа&amp;nbsp;6 — 0,125&amp;nbsp;мл;&lt;/li&gt;
&lt;li&gt;иммунотипа&amp;nbsp;7 — 0,125&amp;nbsp;мл;&lt;/li&gt;
&lt;li&gt;иммунотипа&amp;nbsp;3,7 — 0,125&amp;nbsp;мл.&lt;/li&gt;&lt;/ul&gt;
&lt;i&gt;Вспомогательные вещества:&lt;/i&gt; фенол — 2-4&amp;nbsp;мг.&lt;/p&gt;
&lt;p&gt;Вакцинные штаммы &lt;i&gt;Pseudomonas aeruginosa&lt;/i&gt; культивированы на искусственной питательной среде Дэвиса.&lt;/p&gt;</t>
  </si>
  <si>
    <t>https://grls.rosminzdrav.ru/InstrImg/2019/10/17/1448631/%D0%9B%D0%9F-001290[2017]_0.pdf</t>
  </si>
  <si>
    <r>
      <rPr>
        <rFont val="Arial"/>
        <i/>
        <color theme="1"/>
      </rPr>
      <t xml:space="preserve">Активные вещества:
</t>
    </r>
    <r>
      <rPr>
        <rFont val="Arial"/>
        <color theme="1"/>
      </rPr>
      <t xml:space="preserve">• анатоксин синегнойной палочки очищенный концентрированный — (30±3) мкг;
• стафилококковый анатоксин очищенный — (7±1) ЕС;
• протейный поливалентный антиген — (50±5) мкг;
• цитоплазматический антиген стафилококка (1,0±0,1) мг.
</t>
    </r>
    <r>
      <rPr>
        <rFont val="Arial"/>
        <i/>
        <color theme="1"/>
      </rPr>
      <t xml:space="preserve">Вспомогательные вещества:
</t>
    </r>
    <r>
      <rPr>
        <rFont val="Arial"/>
        <color theme="1"/>
      </rPr>
      <t>• сорбент гель алюминия гидроксида — (1,0+0,2) мг;
• формальдегид — не более 0,1 мг.</t>
    </r>
  </si>
  <si>
    <r>
      <rPr>
        <rFont val="Arial"/>
        <i/>
        <color theme="1"/>
      </rPr>
      <t xml:space="preserve">&lt;p&gt;&lt;i&gt;Активные вещества:&lt;/i&gt;
</t>
    </r>
    <r>
      <rPr>
        <rFont val="Arial"/>
        <color theme="1"/>
      </rPr>
      <t xml:space="preserve">&lt;ul&gt;&lt;li&gt;анатоксин синегнойной палочки очищенный концентрированный — (30±3)&amp;nbsp;мкг;&lt;/li&gt;
&lt;li&gt;стафилококковый анатоксин очищенный — (7±1)&amp;nbsp;ЕС;&lt;/li&gt;
&lt;li&gt;протейный поливалентный антиген — (50±5)&amp;nbsp;мкг;&lt;/li&gt;
&lt;li&gt;цитоплазматический антиген стафилококка (1,0±0,1)&amp;nbsp;мг.&lt;/li&gt;&lt;/ul&gt;
</t>
    </r>
    <r>
      <rPr>
        <rFont val="Arial"/>
        <i/>
        <color theme="1"/>
      </rPr>
      <t xml:space="preserve">&lt;i&gt;Вспомогательные вещества:&lt;/i&gt;
</t>
    </r>
    <r>
      <rPr>
        <rFont val="Arial"/>
        <color theme="1"/>
      </rPr>
      <t>&lt;ul&gt;&lt;li&gt;сорбент гель алюминия гидроксида — (1,0+0,2)&amp;nbsp;мг;&lt;/li&gt;
&lt;li&gt;формальдегид — не более 0,1&amp;nbsp;мг.&lt;/li&gt;&lt;/ul&gt;&lt;/p&gt;</t>
    </r>
  </si>
  <si>
    <t>https://grls.rosminzdrav.ru/InstrImg/2020/06/03/37799/c7a7977e-fea0-4451-80db-bfd751ccf3f6.pdf</t>
  </si>
  <si>
    <r>
      <rPr>
        <rFont val="Arial"/>
        <color theme="1"/>
      </rPr>
      <t xml:space="preserve">1 доза для детей (0,5 мл) содержит:
• Очищенный поверхностный антиген гепатита В (HBsAg)¹·² — 10 мкг
¹ Получен из дрожжевых клеток </t>
    </r>
    <r>
      <rPr>
        <rFont val="Arial"/>
        <i/>
        <color theme="1"/>
      </rPr>
      <t>Hansenula polymorpha</t>
    </r>
    <r>
      <rPr>
        <rFont val="Arial"/>
        <color theme="1"/>
      </rPr>
      <t xml:space="preserve"> (штамм К 3/8-1 ADW 001/4/7/96) по технологии рекомбинантной ДНК
² Адсорбированный на алюминия гидроксиде (0,25 мг — 0,40 мг Аl)
</t>
    </r>
    <r>
      <rPr>
        <rFont val="Arial"/>
        <i/>
        <color theme="1"/>
      </rPr>
      <t>Перечень вспомогательных веществ:</t>
    </r>
    <r>
      <rPr>
        <rFont val="Arial"/>
        <color theme="1"/>
      </rPr>
      <t xml:space="preserve">
• алюминия гидроксид;
• тиомерсал.</t>
    </r>
  </si>
  <si>
    <t>&lt;p&gt;1&amp;nbsp;доза для детей (0,5&amp;nbsp;мл) содержит:
&lt;ul&gt;&lt;li&gt;Очищенный поверхностный антиген гепатита В (HBsAg)¹&lt;sup&gt;,&lt;/sup&gt;² — 10&amp;nbsp;мкг&lt;/li&gt;&lt;/ul&gt;
¹&amp;nbsp;Получен из дрожжевых клеток &lt;i&gt;Hansenula polymorpha&lt;/i&gt; (штамм К 3/8-1 ADW 001/4/7/96) по технологии рекомбинантной ДНК&lt;br&gt;
²&amp;nbsp;Адсорбированный на алюминия гидроксиде (0,25&amp;nbsp; мг — 0,40&amp;nbsp;мг Аl)&lt;br&gt;&lt;br&gt;
&lt;i&gt;Перечень вспомогательных веществ:&lt;/i&gt;
&lt;ul&gt;&lt;li&gt;алюминия гидроксид;&lt;/li&gt;
&lt;li&gt;тиомерсал.&lt;/li&gt;&lt;/ul&gt;&lt;/p&gt;</t>
  </si>
  <si>
    <t>https://grls.rosminzdrav.ru/InstrImg/2025/12/30/1524963/862ae1b6-e8bc-417c-8173-0fa0ff6a6e52.pdf</t>
  </si>
  <si>
    <r>
      <rPr>
        <rFont val="Arial"/>
        <color theme="1"/>
      </rPr>
      <t xml:space="preserve">Состав на 1 дозу (0,2 мл — 4 капли): 
</t>
    </r>
    <r>
      <rPr>
        <rFont val="Arial"/>
        <i/>
        <color theme="1"/>
      </rPr>
      <t>Действующие вещества:</t>
    </r>
    <r>
      <rPr>
        <rFont val="Arial"/>
        <color theme="1"/>
      </rPr>
      <t xml:space="preserve">
• вирус полиомиелита,
аттенуированный штамм Сэбина 1 типа — не менее 10⁶·⁰ инфекционных единиц (ИЕ) вируса, выраженных в тканевых цитопатогенных дозах (ТЦД₅₀);
• вирус полиомиелита,
аттенуированный штамм Сэбина 2 типа — не менее 10⁵·⁰ инфекционных единиц (ИЕ) вируса, выраженных в тканевых цитопатогенных дозах (ТЦД₅₀);
• вирус полиомиелита,
аттенуированный штамм Сэбина 3 типа — не менее 10⁵·⁵ инфекционных единиц (ИЕ) вируса, выраженных в тканевых цитопатогенных дозах (ТЦД₅₀);
</t>
    </r>
    <r>
      <rPr>
        <rFont val="Arial"/>
        <i/>
        <color theme="1"/>
      </rPr>
      <t>Вспомогательные вещества:</t>
    </r>
    <r>
      <rPr>
        <rFont val="Arial"/>
        <color theme="1"/>
      </rPr>
      <t xml:space="preserve">
• магния хлорид — 0,018 г.</t>
    </r>
  </si>
  <si>
    <r>
      <rPr>
        <rFont val="Arial"/>
        <color theme="1"/>
      </rPr>
      <t xml:space="preserve">&lt;p&gt;Состав на 1&amp;nbsp;дозу (0,2&amp;nbsp;мл — 4&amp;nbsp;капли): &lt;br&gt;&lt;br&gt;
</t>
    </r>
    <r>
      <rPr>
        <rFont val="Arial"/>
        <i/>
        <color theme="1"/>
      </rPr>
      <t>&lt;i&gt;Действующие вещества:</t>
    </r>
    <r>
      <rPr>
        <rFont val="Arial"/>
        <color theme="1"/>
      </rPr>
      <t xml:space="preserve">&lt;/i&gt;
&lt;ul&gt;&lt;li&gt;вирус полиомиелита,&lt;br&gt;
аттенуированный штамм Сэбина 1&amp;nbsp;типа — не менее 10⁶&lt;sup&gt;,&lt;/sup&gt;⁰&amp;nbsp;инфекционных единиц (ИЕ) вируса, выраженных в тканевых цитопатогенных дозах (ТЦД₅₀);&lt;/li&gt;
&lt;li&gt;вирус полиомиелита,&lt;br&gt;
аттенуированный штамм Сэбина 2&amp;nbsp;типа — не менее 10⁵&lt;sup&gt;,&lt;/sup&gt;⁰&amp;nbsp;инфекционных единиц (ИЕ) вируса, выраженных в тканевых цитопатогенных дозах (ТЦД₅₀);&lt;/li&gt;
&lt;li&gt;вирус полиомиелита,&lt;br&gt;
аттенуированный штамм Сэбина 3&amp;nbsp;типа — не менее 10⁵&lt;sup&gt;,&lt;/sup&gt;⁵&amp;nbsp;инфекционных единиц (ИЕ) вируса, выраженных в тканевых цитопатогенных дозах (ТЦД₅₀);&lt;/li&gt;&lt;/ul&gt;
</t>
    </r>
    <r>
      <rPr>
        <rFont val="Arial"/>
        <i/>
        <color theme="1"/>
      </rPr>
      <t>&lt;i&gt;Вспомогательные вещества:</t>
    </r>
    <r>
      <rPr>
        <rFont val="Arial"/>
        <color theme="1"/>
      </rPr>
      <t>&lt;/i&gt;
&lt;ul&gt;&lt;li&gt;магния хлорид — 0,018&amp;nbsp;г.&lt;/li&gt;&lt;/ul&gt;&lt;/p&gt;</t>
    </r>
  </si>
  <si>
    <t>https://grls.rosminzdrav.ru/InstrImg/2024/01/23/1501030/43ed9d31-44e7-403a-a977-d714a002b9c6.pdf</t>
  </si>
  <si>
    <t>Прививочная доза препарата содержит от 1·10⁶ до 3·10⁷ ООЕ вируса вакцины.
Вспомогательные вещества наполнителя: лактоза — 87,8%; сахароза — 10,0%; стеарат кальция — 2,0%; ванилин — 0,2%.
В 1 таблетке массой от 0,2 до 1,0 г содержится: сухой вируссодержащий материал — не более 30%; наполнитель — не менее 70%.</t>
  </si>
  <si>
    <t>&lt;p&gt;Прививочная доза препарата содержит от 1·10⁶ до 3·10⁷&amp;nbsp;ООЕ вируса вакцины.&lt;br&gt;
Вспомогательные вещества наполнителя: лактоза — 87,8%; сахароза — 10,0%; стеарат кальция — 2,0%; ванилин — 0,2%.&lt;br&gt;
В 1&amp;nbsp;таблетке массой от 0,2 до 1,0&amp;nbsp;г содержится: сухой вируссодержащий материал — не более 30%; наполнитель — не менее 70%.&lt;/p&gt;</t>
  </si>
  <si>
    <t>https://grls.rosminzdrav.ru/InstrImg/2020/06/11/1206428/53252686-7415-4f30-bdba-632b434439f9.pdf</t>
  </si>
  <si>
    <t>Прививочная доза препарата содержит от 1·10⁶ до 3·10⁷ ООЕ вируса вакцины.
Вспомогательные вещества наполнителя: лактоза — 87,8%; сахароза — 10,0%; стеарат кальция — 2,0%; ванилин — 0,2%; оболочки: ацетилфталилцеллюлоза — 83%, касторовое масло — 17% или шеллак — 83%, олеиновая кислота — 17%.
В 1 таблетке массой от 0,2 до 1,0 г содержится: сухой вируссодержащий материал — не более 30%; наполнитель — не менее 70%.</t>
  </si>
  <si>
    <t>&lt;p&gt;Прививочная доза препарата содержит от 1·10⁶ до 3·10⁷ ООЕ вируса вакцины.&lt;br&gt;
Вспомогательные вещества наполнителя: лактоза — 87,8%; сахароза — 10,0%; стеарат кальция — 2,0%; ванилин — 0,2%; оболочки: ацетилфталилцеллюлоза — 83%, касторовое масло — 17% или шеллак — 83%, олеиновая кислота — 17%.&lt;br&gt;
В 1&amp;nbsp;таблетке массой от 0,2 до 1,0&amp;nbsp;г содержится: сухой вируссодержащий материал — не более 30%; наполнитель — не менее 70%.&lt;/p&gt;</t>
  </si>
  <si>
    <t>https://grls.rosminzdrav.ru/InstrImg/2019/06/30/739/1fca1237-4a6a-4bdd-b176-7ef01c56c1bf.pdf</t>
  </si>
  <si>
    <r>
      <rPr>
        <rFont val="Arial"/>
        <b/>
        <color theme="1"/>
      </rPr>
      <t>Препарат</t>
    </r>
    <r>
      <rPr>
        <rFont val="Arial"/>
        <color theme="1"/>
      </rPr>
      <t xml:space="preserve">
</t>
    </r>
    <r>
      <rPr>
        <rFont val="Arial"/>
        <i/>
        <color theme="1"/>
      </rPr>
      <t>Действующее вещество:</t>
    </r>
    <r>
      <rPr>
        <rFont val="Arial"/>
        <color theme="1"/>
      </rPr>
      <t xml:space="preserve"> Один флакон Уро-БЦЖ медак содержит не менее 2х10⁸ и не более 8х10⁸ жизнеспособных клеток БЦЖ (</t>
    </r>
    <r>
      <rPr>
        <rFont val="Arial"/>
        <i/>
        <color theme="1"/>
      </rPr>
      <t>Micobacterium bovis</t>
    </r>
    <r>
      <rPr>
        <rFont val="Arial"/>
        <color theme="1"/>
      </rPr>
      <t xml:space="preserve">, штамм RIVM).
</t>
    </r>
    <r>
      <rPr>
        <rFont val="Arial"/>
        <i/>
        <color theme="1"/>
      </rPr>
      <t>Вспомогательные вещества:</t>
    </r>
    <r>
      <rPr>
        <rFont val="Arial"/>
        <color theme="1"/>
      </rPr>
      <t xml:space="preserve"> полигелин (Polygeline) — 250 мг, глюкоза безводная — 1080 мг, полисорбат-80 — 0,5 мг.
</t>
    </r>
    <r>
      <rPr>
        <rFont val="Arial"/>
        <b/>
        <color theme="1"/>
      </rPr>
      <t>Растворитель:</t>
    </r>
    <r>
      <rPr>
        <rFont val="Arial"/>
        <color theme="1"/>
      </rPr>
      <t xml:space="preserve"> 0,9% раствор натрия хлорида 50 мл.</t>
    </r>
  </si>
  <si>
    <t>&lt;p&gt;&lt;b&gt;Препарат&lt;/b&gt;&lt;br&gt;
&lt;i&gt;Действующее вещество:&lt;/i&gt; Один флакон Уро-БЦЖ медак содержит не менее 2х10⁸ и не более 8х10⁸ жизнеспособных клеток БЦЖ (Micobacterium bovis, штамм RIVM).&lt;br&gt;
&lt;i&gt;Вспомогательные вещества:&lt;/i&gt; полигелин (Polygeline) — 250&amp;nbsp;мг, глюкоза безводная — 1080&amp;nbsp;мг, полисорбат-80 — 0,5&amp;nbsp;мг.&lt;br&gt;
&lt;b&gt;Растворитель:&lt;/b&gt; 0,9% раствор натрия хлорида 50&amp;nbsp;мл.&lt;/p&gt;</t>
  </si>
  <si>
    <t>https://grls.rosminzdrav.ru/InstrImg/2020/06/01/1422432/8314c8e6-25f4-4bd2-97f0-1a3b881e7dcb.pdf</t>
  </si>
  <si>
    <t>В 1 дозе (0,5 мл) содержится: (10±1) мкг гемагглютинина вируса гриппа серотипа А (H₁N₁), (10±1) мкг гемагглютинина вируса гриппа серотипа А (H₃N₂) и (13±1) мкг гемагглютинина вируса гриппа типа В. Стабилизатор — альбумин раствор для инфузий 10 и 20%. Консервант — тиомерсал (мертиолят) — (50±7,5) мкг. Не содержит антибиотиков.
Антигенный состав вакцины изменяется каждый год в соответствии с эпидемической ситуацией, рекомендациями ВОЗ и Комиссией по гриппозным вакцинным и диагностическим штаммам.</t>
  </si>
  <si>
    <t>&lt;p&gt;В 1&amp;nbsp;дозе (0,5&amp;nbsp;мл) содержится: (10±1)&amp;nbsp;мкг гемагглютинина вируса гриппа серотипа А (H₁N₁), (10±1)&amp;nbsp;мкг гемагглютинина вируса гриппа серотипа А (H₃N₂) и (13±1)&amp;nbsp;мкг гемагглютинина вируса гриппа типа В. Стабилизатор — альбумин раствор для инфузий 10 и 20%. Консервант — тиомерсал (мертиолят) — (50±7,5)&amp;nbsp;мкг. Не содержит антибиотиков.&lt;br&gt;&lt;br&gt;
Антигенный состав вакцины изменяется каждый год в соответствии с эпидемической ситуацией, рекомендациями ВОЗ и Комиссией по гриппозным вакцинным и диагностическим штаммам.&lt;/p&gt;</t>
  </si>
  <si>
    <t>https://grls.rosminzdrav.ru/InstrImg/2020/05/28/37407/eca15fe8-8706-4bd3-9148-1f54c5ab52ed.pdf</t>
  </si>
  <si>
    <t>Одна иммунизирующая доза (0,5 мл) содержит 5 мкг гемагглютинина пандемически актуального штамма вируса гриппа типа A (H₁N₁) производства «Эбботт Биолоджикалз Б.В.», Нидерланды и 500 мкг иммуноадъюванта Полиоксидоний® в фосфатно-солевом буферном растворе.</t>
  </si>
  <si>
    <t>&lt;p&gt;Одна иммунизирующая доза (0,5&amp;nbsp;мл) содержит 5&amp;nbsp;мкг гемагглютинина пандемически актуального штамма вируса гриппа типа A (H₁N₁) производства «Эбботт Биолоджикалз Б.В.», Нидерланды и 500&amp;nbsp;мкг иммуноадъюванта Полиоксидоний® в фосфатно-солевом буферном растворе.&lt;/p&gt;</t>
  </si>
  <si>
    <t>https://grls.rosminzdrav.ru/InstrImg/2020/11/20/1414272/ad633910-6fd8-473c-8c81-dc945f343f42.pdf</t>
  </si>
  <si>
    <t>https://grls.rosminzdrav.ru/InstrImg/2020/11/25/146561/ca0de68f-feec-4e52-b6e6-210c5d91c6af.pdf</t>
  </si>
  <si>
    <t>Одна иммунизирующая доза (0,5 мл) содержит 5 мкг гемагглютинина пандемически актуального штамма вируса гриппа типа A (H₁N₁) производства ФГУП «Санкт-Петербургский научно-исследовательский институт вакцин и сывороток и предприятие по производству бактерийных препаратов» ФМБА, Россия и 500 мкг иммуноадъюванта Полиоксидоний® в фосфатно-солевом буферном растворе. Консервант — мертиолят 50 мкг.</t>
  </si>
  <si>
    <t>&lt;p&gt;Одна иммунизирующая доза (0,5&amp;nbsp;мл) содержит 5&amp;nbsp;мкг гемагглютинина пандемически актуального штамма вируса гриппа типа A (H₁N₁) производства ФГУП «Санкт-Петербургский научно-исследовательский институт вакцин и сывороток и предприятие по производству бактерийных препаратов» ФМБА, Россия и 500&amp;nbsp;мкг иммуноадъюванта Полиоксидоний® в фосфатно-солевом буферном растворе. Консервант — мертиолят 50&amp;nbsp;мкг.&lt;/p&gt;</t>
  </si>
  <si>
    <t>https://grls.rosminzdrav.ru/InstrImg/2020/11/23/146563/3780d7de-b3a2-42ee-b652-ae7a04722a90.pdf</t>
  </si>
  <si>
    <t>1 доза (0,5 мл) содержит:
Действующее вещество:
Вакцинный штамм вируса гриппа подтипа A(H₁N₁)¹·² — не менее 10⁷·⁰ ЭИД₅₀.
Вспомогательные вещества:
Стабилизатор М-2³. Не содержит консервантов и антибиотиков.
Примечание. 
1. Антигенный состав штамма меняется в соответствии с рекомендациями ВОЗ.
2. Получен из вируссодержащей аллантоисной жидкости куриных эмбрионов.
3. Состав стабилизатора М-2: сахароза — 15 мг, лактозы моногидрат — 6 мг, глицин — 3 мг, натрия глутамата моногидрат — 3 мг, трометамол — 0,3 мг, натрия хлорид — 0,3 мг, желатин — 3 мг.</t>
  </si>
  <si>
    <r>
      <rPr>
        <rFont val="Arial"/>
        <color theme="1"/>
      </rPr>
      <t xml:space="preserve">&lt;p&gt;1&amp;nbsp;доза (0,5&amp;nbsp;мл) содержит:&lt;br&gt;&lt;br&gt;
</t>
    </r>
    <r>
      <rPr>
        <rFont val="Arial"/>
        <i/>
        <color theme="1"/>
      </rPr>
      <t>&lt;i&gt;Действующее вещество:</t>
    </r>
    <r>
      <rPr>
        <rFont val="Arial"/>
        <color theme="1"/>
      </rPr>
      <t xml:space="preserve">&lt;/i&gt;&lt;br&gt;
Вакцинный штамм вируса гриппа подтипа A(H₁N₁)¹&lt;sup&gt;,&lt;/sup&gt;² — не менее 10⁷&lt;sup&gt;,&lt;/sup&gt;⁰&amp;nbsp;ЭИД₅₀.&lt;br&gt;&lt;br&gt;
</t>
    </r>
    <r>
      <rPr>
        <rFont val="Arial"/>
        <i/>
        <color theme="1"/>
      </rPr>
      <t>&lt;i&gt;Вспомогательные вещества:</t>
    </r>
    <r>
      <rPr>
        <rFont val="Arial"/>
        <color theme="1"/>
      </rPr>
      <t>&lt;/i&gt;&lt;br&gt;
Стабилизатор М-2³. Не содержит консервантов и антибиотиков.&lt;/p&gt;
&lt;p&gt;Примечание.&lt;br&gt;
1.&amp;nbsp;Антигенный состав штамма меняется в соответствии с рекомендациями ВОЗ.&lt;br&gt;
2.&amp;nbsp;Получен из вируссодержащей аллантоисной жидкости куриных эмбрионов.
3.&amp;nbsp;Состав стабилизатора М-2: сахароза — 15&amp;nbsp;мг, лактозы моногидрат — 6&amp;nbsp;мг, глицин — 3&amp;nbsp;мг, натрия глутамата моногидрат — 3&amp;nbsp;мг, трометамол — 0,3&amp;nbsp;мг, натрия хлорид — 0,3&amp;nbsp;мг, желатин — 3&amp;nbsp;мг.&lt;/p&gt;</t>
    </r>
  </si>
  <si>
    <t>https://grls.rosminzdrav.ru/InstrImg/2025/02/28/1514525/002c6594-b19d-4b5a-a79c-60853ca8612c.pdf</t>
  </si>
  <si>
    <r>
      <rPr>
        <rFont val="Arial"/>
        <color theme="1"/>
      </rPr>
      <t xml:space="preserve">1 доза (0,5 мл) содержит:
</t>
    </r>
    <r>
      <rPr>
        <rFont val="Arial"/>
        <i/>
        <color theme="1"/>
      </rPr>
      <t>Действующее вещество:</t>
    </r>
    <r>
      <rPr>
        <rFont val="Arial"/>
        <color theme="1"/>
      </rPr>
      <t xml:space="preserve">
• гемагглютинин вируса гриппа типа А(H₁N₁v)¹ — (15,0±2,2) мкг.
Антигенный состав штамма меняется в соответствии с рекомендациями ВОЗ.
Вспомогательные вещества, наличие которых надо учитывать в составе лекарственного препарата: консервант (тиомерсал) — (50,0±7,5) мкг, натрий и калий.
¹ Адсорбированный на алюминия гидроксиде — (0,475±0,075) мг.
Препарат получен с использованием клеток куриных эмбрионов и может содержать следы яиц (белки куриного яйца, в том числе овальбумин, не более 0,1 мкг/мл).
</t>
    </r>
    <r>
      <rPr>
        <rFont val="Arial"/>
        <i/>
        <color theme="1"/>
      </rPr>
      <t>Перечень вспомогательных веществ:</t>
    </r>
    <r>
      <rPr>
        <rFont val="Arial"/>
        <color theme="1"/>
      </rPr>
      <t xml:space="preserve">
Тиомерсал, фосфатно-солевой буферный раствор (ФБР): натрия хлорид, натрия гидрофосфат, калия дигидрофосфат, тиомерсал, вода для инъекций.</t>
    </r>
  </si>
  <si>
    <r>
      <rPr>
        <rFont val="Arial"/>
        <color theme="1"/>
      </rPr>
      <t xml:space="preserve">&lt;p&gt;1&amp;nbsp;доза (0,5&amp;nbsp;мл) содержит:&lt;br&gt;&lt;br&gt;
</t>
    </r>
    <r>
      <rPr>
        <rFont val="Arial"/>
        <i/>
        <color theme="1"/>
      </rPr>
      <t>&lt;i&gt;Действующее вещество:</t>
    </r>
    <r>
      <rPr>
        <rFont val="Arial"/>
        <color theme="1"/>
      </rPr>
      <t>&lt;/i&gt;
&lt;ul&gt;&lt;li&gt;гемагглютинин вируса гриппа типа А(H₁N₁v)¹ — (15,0±2,2)&amp;nbsp;мкг.&lt;/li&gt;&lt;/ul&gt;
Антигенный состав штамма меняется в соответствии с рекомендациями ВОЗ.&lt;br&gt;
Вспомогательные вещества, наличие которых надо учитывать в составе лекарственного препарата: консервант (тиомерсал) — (50,0±7,5)&amp;nbsp;мкг, натрий и калий.&lt;br&gt;&lt;br&gt;
¹&amp;nbsp;Адсорбированный на алюминия гидроксиде — (0,475±0,075)&amp;nbsp;мг.&lt;br&gt;&lt;br&gt;
Препарат получен с использованием клеток куриных эмбрионов и может содержать следы яиц (белки куриного яйца, в том числе овальбумин, не более 0,1&amp;nbsp;мкг/мл).&lt;br&gt;&lt;br&gt;
&lt;i&gt;Перечень вспомогательных веществ:&lt;/i&gt;&lt;br&gt;
Тиомерсал, фосфатно-солевой буферный раствор (ФБР): натрия хлорид, натрия гидрофосфат, калия дигидрофосфат, тиомерсал, вода для инъекций.&lt;/p&gt;</t>
    </r>
  </si>
  <si>
    <t>https://grls.rosminzdrav.ru/InstrImg/2025/03/27/1515398/ec0df501-9186-4e20-ae68-c07f28302f7b.pdf</t>
  </si>
  <si>
    <t>Одна иммунизирующая доза (0,5 мл) содержит по 5 мкг гемагглютинина эпидемически актуальных штаммов вируса гриппа подтипов A (H₁N₁ и H₃N₂) и типа B производства «Эбботт Биолоджикалз Б.В.», Нидерланды и 500 мкг иммуноадъюванта Полиоксидоний® в фосфатно-солевом буфере.</t>
  </si>
  <si>
    <t>&lt;p&gt;Одна иммунизирующая доза (0,5&amp;nbsp;мл) содержит по 5&amp;nbsp;мкг гемагглютинина эпидемически актуальных штаммов вируса гриппа подтипов A (H₁N₁ и H₃N₂) и типа B производства «Эбботт Биолоджикалз Б.В.», Нидерланды и 500&amp;nbsp;мкг иммуноадъюванта Полиоксидоний® в фосфатно-солевом буфере.&lt;/p&gt;</t>
  </si>
  <si>
    <t>https://grls.rosminzdrav.ru/InstrImg/2020/11/25/140879/fd8765bc-811d-4fc0-8599-fd0eeb9dd8aa.pdf</t>
  </si>
  <si>
    <r>
      <rPr>
        <rFont val="Arial"/>
        <color theme="1"/>
      </rPr>
      <t xml:space="preserve">Одна прививочная доза (0,5 мл) содержит:
</t>
    </r>
    <r>
      <rPr>
        <rFont val="Arial"/>
        <i/>
        <color theme="1"/>
      </rPr>
      <t>Действующие вещества:</t>
    </r>
    <r>
      <rPr>
        <rFont val="Arial"/>
        <color theme="1"/>
      </rPr>
      <t xml:space="preserve">
• реассортантный вирус гриппа подтипа А/H₁N₁/* — не менее 10⁶·⁹ ЭИД₅₀;
• реассортантный вирус гриппа подтипа A/H₃N₂/* — не менее 10⁶·⁹ ЭИД₅₀;
• реассортантный вирус гриппа типа В* — не менее 10⁶·⁴ ЭИД₅₀.
* получен из вируссодержащей аллантоисной жидкости куриных эмбрионов.
</t>
    </r>
    <r>
      <rPr>
        <rFont val="Arial"/>
        <i/>
        <color theme="1"/>
      </rPr>
      <t>Перечень вспомогательных веществ:</t>
    </r>
    <r>
      <rPr>
        <rFont val="Arial"/>
        <color theme="1"/>
      </rPr>
      <t xml:space="preserve">
Стабилизатор М-2: сахароза, лактозы моногидрат, глицин, натрия глутамата моногидрат, трометамол, натрия хлорид, желатин.</t>
    </r>
  </si>
  <si>
    <t>&lt;p&gt;Одна прививочная доза (0,5&amp;nbsp;мл) содержит:&lt;br&gt;&lt;br&gt;
&lt;i&gt;Действующие вещества:&lt;/i&gt;
&lt;ul&gt;&lt;li&gt;реассортантный вирус гриппа подтипа А/H₁N₁/* — не менее 10⁶&lt;sup&gt;,&lt;/sup&gt;⁹&amp;nbsp;ЭИД₅₀;&lt;/li&gt;
&lt;li&gt;реассортантный вирус гриппа подтипа A/H₃N₂/* — не менее 10⁶&lt;sup&gt;,&lt;/sup&gt;⁹&amp;nbsp;ЭИД₅₀;&lt;/li&gt;
&lt;li&gt;реассортантный вирус гриппа типа В* — не менее 10⁶&lt;sup&gt;,&lt;/sup&gt;⁴&amp;nbsp;ЭИД₅₀.&lt;/li&gt;&lt;/ul&gt;
*&amp;nbspполучен из вируссодержащей аллантоисной жидкости куриных эмбрионов.&lt;br&gt;&lt;br&gt;
&lt;i&gt;Перечень вспомогательных веществ:&lt;/i&gt;&lt;br&gt;
Стабилизатор М-2: сахароза, лактозы моногидрат, глицин, натрия глутамата моногидрат, трометамол, натрия хлорид, желатин.&lt;/p&gt;</t>
  </si>
  <si>
    <t>https://lk.regmed.ru/Register/GetPDFfromDA?ID=1634791611</t>
  </si>
  <si>
    <r>
      <rPr>
        <rFont val="Arial"/>
        <color theme="1"/>
      </rPr>
      <t xml:space="preserve">1 доза препарата содержит:
</t>
    </r>
    <r>
      <rPr>
        <rFont val="Arial"/>
        <i/>
        <color theme="1"/>
      </rPr>
      <t>Действующие вещества:</t>
    </r>
    <r>
      <rPr>
        <rFont val="Arial"/>
        <color theme="1"/>
      </rPr>
      <t xml:space="preserve">
• антиген вируса простого герпеса типа 1 (штамм «УС») — не менее 10⁵ ТЦД₅₀;
• антиген вируса простого герпеса типа 2 (штамм «ВН») — не менее 10⁴ ТЦД₅₀.
</t>
    </r>
    <r>
      <rPr>
        <rFont val="Arial"/>
        <i/>
        <color theme="1"/>
      </rPr>
      <t>Вспомогательные вещества:</t>
    </r>
    <r>
      <rPr>
        <rFont val="Arial"/>
        <color theme="1"/>
      </rPr>
      <t xml:space="preserve">
• формальдегид — не более 40,0 мкг;
• гентамицина сульфат не более — 8,0 мкг;
• сахароза — 15,0 мг;
• желатин — 2,5 мг;
• натрия хлорид — 0,2 мг.</t>
    </r>
  </si>
  <si>
    <r>
      <rPr>
        <rFont val="Arial"/>
        <color theme="1"/>
      </rPr>
      <t xml:space="preserve">&lt;p&gt;1&amp;nbsp;доза препарата содержит:&lt;br&gt;&lt;br&gt;
</t>
    </r>
    <r>
      <rPr>
        <rFont val="Arial"/>
        <i/>
        <color theme="1"/>
      </rPr>
      <t>&lt;i&gt;Действующие вещества:</t>
    </r>
    <r>
      <rPr>
        <rFont val="Arial"/>
        <color theme="1"/>
      </rPr>
      <t xml:space="preserve">&lt;/i&gt;
&lt;ul&gt;&lt;li&gt;антиген вируса простого герпеса типа&amp;nbsp;1 (штамм «УС») — не менее 10⁵&amp;nbsp;ТЦД₅₀;&lt;/li&gt;
&lt;li&gt;антиген вируса простого герпеса типа&amp;nbsp;2 (штамм «ВН») — не менее 10⁴&amp;nbsp;ТЦД₅₀.&lt;/li&gt;&lt;/ul&gt;
</t>
    </r>
    <r>
      <rPr>
        <rFont val="Arial"/>
        <i/>
        <color theme="1"/>
      </rPr>
      <t>&lt;i&gt;Вспомогательные вещества:</t>
    </r>
    <r>
      <rPr>
        <rFont val="Arial"/>
        <color theme="1"/>
      </rPr>
      <t>&lt;/i&gt;
&lt;ul&gt;&lt;li&gt;формальдегид — не более 40,0&amp;nbsp;мкг;&lt;/li&gt;
&lt;li&gt;гентамицина сульфат не более — 8,0&amp;nbsp;мкг;&lt;/li&gt;
&lt;li&gt;сахароза — 15,0&amp;nbsp;мг;&lt;/li&gt;
&lt;li&gt;желатин — 2,5&amp;nbsp;мг;&lt;/li&gt;
&lt;li&gt;натрия хлорид — 0,2&amp;nbsp;мг.&lt;/li&gt;&lt;/ul&gt;&lt;/p&gt;</t>
    </r>
  </si>
  <si>
    <t>https://grls.rosminzdrav.ru/InstrImg/2020/06/18/1452053/3993efd1-cdd7-4127-88ae-330ac7a6d1c1.pdf</t>
  </si>
  <si>
    <r>
      <rPr>
        <rFont val="Arial"/>
        <color theme="1"/>
      </rPr>
      <t xml:space="preserve">Одна прививочная доза (0,5 мл) содержит:
</t>
    </r>
    <r>
      <rPr>
        <rFont val="Arial"/>
        <i/>
        <color theme="1"/>
      </rPr>
      <t>Действующее вещество:</t>
    </r>
    <r>
      <rPr>
        <rFont val="Arial"/>
        <color theme="1"/>
      </rPr>
      <t xml:space="preserve">
• Вакцинный штамм вируса гриппа птиц типа А H5N1/turkey/Turkey/1/2005 (H5N1) — like strain, полученный из вируссодержащей аллантоисной жидкости куриных эмбрионов не менее 10⁷·⁰ ЭИД₅₀/доза.
Штаммовый состав меняется в соответствии с рекомендациями ВОЗ.
</t>
    </r>
    <r>
      <rPr>
        <rFont val="Arial"/>
        <i/>
        <color theme="1"/>
      </rPr>
      <t>Перечень вспомогательных веществ:</t>
    </r>
    <r>
      <rPr>
        <rFont val="Arial"/>
        <color theme="1"/>
      </rPr>
      <t xml:space="preserve">
• Стабилизатор М-2: сахароза, лактозы моногидрат, глицин, натрия глутамата моногидрат, трометамол, натрия хлорид, желатин.</t>
    </r>
  </si>
  <si>
    <r>
      <rPr>
        <rFont val="Arial"/>
        <color theme="1"/>
      </rPr>
      <t xml:space="preserve">&lt;p&gt;Одна прививочная доза (0,5&amp;nbsp;мл) содержит:&lt;br&gt;&lt;br&gt;
</t>
    </r>
    <r>
      <rPr>
        <rFont val="Arial"/>
        <i/>
        <color theme="1"/>
      </rPr>
      <t>&lt;i&gt;Действующее вещество:</t>
    </r>
    <r>
      <rPr>
        <rFont val="Arial"/>
        <color theme="1"/>
      </rPr>
      <t xml:space="preserve">&lt;/i&gt;
&lt;ul&gt;&lt;li&gt;Вакцинный штамм вируса гриппа птиц типа А H5N1/turkey/Turkey/1/2005 (H5N1) — like strain, полученный из вируссодержащей аллантоисной жидкости куриных эмбрионов не менее 10⁷&lt;sup&gt;,&lt;/sup&gt;⁰&amp;nbsp;ЭИД₅₀/доза.&lt;/li&gt;
Штаммовый состав меняется в соответствии с рекомендациями ВОЗ.&lt;/ul&gt;
</t>
    </r>
    <r>
      <rPr>
        <rFont val="Arial"/>
        <i/>
        <color theme="1"/>
      </rPr>
      <t>&lt;i&gt;Перечень вспомогательных веществ:&lt;/i&gt;</t>
    </r>
    <r>
      <rPr>
        <rFont val="Arial"/>
        <color theme="1"/>
      </rPr>
      <t xml:space="preserve">
&lt;ul&gt;&lt;li&gt;Стабилизатор М-2: сахароза, лактозы моногидрат, глицин, натрия глутамата моногидрат, трометамол, натрия хлорид, желатин.&lt;/li&gt;&lt;/ul&gt;&lt;/p&gt;</t>
    </r>
  </si>
  <si>
    <t>https://grls.rosminzdrav.ru/InstrImg/2025/06/02/1517810/7b7b0a6f-2d36-481e-a964-4e8d04031cd7.pdf</t>
  </si>
  <si>
    <r>
      <rPr>
        <rFont val="Arial"/>
        <color theme="1"/>
      </rPr>
      <t xml:space="preserve">Одна прививочная доза (0,5 мл) содержит:
</t>
    </r>
    <r>
      <rPr>
        <rFont val="Arial"/>
        <i/>
        <color theme="1"/>
      </rPr>
      <t>Действующие вещества:</t>
    </r>
    <r>
      <rPr>
        <rFont val="Arial"/>
        <color theme="1"/>
      </rPr>
      <t xml:space="preserve">
• гемагглютинин вируса гриппа птиц типа А серотипа H₅N₁ — (15±2,2) мкг,
адсорбированный на алюминия гидроксиде — (0,475±0,075) мг.
</t>
    </r>
    <r>
      <rPr>
        <rFont val="Arial"/>
        <i/>
        <color theme="1"/>
      </rPr>
      <t>Перечень вспомогательных веществ:</t>
    </r>
    <r>
      <rPr>
        <rFont val="Arial"/>
        <color theme="1"/>
      </rPr>
      <t xml:space="preserve">
• Алюминия гидроксид.
• Консервант — тиомерсал (мертиолят).</t>
    </r>
  </si>
  <si>
    <t>&lt;p&gt;Одна прививочная доза (0,5&amp;nbsp;мл) содержит:&lt;br&gt;&lt;br&gt;
&lt;i&gt;Действующие вещества:&lt;/i&gt;
&lt;ul&gt;&lt;li&gt;гемагглютинин вируса гриппа птиц типа&amp;nbsp;А серотипа&amp;nbsp;H₅N₁ — (15±2,2)&amp;nbsp;мкг,&lt;/li&gt;
адсорбированный на алюминия гидроксиде — (0,475±0,075)&amp;nbsp;мг.&lt;/ul&gt;
&lt;i&gt;Перечень вспомогательных веществ:&lt;/i&gt;
&lt;ul&gt;&lt;li&gt;Алюминия гидроксид.&lt;/li&gt;
&lt;li&gt;Консервант — тиомерсал (мертиолят).&lt;/li&gt;&lt;/ul&gt;&lt;/p&gt;</t>
  </si>
  <si>
    <t>https://grls.rosminzdrav.ru/InstrImg/2025/03/25/1515266/f7896710-fb4c-49f0-9e20-d6272771ab13.pdf</t>
  </si>
  <si>
    <t>Одна доза вакцины (0,5 мл) содержит:
• вирус краснухи, штамм RA 27/3 — не менее 1000 ТЦД₅₀/0.5 мл;
• вспомогательные вещества: сорбитол, желатин, L-аргинина хлорид, мальтоза, натрия хлорид, лактальбумина гидролизат, L-аланин, не более 25 мкг неомицина сульфата.</t>
  </si>
  <si>
    <t>&lt;p&gt;Одна доза вакцины (0,5&amp;nbsp;мл) содержит:
&lt;ul&gt;&lt;li&gt;вирус краснухи, штамм RA 27/3 — не менее 1000&amp;nbsp;ТЦД₅₀/0.5&amp;nbsp;мл;&lt;/li&gt;
&lt;li&gt;вспомогательные вещества: сорбитол, желатин, L-аргинина хлорид, мальтоза, натрия хлорид, лактальбумина гидролизат, L-аланин, не более 25&amp;nbsp;мкг неомицина сульфата.&lt;/li&gt;&lt;/ul&gt;&lt;/p&gt;</t>
  </si>
  <si>
    <t>https://grls.rosminzdrav.ru/InstrImg/2019/6/10/1440397/%D0%9F_N014879_01-2003[2003]_0.pdf</t>
  </si>
  <si>
    <t>В 1 дозе (1,0 мл) содержится:
Действующие вещества:
• Анатоксин ботулинический типа А¹ — 5 единиц связывания (ЕС);
• Анатоксин ботулинический типа В¹ — 3 единицы связывания (ЕС);
• Анатоксин ботулинический типа Е¹ — 3 единицы связывания (ЕС);
• Анатоксин столбнячный¹ — 2,5 единиц связывания (ЕС).
Вспомогательные вещества, наличие которых надо учитывать в составе лекарственного препарата: тиомерсал.
Содержит формальдегид — не более 100 мкг.
¹ Адсорбированный на алюминия гидроксиде (в пересчете на алюминий Al³⁺) — не более 1,2 мг.</t>
  </si>
  <si>
    <t>&lt;p&gt;В 1&amp;nbsp;дозе (1,0&amp;nbsp;мл) содержится:&lt;br&gt;&lt;br&gt;
&lt;i&gt;Действующие вещества:&lt;/i&gt;
&lt;ul&gt;&lt;li&gt;Анатоксин ботулинический типа&amp;nbsp;А¹ — 5&amp;nbsp;единиц связывания (ЕС);&lt;/li&gt;
&lt;li&gt;Анатоксин ботулинический типа&amp;nbsp;В¹ — 3&amp;nbsp;единицы связывания (ЕС);&lt;/li&gt;
&lt;li&gt;Анатоксин ботулинический типа&amp;nbsp;Е¹ — 3&amp;nbsp;единицы связывания (ЕС);&lt;/li&gt;
&lt;li&gt;Анатоксин столбнячный¹ — 2,5&amp;nbsp;единиц связывания (ЕС).&lt;/li&gt;&lt;/ul&gt;
&lt;i&gt;Вспомогательные вещества&lt;/i&gt;, наличие которых надо учитывать в составе лекарственного препарата: тиомерсал.&lt;br&gt;
Содержит формальдегид — не более 100&amp;nbsp;мкг.&lt;br&gt;&lt;br&gt;
¹&amp;nbsp;Адсорбированный на алюминия гидроксиде (в пересчете на алюминий Al³⁺) — не более 1,2&amp;nbsp;мг.&lt;/p&gt;</t>
  </si>
  <si>
    <t>https://lk.regmed.ru/Register/GetPDFfromDA?ID=1621040001</t>
  </si>
  <si>
    <r>
      <rPr>
        <rFont val="Arial"/>
        <color theme="1"/>
      </rPr>
      <t xml:space="preserve">Каждый мл суспензии содержит 10 ЕС Анатоксина стафилококкового очищенного.
</t>
    </r>
    <r>
      <rPr>
        <rFont val="Arial"/>
        <i/>
        <color theme="1"/>
      </rPr>
      <t>Перечень вспомогательных веществ:</t>
    </r>
    <r>
      <rPr>
        <rFont val="Arial"/>
        <color theme="1"/>
      </rPr>
      <t xml:space="preserve">
• Алюминия гидроксид;
• Тиомерсал;
• Формальдегид;
• Натрия хлорид;
• Вода для инъекций.</t>
    </r>
  </si>
  <si>
    <t>&lt;p&gt;Каждый мл суспензии содержит 10&amp;nbsp;ЕС Анатоксина стафилококкового очищенного.&lt;br&gt;&lt;br&gt;
&lt;i&gt;Перечень вспомогательных веществ:&lt;/i&gt;
&lt;ul&gt;&lt;li&gt;Алюминия гидроксид;&lt;/li&gt;
&lt;li&gt;Тиомерсал;&lt;/li&gt;
&lt;li&gt;Формальдегид;&lt;/li&gt;
&lt;li&gt;Натрия хлорид;&lt;/li&gt;
&lt;li&gt;Вода для инъекций.&lt;/li&gt;&lt;/ul&gt;&lt;/p&gt;</t>
  </si>
  <si>
    <t>https://grls.rosminzdrav.ru/InstrImg/2025/06/20/1518413/41c4a162-9126-495b-93df-fc2894a8a11f.pdf</t>
  </si>
  <si>
    <r>
      <rPr>
        <rFont val="Arial"/>
        <color theme="1"/>
      </rPr>
      <t xml:space="preserve">Каждый мл раствора содержит 10—14 ЕС Анатоксина стафилококкового.
</t>
    </r>
    <r>
      <rPr>
        <rFont val="Arial"/>
        <i/>
        <color theme="1"/>
      </rPr>
      <t>Перечень вспомогательных веществ:</t>
    </r>
    <r>
      <rPr>
        <rFont val="Arial"/>
        <color theme="1"/>
      </rPr>
      <t xml:space="preserve">
• Натрия хлорид;
• Вода для инъекций.</t>
    </r>
  </si>
  <si>
    <t>&lt;p&gt;Каждый мл раствора содержит 10—14&amp;nbsp;ЕС Анатоксина стафилококкового.&lt;br&gt;&lt;br&gt;
&lt;i&gt;Перечень вспомогательных веществ:&lt;/i&gt;
&lt;ul&gt;&lt;li&gt;Натрия хлорид;&lt;/li&gt;
&lt;li&gt;Вода для инъекций.&lt;/li&gt;&lt;/ul&gt;&lt;/p&gt;</t>
  </si>
  <si>
    <t>https://grls.rosminzdrav.ru/InstrImg/2025/06/16/1518163/105870c5-93ab-426a-9043-b14a77b3a9e1.pdf</t>
  </si>
  <si>
    <r>
      <rPr>
        <rFont val="Arial"/>
        <i/>
        <color theme="1"/>
      </rPr>
      <t>Действующее вещество:</t>
    </r>
    <r>
      <rPr>
        <rFont val="Arial"/>
        <color theme="1"/>
      </rPr>
      <t xml:space="preserve">
В каждом флаконе содержится:
• 25 мг микробных клеток БЦЖ (не менее 2х10⁸ и не более 3,75х10⁸ жизнеспособных клеток БЦЖ);
• 50 мг микробных клеток БЦЖ (не менее 4х10⁸ и не более 7,5х10⁸ жизнеспособных клеток БЦЖ).
</t>
    </r>
    <r>
      <rPr>
        <rFont val="Arial"/>
        <i/>
        <color theme="1"/>
      </rPr>
      <t>Перечень вспомогательных веществ:</t>
    </r>
    <r>
      <rPr>
        <rFont val="Arial"/>
        <color theme="1"/>
      </rPr>
      <t xml:space="preserve">
• Стабилизатор — натрия глутамат моногидрат.</t>
    </r>
  </si>
  <si>
    <r>
      <rPr>
        <rFont val="Arial"/>
        <i/>
        <color theme="1"/>
      </rPr>
      <t>&lt;p&gt;&lt;i&gt;Действующее вещество:</t>
    </r>
    <r>
      <rPr>
        <rFont val="Arial"/>
        <color theme="1"/>
      </rPr>
      <t>&lt;/i&gt;&lt;br&gt;&lt;br&gt;
В каждом флаконе содержится:
&lt;ul&gt;&lt;li&gt;25&amp;nbsp;мг микробных клеток БЦЖ (не менее 2х10⁸ и не более 3,75х10⁸ жизнеспособных клеток БЦЖ);&lt;/li&gt;
&lt;li&gt;50&amp;nbsp;мг микробных клеток БЦЖ (не менее 4х10⁸ и не более 7,5х10⁸ жизнеспособных клеток БЦЖ).&lt;/li&gt;&lt;/ul&gt;
&lt;i&gt;Перечень вспомогательных веществ:&lt;/i&gt;
&lt;ul&gt;&lt;li&gt;Стабилизатор — натрия глутамат моногидрат.&lt;/li&gt;&lt;/ul&gt;&lt;/p&gt;</t>
    </r>
  </si>
  <si>
    <t>https://grls.rosminzdrav.ru/InstrImg/2025/07/09/1519029/0d8fd7ae-7b89-4160-9ecd-4b0646f6482f.pdf</t>
  </si>
  <si>
    <r>
      <rPr>
        <rFont val="Arial"/>
        <color theme="1"/>
      </rPr>
      <t xml:space="preserve">1 доза для взрослых (1 мл) содержит:
• Очищенный поверхностный антиген гепатита В (HBsAg)¹·² — 20 мкг
¹ Получен из дрожжевых клеток </t>
    </r>
    <r>
      <rPr>
        <rFont val="Arial"/>
        <i/>
        <color theme="1"/>
      </rPr>
      <t>Hansenula polymorpha</t>
    </r>
    <r>
      <rPr>
        <rFont val="Arial"/>
        <color theme="1"/>
      </rPr>
      <t xml:space="preserve"> (штамм К 3/8-1 ADW 001/4/7/96) по технологии рекомбинантной ДНК
² Адсорбированный на алюминия гидроксиде (0,5 мг — 0,80 мг Аl)
</t>
    </r>
    <r>
      <rPr>
        <rFont val="Arial"/>
        <i/>
        <color theme="1"/>
      </rPr>
      <t>Перечень вспомогательных веществ:</t>
    </r>
    <r>
      <rPr>
        <rFont val="Arial"/>
        <color theme="1"/>
      </rPr>
      <t xml:space="preserve">
• алюминия гидроксид;
• тиомерсал.</t>
    </r>
  </si>
  <si>
    <t>&lt;p&gt;1&amp;nbsp;доза для взрослых (1&amp;nbsp;мл) содержит:
&lt;ul&gt;&lt;li&gt;Очищенный поверхностный антиген гепатита В (HBsAg)¹&lt;sup&gt;,&lt;/sup&gt;² — 20&amp;nbsp;мкг&lt;/li&gt;&lt;/ul&gt;
¹&amp;nbsp;Получен из дрожжевых клеток &lt;i&gt;Hansenula polymorpha&lt;/i&gt; (штамм К 3/8-1 ADW 001/4/7/96) по технологии рекомбинантной ДНК&lt;br&gt;
²&amp;nbsp;Адсорбированный на алюминия гидроксиде (0,50&amp;nbsp; мг — 0,80&amp;nbsp;мг Аl)&lt;br&gt;&lt;br&gt;
&lt;i&gt;Перечень вспомогательных веществ:&lt;/i&gt;
&lt;ul&gt;&lt;li&gt;алюминия гидроксид;&lt;/li&gt;
&lt;li&gt;тиомерсал.&lt;/li&gt;&lt;/ul&gt;&lt;/p&gt;</t>
  </si>
  <si>
    <r>
      <rPr>
        <rFont val="Arial"/>
        <color theme="1"/>
      </rPr>
      <t xml:space="preserve">1 доза¹ (0,5 мл) содержит:
</t>
    </r>
    <r>
      <rPr>
        <rFont val="Arial"/>
        <i/>
        <color theme="1"/>
      </rPr>
      <t>Действующие вещества:</t>
    </r>
    <r>
      <rPr>
        <rFont val="Arial"/>
        <color theme="1"/>
      </rPr>
      <t xml:space="preserve">
• Анатоксин дифтерийный — 30 Lf (≥ 30 ME²·⁴);
• Анатоксин столбнячный — 10 Lf (≥ 40 ME³·⁴);
• Анатоксин коклюшный — 25 мкг;
• Гемагглютинин филаментозный — 25 мкг;
• Вирус полиомиелита 1-го типа инактивированный (Mahoney)⁵ — 40 единиц D антигена⁶;
• Вирус полиомиелита 2-го типа инактивированный (MEF-1)⁵ — 8 единиц D антигена⁶;
• Вирус полиомиелита 3-го типа инактивированный (Saukett)⁵ — 32 единицы D антигена⁶;
• Поверхностный антиген вируса гепатита В⁷ — 10 мкг;
• Полисахарид </t>
    </r>
    <r>
      <rPr>
        <rFont val="Arial"/>
        <i/>
        <color theme="1"/>
      </rPr>
      <t>Haemophilus influenzae</t>
    </r>
    <r>
      <rPr>
        <rFont val="Arial"/>
        <color theme="1"/>
      </rPr>
      <t xml:space="preserve"> тип </t>
    </r>
    <r>
      <rPr>
        <rFont val="Arial"/>
        <i/>
        <color theme="1"/>
      </rPr>
      <t xml:space="preserve">b </t>
    </r>
    <r>
      <rPr>
        <rFont val="Arial"/>
        <color theme="1"/>
      </rPr>
      <t xml:space="preserve">— 12 мкг;
(полирибозилрибитол фосфат), конъюгированный со столбнячным анатоксином — 22-36 мкг.
¹ — адсорбирована на алюминия гидроксида гидрате (0,6 мг в пересчете на алюминий);
² — в качестве среднего значения, нижний предел доверительного интервала (р = 0,95) не менее 20 МЕ/доза;
³ — нижний предел доверительного интервала (р = 0,95);
⁴ — или эквивалентная активность, определенная с помощью оценки иммуногенности;
⁵ — культивированные на клетках VERO;
⁶ — или эквивалентное содержание антигена, определенное соответствующим иммунохимическим методом;
⁷ — получен с использованием дрожжевых клеток </t>
    </r>
    <r>
      <rPr>
        <rFont val="Arial"/>
        <i/>
        <color theme="1"/>
      </rPr>
      <t>Hansenula polymorpha</t>
    </r>
    <r>
      <rPr>
        <rFont val="Arial"/>
        <color theme="1"/>
      </rPr>
      <t xml:space="preserve"> по технологии рекомбинантной ДНК.
В вакцине могут присутствовать в следовых количествах глутаральдегид, формальдегид, неомицин, стрептомицин и полимиксин В, которые используются в процессе производства.
Вакцина не содержит консервантов.
Вспомогательные вещества, наличие которых надо учитывать в составе лекарственного препарата: фенилаланин — 85 мкг.
Полный перечень вспомогательных веществ приведен в разделе 6.1.
</t>
    </r>
    <r>
      <rPr>
        <rFont val="Arial"/>
        <b/>
        <color theme="1"/>
      </rPr>
      <t>6.1. Перечень вспомогательных веществ</t>
    </r>
    <r>
      <rPr>
        <rFont val="Arial"/>
        <color theme="1"/>
      </rPr>
      <t xml:space="preserve">
• Натрия гидрофосфат;
• Калия дигидрофосфат;
• Незаменимые аминокислоты, включая L-фенилаланин;
• Трометамол;
• Сахароза;
• Вода для инъекций;
• Натрия гидроксид, уксусная кислота или хлористоводородная кислота (для корректировки рН).</t>
    </r>
  </si>
  <si>
    <r>
      <rPr>
        <rFont val="Arial"/>
        <color theme="1"/>
      </rPr>
      <t xml:space="preserve">&lt;p&gt;1&amp;nbsp;доза¹ (0,5&amp;nbsp;мл) содержит:&lt;br&gt;&lt;br&gt;
</t>
    </r>
    <r>
      <rPr>
        <rFont val="Arial"/>
        <i/>
        <color theme="1"/>
      </rPr>
      <t>&lt;i&gt;Действующие вещества:</t>
    </r>
    <r>
      <rPr>
        <rFont val="Arial"/>
        <color theme="1"/>
      </rPr>
      <t xml:space="preserve">&lt;/i&gt;
&lt;ul&gt;&lt;li&gt;Анатоксин дифтерийный — 30&amp;nbsp;Lf (≥&amp;nbsp;30&amp;nbsp;ME²&lt;sup&gt;,&lt;/sup&gt;⁴);&lt;/li&gt;
&lt;li&gt;Анатоксин столбнячный — 10&amp;nbsp;Lf (≥&amp;nbsp;40&amp;nbsp;ME³&lt;sup&gt;,&lt;/sup&gt;⁴);&lt;/li&gt;
&lt;li&gt;Анатоксин коклюшный — 25&amp;nbsp;мкг;&lt;/li&gt;
&lt;li&gt;Гемагглютинин филаментозный — 25&amp;nbsp;мкг;&lt;/li&gt;
&lt;li&gt;Вирус полиомиелита 1-го типа инактивированный (Mahoney)⁵ — 40&amp;nbsp;единиц D антигена⁶;&lt;/li&gt;
&lt;li&gt;Вирус полиомиелита 2-го типа инактивированный (MEF-1)⁵ — 8&amp;nbsp;единиц D антигена⁶;&lt;/li&gt;
&lt;li&gt;Вирус полиомиелита 3-го типа инактивированный (Saukett)⁵ — 32&amp;nbsp;единицы D антигена⁶;&lt;/li&gt;
&lt;li&gt;Поверхностный антиген вируса гепатита В⁷ — 10&amp;nbsp;мкг;&lt;/li&gt;
&lt;li&gt;Полисахарид </t>
    </r>
    <r>
      <rPr>
        <rFont val="Arial"/>
        <i/>
        <color theme="1"/>
      </rPr>
      <t>&lt;i&gt;Haemophilus influenzae</t>
    </r>
    <r>
      <rPr>
        <rFont val="Arial"/>
        <color theme="1"/>
      </rPr>
      <t>&lt;/i&gt; тип &lt;i&gt;</t>
    </r>
    <r>
      <rPr>
        <rFont val="Arial"/>
        <i/>
        <color theme="1"/>
      </rPr>
      <t xml:space="preserve">b&lt;/i&gt; </t>
    </r>
    <r>
      <rPr>
        <rFont val="Arial"/>
        <color theme="1"/>
      </rPr>
      <t>— 12&amp;nbsp;мкг;&lt;br&gt;
(полирибозилрибитол фосфат), конъюгированный со столбнячным анатоксином — 22-36&amp;nbsp;мкг.&lt;/li&gt;&lt;/ul&gt;
¹ — адсорбирована на алюминия гидроксида гидрате (0,6&amp;nbsp;мг в пересчете на алюминий);&lt;br&gt;
² — в качестве среднего значения, нижний предел доверительного интервала (р = 0,95) не менее 20&amp;nbsp;МЕ/доза;&lt;br&gt;
³ — нижний предел доверительного интервала (р = 0,95);&lt;br&gt;
⁴ — или эквивалентная активность, определенная с помощью оценки иммуногенности;&lt;br&gt;
⁵ — культивированные на клетках VERO;&lt;br&gt;
⁶ — или эквивалентное содержание антигена, определенное соответствующим иммунохимическим методом;&lt;br&gt;
⁷ — получен с использованием дрожжевых клеток &lt;i&gt;</t>
    </r>
    <r>
      <rPr>
        <rFont val="Arial"/>
        <i/>
        <color theme="1"/>
      </rPr>
      <t>Hansenula polymorpha&lt;/i&gt;</t>
    </r>
    <r>
      <rPr>
        <rFont val="Arial"/>
        <color theme="1"/>
      </rPr>
      <t xml:space="preserve"> по технологии рекомбинантной ДНК.&lt;br&gt;&lt;br&gt;
В вакцине могут присутствовать в следовых количествах глутаральдегид, формальдегид, неомицин, стрептомицин и полимиксин В, которые используются в процессе производства.&lt;br&gt;
Вакцина не содержит консервантов.&lt;br&gt;
Вспомогательные вещества, наличие которых надо учитывать в составе лекарственного препарата: фенилаланин — 85&amp;nbsp;мкг.&lt;br&gt;
Полный перечень вспомогательных веществ приведен в разделе 6.1.&lt;/p&gt;
</t>
    </r>
    <r>
      <rPr>
        <rFont val="Arial"/>
        <b/>
        <color theme="1"/>
      </rPr>
      <t>&lt;p&gt;&lt;b&gt;6.1. Перечень вспомогательных веществ</t>
    </r>
    <r>
      <rPr>
        <rFont val="Arial"/>
        <color theme="1"/>
      </rPr>
      <t>&lt;/b&gt;
&lt;ul&gt;&lt;li&gt;Натрия гидрофосфат;&lt;/li&gt;
&lt;li&gt;Калия дигидрофосфат;&lt;/li&gt;
&lt;li&gt;Незаменимые аминокислоты, включая L-фенилаланин;&lt;/li&gt;
&lt;li&gt;Трометамол;&lt;/li&gt;
&lt;li&gt;Сахароза;&lt;/li&gt;
&lt;li&gt;Вода для инъекций;&lt;/li&gt;
&lt;li&gt;Натрия гидроксид, уксусная кислота или хлористоводородная кислота (для корректировки рН).&lt;/li&gt;&lt;/ul&gt;&lt;/p&gt;</t>
    </r>
  </si>
  <si>
    <t>https://lk.regmed.ru/Register/GetPDFfromDA?ID=1607301531</t>
  </si>
  <si>
    <r>
      <rPr>
        <rFont val="Arial"/>
        <color theme="1"/>
      </rPr>
      <t xml:space="preserve">Состав на 1 дозу:
</t>
    </r>
    <r>
      <rPr>
        <rFont val="Arial"/>
        <i/>
        <color theme="1"/>
      </rPr>
      <t>Действующее вещество</t>
    </r>
    <r>
      <rPr>
        <rFont val="Arial"/>
        <color theme="1"/>
      </rPr>
      <t xml:space="preserve">: рекомбинантные вирусоподобные частицы, содержащие на поверхности структурный S белок вируса SARS-CoV-2, синтезированные в бакуловирусной системе экспрессии — 80 мкг.
</t>
    </r>
    <r>
      <rPr>
        <rFont val="Arial"/>
        <i/>
        <color theme="1"/>
      </rPr>
      <t>Вспомогательные вещества</t>
    </r>
    <r>
      <rPr>
        <rFont val="Arial"/>
        <color theme="1"/>
      </rPr>
      <t>: калия дигидрофосфат — 0,29 мг, динатрия гидрофосфат — 0,30 мг, натрия хлорид — 1,84 мг, калия хлорид — 0,04 мг, кальция хлорид — 0,02 мг, трис(гидроксиметил)аминометан гидрохлорид — 0,03 мг, адъювант SEPIVАС SWE — 0,25 мл, тиомерсал — 4,00 мкг, вода для инъекций — до 0,5 мл.</t>
    </r>
  </si>
  <si>
    <r>
      <rPr>
        <rFont val="Arial"/>
        <color theme="1"/>
      </rPr>
      <t xml:space="preserve">&lt;p&gt;Состав на 1&amp;nbsp;дозу:&lt;br&gt;&lt;br&gt;
</t>
    </r>
    <r>
      <rPr>
        <rFont val="Arial"/>
        <i/>
        <color theme="1"/>
      </rPr>
      <t>&lt;i&gt;Действующее вещество</t>
    </r>
    <r>
      <rPr>
        <rFont val="Arial"/>
        <color theme="1"/>
      </rPr>
      <t xml:space="preserve">:&lt;/i&gt; рекомбинантные вирусоподобные частицы, содержащие на поверхности структурный S белок вируса SARS-CoV-2, синтезированные в бакуловирусной системе экспрессии — 80&amp;nbsp;мкг.&lt;br&gt;&lt;br&gt;
</t>
    </r>
    <r>
      <rPr>
        <rFont val="Arial"/>
        <i/>
        <color theme="1"/>
      </rPr>
      <t>&lt;i&gt;Вспомогательные вещества</t>
    </r>
    <r>
      <rPr>
        <rFont val="Arial"/>
        <color theme="1"/>
      </rPr>
      <t>:&lt;/i&gt; калия дигидрофосфат — 0,29&amp;nbsp;мг, динатрия гидрофосфат — 0,30&amp;nbsp;мг, натрия хлорид — 1,84&amp;nbsp;мг, калия хлорид — 0,04&amp;nbsp;мг, кальция хлорид — 0,02&amp;nbsp;мг, трис(гидроксиметил)аминометан гидрохлорид — 0,03&amp;nbsp;мг, адъювант SEPIVАС SWE — 0,25&amp;nbsp;мл, тиомерсал — 4,00&amp;nbsp;мкг, вода для инъекций — до 0,5&amp;nbsp;мл.&lt;/p&gt;</t>
    </r>
  </si>
  <si>
    <t>https://grls.rosminzdrav.ru/InstrImg/2024/12/09/1511749/a4738d52-4ff6-4599-a566-530f55491e76.pdf</t>
  </si>
  <si>
    <r>
      <rPr>
        <rFont val="Arial"/>
        <color theme="1"/>
      </rPr>
      <t xml:space="preserve">Состав на 1 дозу:
</t>
    </r>
    <r>
      <rPr>
        <rFont val="Arial"/>
        <i/>
        <color theme="1"/>
      </rPr>
      <t>Действующее вещество</t>
    </r>
    <r>
      <rPr>
        <rFont val="Arial"/>
        <color theme="1"/>
      </rPr>
      <t xml:space="preserve">: рекомбинантные вирусоподобные частицы, содержащие на поверхности структурный S белок вируса SARS-CoV-2, синтезированные в бакуловирусной системе экспрессии — 80 мкг.
</t>
    </r>
    <r>
      <rPr>
        <rFont val="Arial"/>
        <i/>
        <color theme="1"/>
      </rPr>
      <t>Вспомогательные вещества:</t>
    </r>
    <r>
      <rPr>
        <rFont val="Arial"/>
        <color theme="1"/>
      </rPr>
      <t xml:space="preserve"> калия дигидрофосфат — 0,63 мг, динатрия гидрофосфат — 0,65 мг, натрия хлорид — 3,84 мг, калия хлорид — 0,09 мг, кальция хлорид — 0,02 мг, трис(гидроксиметил)аминометан гидрохлорид — 0,03 мг, тиомерсал — 4,00 мкг, вода для инъекций — до 0,5 мл.</t>
    </r>
  </si>
  <si>
    <r>
      <rPr>
        <rFont val="Arial"/>
        <color theme="1"/>
      </rPr>
      <t xml:space="preserve">&lt;p&gt;Состав на 1&amp;nbsp;дозу:&lt;br&gt;&lt;br&gt;
</t>
    </r>
    <r>
      <rPr>
        <rFont val="Arial"/>
        <i/>
        <color theme="1"/>
      </rPr>
      <t>&lt;i&gt;Действующее вещество</t>
    </r>
    <r>
      <rPr>
        <rFont val="Arial"/>
        <color theme="1"/>
      </rPr>
      <t xml:space="preserve">:&lt;/i&gt; рекомбинантные вирусоподобные частицы, содержащие на поверхности структурный S белок вируса SARS-CoV-2, синтезированные в бакуловирусной системе экспрессии — 80&amp;nbsp;мкг.&lt;br&gt;&lt;br&gt;
</t>
    </r>
    <r>
      <rPr>
        <rFont val="Arial"/>
        <i/>
        <color theme="1"/>
      </rPr>
      <t>&lt;i&gt;Вспомогательные вещества</t>
    </r>
    <r>
      <rPr>
        <rFont val="Arial"/>
        <color theme="1"/>
      </rPr>
      <t>:&lt;/i&gt; калия дигидрофосфат — 0,63&amp;nbsp;мг, динатрия гидрофосфат — 0,65&amp;nbsp;мг, натрия хлорид — 3,84&amp;nbsp;мг, калия хлорид — 0,09&amp;nbsp;мг, кальция хлорид — 0,02&amp;nbsp;мг, трис(гидроксиметил)аминометан гидрохлорид — 0,03&amp;nbsp;мг, тиомерсал — 4,00&amp;nbsp;мкг, вода для инъекций — до 0,5&amp;nbsp;мл.&lt;/p&gt;</t>
    </r>
  </si>
  <si>
    <t>https://grls.rosminzdrav.ru/InstrImg/2025/03/25/1515160/e4c206af-2701-4f99-a45f-09d998ef0935.pdf</t>
  </si>
  <si>
    <r>
      <rPr>
        <rFont val="Arial"/>
        <color theme="1"/>
      </rPr>
      <t>1 доза (0,5 мл) содержит:
• Вируса папилломы человека антиген тип 6¹ — 20 мкг;
• Вируса папилломы человека антиген тип 11² — 40 мкг;
• Вируса папилломы человека антиген тип 16³ — 40 мкг;
• Вируса папилломы человека антиген тип 18⁴ — 20 мкг;
• Алюминия гидроксид (Al³⁺) — 0,25 мг.
¹ Белок главного капсида (L1) вируса папилломы человека (ВПЧ) типа 6 в виде вирусоподобных частиц, продуцируемый в клетках дрожжей (</t>
    </r>
    <r>
      <rPr>
        <rFont val="Arial"/>
        <i/>
        <color theme="1"/>
      </rPr>
      <t>Hansenula polymorpha</t>
    </r>
    <r>
      <rPr>
        <rFont val="Arial"/>
        <color theme="1"/>
      </rPr>
      <t xml:space="preserve"> КБТ-17/рPV-062) по технологии рекомбинантной ДНК.
² Белок главного капсида (L1) ВПЧ типа 11 в виде вирусоподобных частиц, продуцируемый в клетках дрожжей (</t>
    </r>
    <r>
      <rPr>
        <rFont val="Arial"/>
        <i/>
        <color theme="1"/>
      </rPr>
      <t>Hansenula polymorpha</t>
    </r>
    <r>
      <rPr>
        <rFont val="Arial"/>
        <color theme="1"/>
      </rPr>
      <t xml:space="preserve"> КБТ-17/рPV-112) по технологии рекомбинантной ДНК.
³ Белок главного капсида (L1) ВПЧ типа 16 в виде вирусоподобных частиц, продуцируемый в клетках дрожжей (</t>
    </r>
    <r>
      <rPr>
        <rFont val="Arial"/>
        <i/>
        <color theme="1"/>
      </rPr>
      <t>Hansenula polymorpha</t>
    </r>
    <r>
      <rPr>
        <rFont val="Arial"/>
        <color theme="1"/>
      </rPr>
      <t xml:space="preserve"> КБТ-17/рPV-162) по технологии рекомбинантной ДНК.
⁴ Белок главного капсида (L1) ВПЧ типа 18 в виде вирусоподобных частиц, продуцируемый в клетках дрожжей (</t>
    </r>
    <r>
      <rPr>
        <rFont val="Arial"/>
        <i/>
        <color theme="1"/>
      </rPr>
      <t>Hansenula polymorpha</t>
    </r>
    <r>
      <rPr>
        <rFont val="Arial"/>
        <color theme="1"/>
      </rPr>
      <t xml:space="preserve"> КБТ-17/рPV-182) по технологии рекомбинантной ДНК.
</t>
    </r>
    <r>
      <rPr>
        <rFont val="Arial"/>
        <i/>
        <color theme="1"/>
      </rPr>
      <t>Перечень вспомогательных веществ:</t>
    </r>
    <r>
      <rPr>
        <rFont val="Arial"/>
        <color theme="1"/>
      </rPr>
      <t xml:space="preserve">
• Натрия хлорид;
• Натрия фосфат однозамещенный дигидрат;
• Полисорбат 80;
• L-гистидин;
• Вода для инъекций.</t>
    </r>
  </si>
  <si>
    <r>
      <rPr>
        <rFont val="Arial"/>
        <color theme="1"/>
      </rPr>
      <t>&lt;p&gt;1&amp;nbsp;доза (0,5&amp;nbsp;мл) содержит:
&lt;ul&gt;&lt;li&gt;Вируса папилломы человека антиген тип&amp;nbsp;6¹ — 20&amp;nbsp;мкг;&lt;/li&gt;
&lt;li&gt;Вируса папилломы человека антиген тип&amp;nbsp;11² — 40&amp;nbsp;мкг;&lt;/li&gt;
&lt;li&gt;Вируса папилломы человека антиген тип&amp;nbsp;16³ — 40&amp;nbsp;мкг;&lt;/li&gt;
&lt;li&gt;Вируса папилломы человека антиген тип&amp;nbsp;18⁴ — 20&amp;nbsp;мкг;&lt;/li&gt;
&lt;li&gt;Алюминия гидроксид (Al³⁺) — 0,25&amp;nbsp;мг.&lt;/li&gt;&lt;/ul&gt;
¹&amp;nbsp;Белок главного капсида (L1) вируса папилломы человека (ВПЧ) типа&amp;nbsp;6 в виде вирусоподобных частиц, продуцируемый в клетках дрожжей (&lt;i&gt;</t>
    </r>
    <r>
      <rPr>
        <rFont val="Arial"/>
        <i/>
        <color theme="1"/>
      </rPr>
      <t>Hansenula polymorpha&lt;/i&gt;</t>
    </r>
    <r>
      <rPr>
        <rFont val="Arial"/>
        <color theme="1"/>
      </rPr>
      <t xml:space="preserve"> КБТ-17/рPV-062) по технологии рекомбинантной ДНК.&lt;br&gt;
²&amp;nbsp;Белок главного капсида (L1) ВПЧ типа&amp;nbsp;11 в виде вирусоподобных частиц, продуцируемый в клетках дрожжей (&lt;i&gt;</t>
    </r>
    <r>
      <rPr>
        <rFont val="Arial"/>
        <i/>
        <color theme="1"/>
      </rPr>
      <t>Hansenula polymorpha</t>
    </r>
    <r>
      <rPr>
        <rFont val="Arial"/>
        <color theme="1"/>
      </rPr>
      <t>&lt;/i&gt; КБТ-17/рPV-112) по технологии рекомбинантной ДНК.&lt;br&gt;
³&amp;nbsp;Белок главного капсида (L1) ВПЧ типа&amp;nbsp;16 в виде вирусоподобных частиц, продуцируемый в клетках дрожжей (&lt;i&gt;</t>
    </r>
    <r>
      <rPr>
        <rFont val="Arial"/>
        <i/>
        <color theme="1"/>
      </rPr>
      <t>Hansenula polymorpha&lt;/i&gt;</t>
    </r>
    <r>
      <rPr>
        <rFont val="Arial"/>
        <color theme="1"/>
      </rPr>
      <t xml:space="preserve"> КБТ-17/рPV-162) по технологии рекомбинантной ДНК.&lt;br&gt;
⁴&amp;nbsp;Белок главного капсида (L1) ВПЧ типа&amp;nbsp;18 в виде вирусоподобных частиц, продуцируемый в клетках дрожжей (</t>
    </r>
    <r>
      <rPr>
        <rFont val="Arial"/>
        <i/>
        <color theme="1"/>
      </rPr>
      <t>&lt;i&gt;Hansenula polymorpha&lt;/i&gt;</t>
    </r>
    <r>
      <rPr>
        <rFont val="Arial"/>
        <color theme="1"/>
      </rPr>
      <t xml:space="preserve"> КБТ-17/рPV-182) по технологии рекомбинантной ДНК.&lt;br&gt;&lt;br&gt;
</t>
    </r>
    <r>
      <rPr>
        <rFont val="Arial"/>
        <i/>
        <color theme="1"/>
      </rPr>
      <t>&lt;i&gt;Перечень вспомогательных веществ:</t>
    </r>
    <r>
      <rPr>
        <rFont val="Arial"/>
        <color theme="1"/>
      </rPr>
      <t>&lt;/i&gt;
&lt;ul&gt;&lt;li&gt;Натрия хлорид;&lt;/li&gt;
&lt;li&gt;Натрия фосфат однозамещенный дигидрат;&lt;/li&gt;
&lt;li&gt;Полисорбат&amp;nbsp;80;&lt;/li&gt;
&lt;li&gt;L-гистидин;&lt;/li&gt;
&lt;li&gt;Вода для инъекций.&lt;/li&gt;&lt;/ul&gt;&lt;/p&gt;</t>
    </r>
  </si>
  <si>
    <t>https://grls.rosminzdrav.ru/InstrImg/2025/03/14/1514899/44c72a47-2cd3-4a92-b136-0902c17fafb6.pdf</t>
  </si>
  <si>
    <r>
      <rPr>
        <rFont val="Arial"/>
        <color theme="1"/>
      </rPr>
      <t xml:space="preserve">После восстановления 1 прививочная доза (0,5 мл) содержит:
• Менингококковый полисахарид серогруппы А¹ — 5 мкг;
• Менингококковый полисахарид серогруппы C² — 5 мкг;
• Менингококковый полисахарид серогруппы Y² — 5 мкг;
• Менингококковый полисахарид серогруппы W² — 5 мкг;
• Менингококковый полисахарид серогруппы X¹ — 5 мкг;
¹ Конъюгирован с белком-носителем — столбнячным анатоксином — от 7,8 до 33,4 мкг.
² Конъюгирован с белком-носителем — CRM197 — от 11,7 до 50,1 мкг.
</t>
    </r>
    <r>
      <rPr>
        <rFont val="Arial"/>
        <i/>
        <color theme="1"/>
      </rPr>
      <t>Перечень вспомогательных веществ:</t>
    </r>
    <r>
      <rPr>
        <rFont val="Arial"/>
        <color theme="1"/>
      </rPr>
      <t xml:space="preserve">
• Сахароза;
• Натрия цитрата дигидрат;
• Трометамол.
</t>
    </r>
    <r>
      <rPr>
        <rFont val="Arial"/>
        <i/>
        <color theme="1"/>
      </rPr>
      <t>Растворитель:</t>
    </r>
    <r>
      <rPr>
        <rFont val="Arial"/>
        <color theme="1"/>
      </rPr>
      <t xml:space="preserve">
• Натрия хлорид;
• Вода для инъекций.</t>
    </r>
  </si>
  <si>
    <t>&lt;p&gt;После восстановления 1&amp;nbsp;прививочная доза (0,5&amp;nbsp;мл) содержит:
&lt;ul&gt;&lt;li&gt;Менингококковый полисахарид серогруппы&amp;nbsp;А¹ — 5&amp;nbsp;мкг;&lt;/li&gt;
&lt;li&gt;Менингококковый полисахарид серогруппы&amp;nbsp;C² — 5&amp;nbsp;мкг;&lt;/li&gt;
&lt;li&gt;Менингококковый полисахарид серогруппы&amp;nbsp;Y² — 5&amp;nbsp;мкг;&lt;/li&gt;
&lt;li&gt;Менингококковый полисахарид серогруппы&amp;nbsp;W² — 5&amp;nbsp;мкг;&lt;/li&gt;
&lt;li&gt;Менингококковый полисахарид серогруппы&amp;nbsp;X¹ — 5&amp;nbsp;мкг;&lt;/li&gt;&lt;/ul&gt;
¹&amp;nbsp;Конъюгирован с белком-носителем — столбнячным анатоксином — от 7,8 до 33,4&amp;nbsp;мкг.&lt;br&gt;
²&amp;nbsp;Конъюгирован с белком-носителем — CRM197 — от 11,7 до 50,1&amp;nbsp;мкг.&lt;br&gt;&lt;br&gt;
&lt;i&gt;Перечень вспомогательных веществ:&lt;/i&gt;
&lt;ul&gt;&lt;li&gt;Сахароза;&lt;/li&gt;
&lt;li&gt;Натрия цитрата дигидрат;&lt;/li&gt;
&lt;li&gt;Трометамол.&lt;/li&gt;&lt;/ul&gt;
&lt;i&gt;Растворитель:&lt;/i&gt;
&lt;ul&gt;&lt;li&gt;Натрия хлорид;&lt;/li&gt;
&lt;li&gt;Вода для инъекций.&lt;/li&gt;&lt;/ul&gt;&lt;/p&gt;</t>
  </si>
  <si>
    <t>https://grls.rosminzdrav.ru/InstrImg/2025/04/04/1515791/731944c3-c908-4ee4-8479-026ab476fc4b.pdf</t>
  </si>
  <si>
    <r>
      <rPr>
        <rFont val="Arial"/>
        <color theme="1"/>
      </rPr>
      <t xml:space="preserve">1 прививочная доза (1 мл) содержит¹:
</t>
    </r>
    <r>
      <rPr>
        <rFont val="Arial"/>
        <i/>
        <color theme="1"/>
      </rPr>
      <t>Действующее вещество:</t>
    </r>
    <r>
      <rPr>
        <rFont val="Arial"/>
        <color theme="1"/>
      </rPr>
      <t xml:space="preserve">
• Инактивированный вирус бешенства [штамм Flury LЕР, выращенный в культуре клеток куриных эмбрионов] — не менее 2,5 МЕ.
</t>
    </r>
    <r>
      <rPr>
        <rFont val="Arial"/>
        <i/>
        <color theme="1"/>
      </rPr>
      <t>Вспомогательные вещества:</t>
    </r>
    <r>
      <rPr>
        <rFont val="Arial"/>
        <color theme="1"/>
      </rPr>
      <t xml:space="preserve">
• Трометамол (трисгидроксиметиламинометан) — 3,0-4,0 мг.
• Натрия хлорид — 4,0-5,0 мг.
• Динатрия эдетата дигидрат (ЭДТА, Титриплекс III) — 0,2-0,3 мг.
• Калия L-глутамат — 0,8-1,0 мг.
• Полигелин  — 9,0-12,0 мг.
• Сахароза — 20,0-100,0 мг.
</t>
    </r>
    <r>
      <rPr>
        <rFont val="Arial"/>
        <i/>
        <color theme="1"/>
      </rPr>
      <t>Растворитель:</t>
    </r>
    <r>
      <rPr>
        <rFont val="Arial"/>
        <color theme="1"/>
      </rPr>
      <t xml:space="preserve">
• Вода для инъекций — 1,0 мл.
Примечание:
¹ - Вакцина не содержит консервантов.</t>
    </r>
  </si>
  <si>
    <r>
      <rPr>
        <rFont val="Arial"/>
        <color theme="1"/>
      </rPr>
      <t xml:space="preserve">&lt;p&gt;1&amp;nbsp;прививочная доза (1&amp;nbsp;мл) содержит¹:&lt;br&gt;&lt;br&gt;
</t>
    </r>
    <r>
      <rPr>
        <rFont val="Arial"/>
        <i/>
        <color theme="1"/>
      </rPr>
      <t>&lt;i&gt;Действующее вещество:</t>
    </r>
    <r>
      <rPr>
        <rFont val="Arial"/>
        <color theme="1"/>
      </rPr>
      <t xml:space="preserve">&lt;/i&gt;
&lt;ul&gt;&lt;li&gt;Инактивированный вирус бешенства [штамм Flury&amp;nbsp;LЕР, выращенный в культуре клеток куриных эмбрионов] — не менее 2,5&amp;nbsp;МЕ.&lt;/li&gt;&lt;/ul&gt;
</t>
    </r>
    <r>
      <rPr>
        <rFont val="Arial"/>
        <i/>
        <color theme="1"/>
      </rPr>
      <t>&lt;i&gt;Вспомогательные вещества:</t>
    </r>
    <r>
      <rPr>
        <rFont val="Arial"/>
        <color theme="1"/>
      </rPr>
      <t xml:space="preserve">&lt;/i&gt;
&lt;ul&gt;&lt;li&gt;Трометамол (трисгидроксиметиламинометан) — 3,0-4,0&amp;nbsp;мг.&lt;/li&gt;
&lt;li&gt;Натрия хлорид — 4,0-5,0&amp;nbsp;мг.&lt;/li&gt;
&lt;li&gt;Динатрия эдетата дигидрат (ЭДТА, Титриплекс&amp;nbsp;III) — 0,2-0,3&amp;nbsp;мг.&lt;/li&gt;
&lt;li&gt;Калия L-глутамат — 0,8-1,0&amp;nbsp;мг.&lt;/li&gt;
&lt;li&gt;Полигелин  — 9,0-12,0&amp;nbsp;мг.&lt;/li&gt;
&lt;li&gt;Сахароза — 20,0-100,0&amp;nbsp;мг.&lt;/li&gt;&lt;/ul&gt;
</t>
    </r>
    <r>
      <rPr>
        <rFont val="Arial"/>
        <i/>
        <color theme="1"/>
      </rPr>
      <t>&lt;i&gt;Растворитель:</t>
    </r>
    <r>
      <rPr>
        <rFont val="Arial"/>
        <color theme="1"/>
      </rPr>
      <t>&lt;/i&gt;
&lt;ul&gt;&lt;li&gt;Вода для инъекций — 1,0&amp;nbsp;мл.&lt;/li&gt;&lt;/ul&gt;
Примечание:&lt;br&gt;
¹ - Вакцина не содержит консервантов.&lt;/p&gt;</t>
    </r>
  </si>
  <si>
    <t>Информация из инструкции к вакцине Рабипур</t>
  </si>
  <si>
    <r>
      <rPr>
        <rFont val="Arial"/>
        <color theme="1"/>
      </rPr>
      <t xml:space="preserve">1 доза (0,5 мл) содержит:
Пневмококковые конъюгаты¹ (полисахарид—CRM₁₉₇)
• Streptococcus pneumoniae, серотип 1, полисахарид¹ — 2,2 мкг;
• Streptococcus pneumoniae, серотип 3, полисахарид¹ — 2,2 мкг;
• Streptococcus pneumoniae, серотип 4, полисахарид¹ — 2,2 мкг;
• Streptococcus pneumoniae, серотип 5, полисахарид¹ — 2,2 мкг;
• Streptococcus pneumoniae, серотип 6A, полисахарид¹ — 2,2 мкг;
• Streptococcus pneumoniae, серотип 6B, полисахарид¹ — 4,4 мкг;
• Streptococcus pneumoniae, серотип 7F, полисахарид¹ — 2,2 мкг;
• Streptococcus pneumoniae, серотип 8, полисахарид¹ — 2,2 мкг;
• Streptococcus pneumoniae, серотип 9V, полисахарид¹ — 2,2 мкг;
• Streptococcus pneumoniae, серотип 10A, полисахарид¹ — 2,2 мкг;
• Streptococcus pneumoniae, серотип 11A, полисахарид¹ — 2,2 мкг;
• Streptococcus pneumoniae, серотип 12F, полисахарид¹ — 2,2 мкг;
• Streptococcus pneumoniae, серотип 14, полисахарид¹ — 2,2 мкг;
• Streptococcus pneumoniae, серотип 15B, полисахарид¹ — 2,2 мкг;
• Streptococcus pneumoniae, серотип 18C, полисахарид¹ — 2,2 мкг;
• Streptococcus pneumoniae, серотип 19A, полисахарид¹ — 2,2 мкг;
• Streptococcus pneumoniae, серотип 19F, полисахарид¹ — 2,2 мкг;
• Streptococcus pneumoniae, серотип 22F, полисахарид¹ — 2,2 мкг;
• Streptococcus pneumoniae, серотип 23F, полисахарид¹ — 2,2 мкг;
• Streptococcus pneumoniae, серотип 33F, полисахарид¹ — 2,2 мкг.
¹ Конъюгированные с белком-носителем CRM₁₉₇ (приблизительно 51 мкг на дозу) и адсорбированные на алюминия фосфате (0,125 мг алюминия на дозу).
</t>
    </r>
    <r>
      <rPr>
        <rFont val="Arial"/>
        <i/>
        <color theme="1"/>
      </rPr>
      <t>Перечень вспомогательных веществ:</t>
    </r>
    <r>
      <rPr>
        <rFont val="Arial"/>
        <color theme="1"/>
      </rPr>
      <t xml:space="preserve">
• Натрия хлорид;
• Янтарная кислота;
• Полисорбат 80;
• Вода для инъекций.</t>
    </r>
  </si>
  <si>
    <t>&lt;p&gt;1&amp;nbsp;доза (0,5&amp;nbsp;мл) содержит:&lt;br&gt;&lt;br&gt;
Пневмококковые конъюгаты¹ (полисахарид—CRM₁₉₇)
&lt;ul&gt;&lt;li&gt;&lt;i&gt;Streptococcus pneumoniae&lt;/i&gt;, серотип&amp;nbsp;1, полисахарид¹ — 2,2&amp;nbsp;мкг;&lt;/li&gt;
&lt;li&gt;&lt;i&gt;Streptococcus pneumoniae&lt;/i&gt;, серотип&amp;nbsp;3, полисахарид¹ — 2,2&amp;nbsp;мкг;&lt;/li&gt;
&lt;li&gt;&lt;i&gt;Streptococcus pneumoniae&lt;/i&gt;, серотип&amp;nbsp;4, полисахарид¹ — 2,2&amp;nbsp;мкг;&lt;/li&gt;
&lt;li&gt;&lt;i&gt;Streptococcus pneumoniae&lt;/i&gt;, серотип&amp;nbsp;5, полисахарид¹ — 2,2&amp;nbsp;мкг;&lt;/li&gt;
&lt;li&gt;&lt;i&gt;Streptococcus pneumoniae&lt;/i&gt;, серотип&amp;nbsp;6A, полисахарид¹ — 2,2&amp;nbsp;мкг;&lt;/li&gt;
&lt;li&gt;&lt;i&gt;Streptococcus pneumoniae&lt;/i&gt;, серотип&amp;nbsp;6B, полисахарид¹ — 4,4&amp;nbsp;мкг;&lt;/li&gt;
&lt;li&gt;&lt;i&gt;Streptococcus pneumoniae&lt;/i&gt;, серотип&amp;nbsp;7F, полисахарид¹ — 2,2&amp;nbsp;мкг;&lt;/li&gt;
&lt;li&gt;&lt;i&gt;Streptococcus pneumoniae&lt;/i&gt;, серотип&amp;nbsp;8, полисахарид¹ — 2,2&amp;nbsp;мкг;&lt;/li&gt;
&lt;li&gt;&lt;i&gt;Streptococcus pneumoniae&lt;/i&gt;, серотип&amp;nbsp;9V, полисахарид¹ — 2,2&amp;nbsp;мкг;&lt;/li&gt;
&lt;li&gt;&lt;i&gt;Streptococcus pneumoniae&lt;/i&gt;, серотип&amp;nbsp;10A, полисахарид¹ — 2,2&amp;nbsp;мкг;&lt;/li&gt;
&lt;li&gt;&lt;i&gt;Streptococcus pneumoniae&lt;/i&gt;, серотип&amp;nbsp;11A, полисахарид¹ — 2,2&amp;nbsp;мкг;&lt;/li&gt;
&lt;li&gt;&lt;i&gt;Streptococcus pneumoniae&lt;/i&gt;, серотип&amp;nbsp;12F, полисахарид¹ — 2,2&amp;nbsp;мкг;&lt;/li&gt;
&lt;li&gt;&lt;i&gt;Streptococcus pneumoniae&lt;/i&gt;, серотип&amp;nbsp;14, полисахарид¹ — 2,2&amp;nbsp;мкг;&lt;/li&gt;
&lt;li&gt;&lt;i&gt;Streptococcus pneumoniae&lt;/i&gt;, серотип&amp;nbsp;15B, полисахарид¹ — 2,2&amp;nbsp;мкг;&lt;/li&gt;
&lt;li&gt;&lt;i&gt;Streptococcus pneumoniae&lt;/i&gt;, серотип&amp;nbsp;18C, полисахарид¹ — 2,2&amp;nbsp;мкг;&lt;/li&gt;
&lt;li&gt;&lt;i&gt;Streptococcus pneumoniae&lt;/i&gt;, серотип&amp;nbsp;19A, полисахарид¹ — 2,2&amp;nbsp;мкг;&lt;/li&gt;
&lt;li&gt;&lt;i&gt;Streptococcus pneumoniae&lt;/i&gt;, серотип&amp;nbsp;19F, полисахарид¹ — 2,2&amp;nbsp;мкг;&lt;/li&gt;
&lt;li&gt;&lt;i&gt;Streptococcus pneumoniae&lt;/i&gt;, серотип&amp;nbsp;22F, полисахарид¹ — 2,2&amp;nbsp;мкг;&lt;/li&gt;
&lt;li&gt;&lt;i&gt;Streptococcus pneumoniae&lt;/i&gt;, серотип&amp;nbsp;23F, полисахарид¹ — 2,2&amp;nbsp;мкг;&lt;/li&gt;
&lt;li&gt;&lt;i&gt;Streptococcus pneumoniae&lt;/i&gt;, серотип&amp;nbsp;33F, полисахарид¹ — 2,2&amp;nbsp;мкг.&lt;/li&gt;&lt;/ul&gt;
¹&amp;nbsp;Конъюгированные с белком-носителем CRM₁₉₇ (приблизительно 51&amp;nbsp;мкг на дозу) и адсорбированные на алюминия фосфате (0,125&amp;nbsp;мг алюминия на дозу).&lt;br&gt;&lt;br&gt;
&lt;i&gt;Перечень вспомогательных веществ:&lt;/i&gt;
&lt;ul&gt;&lt;li&gt;Натрия хлорид;&lt;/li&gt;
&lt;li&gt;Янтарная кислота;&lt;/li&gt;
&lt;li&gt;Полисорбат&amp;nbsp;80;&lt;/li&gt;
&lt;li&gt;Вода для инъекций.&lt;/li&gt;&lt;/ul&gt;&lt;/p&gt;</t>
  </si>
  <si>
    <t>https://grls.rosminzdrav.ru/InstrImg/2025/07/15/1519302/c7dac0d8-df0c-484e-99a0-d7b6422ab318.pdf</t>
  </si>
  <si>
    <r>
      <rPr>
        <rFont val="Arial"/>
        <color theme="1"/>
      </rPr>
      <t xml:space="preserve">1 доза (0,5 мл) содержит:
• Дифтерийный анатоксин¹ — 5 Lf²;
• Столбнячный анатоксин¹ — 5 Lf²;
• Антигены </t>
    </r>
    <r>
      <rPr>
        <rFont val="Arial"/>
        <i/>
        <color theme="1"/>
      </rPr>
      <t>Bordetella pertussis</t>
    </r>
    <r>
      <rPr>
        <rFont val="Arial"/>
        <color theme="1"/>
      </rPr>
      <t xml:space="preserve"> бесклеточные¹·³ — 30 мкг.
¹ Адсорбированный на алюминия гидроксиде (не более 0,55 мг Al).
² Флокулирующая единицы.
³ Очищенные без разделения компонентов.
</t>
    </r>
    <r>
      <rPr>
        <rFont val="Arial"/>
        <i/>
        <color theme="1"/>
      </rPr>
      <t>Перечень вспомогательных веществ:</t>
    </r>
    <r>
      <rPr>
        <rFont val="Arial"/>
        <color theme="1"/>
      </rPr>
      <t xml:space="preserve">
• Натрия хлорида 0,9% раствор.
Вакцина может содержать остаточную производственную примесь, присутствующую в 1 дозе вакцины (0,5 мл) в следовых количествах: формальдегид (≤ 50 мкг).</t>
    </r>
  </si>
  <si>
    <t>&lt;p&gt;1&amp;nbsp;доза (0,5&amp;nbsp;мл) содержит:
&lt;ul&gt;&lt;li&gt;Дифтерийный анатоксин¹ — 5&amp;nbsp;Lf²;&lt;/li&gt;
&lt;li&gt;Столбнячный анатоксин¹ — 5&amp;nbsp;Lf²;&lt;/li&gt;
&lt;li&gt;Антигены &lt;i&gt;Bordetella pertussis&lt;/i&gt; бесклеточные¹&lt;sup&gt;,&lt;/sup&gt;³ — 30&amp;nbsp;мкг.&lt;/li&gt;&lt;/ul&gt;
¹&amp;nbsp;Адсорбированный на алюминия гидроксиде (не более 0,55&amp;nbsp;мг Al).&lt;br&gt;
²&amp;nbsp;Флокулирующая единицы.&lt;br&gt;
³&amp;nbsp;Очищенные без разделения компонентов.&lt;br&gt;&lt;br&gt;
&lt;i&gt;Перечень вспомогательных веществ:&lt;/i&gt;
&lt;ul&gt;&lt;li&gt;Натрия хлорида 0,9%&amp;nbsp;раствор.&lt;/li&gt;&lt;/ul&gt;
Вакцина может содержать остаточную производственную примесь, присутствующую в 1&amp;nbsp;дозе вакцины (0,5&amp;nbsp;мл) в следовых количествах: формальдегид (≤ 50&amp;nbsp;мкг).&lt;/p&gt;</t>
  </si>
  <si>
    <t>https://grls.rosminzdrav.ru/InstrImg/2026/04/13/1528563/1136dc5f-fe53-46a4-ba36-20995e399a16.pdf</t>
  </si>
  <si>
    <r>
      <rPr>
        <rFont val="Arial"/>
        <color theme="1"/>
      </rPr>
      <t xml:space="preserve">Одна доза (0.5 мл) содержит:
Конъюгаты очищенных полисахаридов </t>
    </r>
    <r>
      <rPr>
        <rFont val="Arial"/>
        <i/>
        <color theme="1"/>
      </rPr>
      <t>Neisseria meningitidis</t>
    </r>
    <r>
      <rPr>
        <rFont val="Arial"/>
        <color theme="1"/>
      </rPr>
      <t xml:space="preserve"> и столбнячного анатоксина
• A — 5 мкг полисахарида; около 15 мкг столбнячного анатоксина. Среднее соотношение: 3;
• C — 5 мкг полисахарида; около 15 мкг столбнячного анатоксина. Среднее соотношение: 3;
• W-135 — 5 мкг полисахарида; около 7,5 мкг столбнячного анатоксина. Среднее соотношение: 1,5;
• Y — 5 мкг полисахарида; около 6,5 мкг столбнячного анатоксина. Среднее соотношение: 1,3.
Перечень вспомогательных веществ:
</t>
    </r>
    <r>
      <rPr>
        <rFont val="Arial"/>
        <i/>
        <color theme="1"/>
      </rPr>
      <t>Лиофилизат</t>
    </r>
    <r>
      <rPr>
        <rFont val="Arial"/>
        <color theme="1"/>
      </rPr>
      <t xml:space="preserve">
• Трометамол;
• Сахароза.
</t>
    </r>
    <r>
      <rPr>
        <rFont val="Arial"/>
        <i/>
        <color theme="1"/>
      </rPr>
      <t>Растворитель</t>
    </r>
    <r>
      <rPr>
        <rFont val="Arial"/>
        <color theme="1"/>
      </rPr>
      <t xml:space="preserve">
• Натрия хлорид;
• Вода для инъекций.</t>
    </r>
  </si>
  <si>
    <t>&lt;p&gt;Одна доза (0.5&amp;nbsp;мл) содержит:&lt;br&gt;&lt;br&gt;
Конъюгаты очищенных полисахаридов &lt;i&gt;Neisseria meningitidis&lt;/i&gt; и столбнячного анатоксина
&lt;ul&gt;&lt;li&gt;A — 5&amp;nbsp;мкг полисахарида; около 15&amp;nbsp;мкг столбнячного анатоксина. Среднее соотношение:&amp;nbsp;3;&lt;/li&gt;
&lt;li&gt;C — 5&amp;nbsp;мкг полисахарида; около 15&amp;nbsp;мкг столбнячного анатоксина. Среднее соотношение:&amp;nbsp;3;&lt;/li&gt;
&lt;li&gt;W-135 — 5&amp;nbsp;мкг полисахарида; около 7,5&amp;nbsp;мкг столбнячного анатоксина. Среднее соотношение:&amp;nbsp;1,5;&lt;/li&gt;
&lt;li&gt;Y — 5&amp;nbsp;мкг полисахарида; около 6,5&amp;nbsp;мкг столбнячного анатоксина. Среднее соотношение:&amp;nbsp;1,3.&lt;/li&gt;&lt;/ul&gt;
Перечень вспомогательных веществ:&lt;br&gt;&lt;br&gt;
&lt;i&gt;Лиофилизат&lt;/i&gt;
&lt;ul&gt;&lt;li&gt;Трометамол;&lt;/li&gt;
&lt;li&gt;Сахароза.&lt;/li&gt;&lt;/ul&gt;
&lt;i&gt;Растворитель&lt;/i&gt;
&lt;ul&gt;&lt;li&gt;Натрия хлорид;&lt;/li&gt;
&lt;li&gt;Вода для инъекций.&lt;/li&gt;&lt;/ul&gt;&lt;/p&gt;</t>
  </si>
  <si>
    <t>https://grls.rosminzdrav.ru/InstrImg/2026/04/13/1528638/81dbfeae-d02c-4909-ae9d-1b3092cc89e9.pdf</t>
  </si>
  <si>
    <t>preg_BF_text_w/o_html</t>
  </si>
  <si>
    <t>preg_BF_text_html</t>
  </si>
  <si>
    <t>preg_BF_date</t>
  </si>
  <si>
    <t>preg_BF_view_number</t>
  </si>
  <si>
    <t>preg_BF_version</t>
  </si>
  <si>
    <t>preg_BF_version_link</t>
  </si>
  <si>
    <t>Вакцина туберкулезная (БЦЖ)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t>
  </si>
  <si>
    <t>&lt;p&gt;Вакцина туберкулезная (БЦЖ) не предназначена для взрослых.&lt;br&gt;&lt;br&gt;
Данные о применении во время беременности и лактации у человека, а также результаты репродуктивных исследований у животных отсутствуют.&lt;/p&gt;</t>
  </si>
  <si>
    <t>Вакцина БЦЖ-М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t>
  </si>
  <si>
    <t>&lt;p&gt;Вакцина БЦЖ-М не предназначена для взрослых.&lt;br&gt;&lt;br&gt;
Данные о применении во время беременности и лактации у человека, а также результаты репродуктивных исследований у животных отсутствуют.&lt;/p&gt;</t>
  </si>
  <si>
    <t>Неприменимо. Лекарственный препарат используется для вакцинации детей.</t>
  </si>
  <si>
    <t>&lt;p&gt;Неприменимо. Лекарственный препарат используется для вакцинации детей.&lt;/p&gt;</t>
  </si>
  <si>
    <t>Вакцина Инфанрикс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t>
  </si>
  <si>
    <t>&lt;p&gt;Вакцина Инфанрикс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отсутствуют.&lt;/p&gt;</t>
  </si>
  <si>
    <t>АКДС-вакцина не предназначена для взрослых.</t>
  </si>
  <si>
    <t>&lt;p&gt;АКДС-вакцина не предназначена для взрослых.&lt;/p&gt;</t>
  </si>
  <si>
    <t>Применение во время беременности и в период грудного вскармливания возможно только по абсолютным эпидемиологическим показаниям, с учетом соотношения риск/польза, т.е. когда предполагаемая польза для матери превышает предполагаемый риск для плода или грудного ребенка.</t>
  </si>
  <si>
    <t>&lt;p&gt;Применение во время беременности и в период грудного вскармливания возможно только по абсолютным эпидемиологическим показаниям, с учетом соотношения риск/польза, т.е. когда предполагаемая польза для матери превышает предполагаемый риск для плода или грудного ребенка.&lt;/p&gt;</t>
  </si>
  <si>
    <t>Данные о влиянии препарата на течение беременности и кормление грудью отсутствуют.</t>
  </si>
  <si>
    <r>
      <rPr>
        <rFont val="Arial"/>
        <color theme="1"/>
      </rPr>
      <t>&lt;p&gt;</t>
    </r>
    <r>
      <rPr>
        <rFont val="Arial"/>
        <i/>
        <color theme="1"/>
      </rPr>
      <t>&lt;i&gt;Данные о влиянии препарата на течение беременности и кормление грудью отсутствуют.</t>
    </r>
    <r>
      <rPr>
        <rFont val="Arial"/>
        <color theme="1"/>
      </rPr>
      <t>&lt;/i&gt;&lt;/p&gt;</t>
    </r>
  </si>
  <si>
    <t>Не применимо. Вакцина Пентаксим предназначена только для детей.</t>
  </si>
  <si>
    <t>&lt;p&gt;Не применимо. Вакцина Пентаксим предназначена только для детей.&lt;/p&gt;</t>
  </si>
  <si>
    <t>Вакцина Инфанрикс Гекса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t>
  </si>
  <si>
    <t>&lt;p&gt;Вакцина Инфанрикс Гекса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отсутствуют.&lt;/p&gt;</t>
  </si>
  <si>
    <r>
      <rPr>
        <rFont val="Arial"/>
        <i/>
        <color theme="1"/>
      </rPr>
      <t>Беременность</t>
    </r>
    <r>
      <rPr>
        <rFont val="Arial"/>
        <color theme="1"/>
      </rPr>
      <t xml:space="preserve">
Данные о влиянии вакцины на развитие плода отсутствуют.
Возможность вакцинации может быть рассмотрена индивидуально в каждом случае, если предполагаемая польза превышает потенциальный риск.
Подобно другим неживым вакцинам, вред для плода не ожидается.
</t>
    </r>
    <r>
      <rPr>
        <rFont val="Arial"/>
        <i/>
        <color theme="1"/>
      </rPr>
      <t>Лактация</t>
    </r>
    <r>
      <rPr>
        <rFont val="Arial"/>
        <color theme="1"/>
      </rPr>
      <t xml:space="preserve">
Применение вакцины в период грудного вскармливания не изучалось. Возможность вакцинации может быть рассмотрена индивидуально в каждом случае, если предполагаемая польза превышает потенциальный риск.</t>
    </r>
  </si>
  <si>
    <r>
      <rPr>
        <rFont val="Arial"/>
        <i/>
        <color theme="1"/>
      </rPr>
      <t>&lt;p&gt;&lt;i&gt;Беременность</t>
    </r>
    <r>
      <rPr>
        <rFont val="Arial"/>
        <color theme="1"/>
      </rPr>
      <t xml:space="preserve">&lt;/i&gt;&lt;br&gt;
Данные о влиянии вакцины на развитие плода отсутствуют.&lt;br&gt;
Возможность вакцинации может быть рассмотрена индивидуально в каждом случае, если предполагаемая польза превышает потенциальный риск.&lt;br&gt;
Подобно другим неживым вакцинам, вред для плода не ожидается.&lt;br&gt;&lt;br&gt;
</t>
    </r>
    <r>
      <rPr>
        <rFont val="Arial"/>
        <i/>
        <color theme="1"/>
      </rPr>
      <t>&lt;i&gt;Лактация&lt;/i&gt;&lt;br&gt;</t>
    </r>
    <r>
      <rPr>
        <rFont val="Arial"/>
        <color theme="1"/>
      </rPr>
      <t xml:space="preserve">
Применение вакцины в период грудного вскармливания не изучалось. Возможность вакцинации может быть рассмотрена индивидуально в каждом случае, если предполагаемая польза превышает потенциальный риск.&lt;/p&gt;</t>
    </r>
  </si>
  <si>
    <r>
      <rPr>
        <rFont val="Arial"/>
        <i/>
        <color theme="1"/>
      </rPr>
      <t>Беременность</t>
    </r>
    <r>
      <rPr>
        <rFont val="Arial"/>
        <color theme="1"/>
      </rPr>
      <t xml:space="preserve">
Применение во время беременности возможно только при проведении экстренной профилактики, когда предполагаемая польза для матери превышает предполагаемый риск для плода.
</t>
    </r>
    <r>
      <rPr>
        <rFont val="Arial"/>
        <i/>
        <color theme="1"/>
      </rPr>
      <t>Лактация</t>
    </r>
    <r>
      <rPr>
        <rFont val="Arial"/>
        <color theme="1"/>
      </rPr>
      <t xml:space="preserve">
Применение в период грудного вскармливания возможно только при проведении экстренной профилактики, когда предполагаемая польза для матери превышает предполагаемый риск для ребенка.
</t>
    </r>
    <r>
      <rPr>
        <rFont val="Arial"/>
        <i/>
        <color theme="1"/>
      </rPr>
      <t>Фертильность</t>
    </r>
    <r>
      <rPr>
        <rFont val="Arial"/>
        <color theme="1"/>
      </rPr>
      <t xml:space="preserve">
Нет данных о влиянии лекарственного препарата Анатоксин дифтерийный очищенный адсорбированный с уменьшенным содержанием антигена жидкий (АД-М-анатоксин) на фертильность человека.</t>
    </r>
  </si>
  <si>
    <r>
      <rPr>
        <rFont val="Arial"/>
        <i/>
        <color theme="1"/>
      </rPr>
      <t>&lt;p&gt;&lt;i&gt;Беременность</t>
    </r>
    <r>
      <rPr>
        <rFont val="Arial"/>
        <color theme="1"/>
      </rPr>
      <t xml:space="preserve">&lt;/i&gt;&lt;br&gt;
Применение во время беременности возможно только при проведении экстренной профилактики, когда предполагаемая польза для матери превышает предполагаемый риск для плода.&lt;br&gt;&lt;br&gt;
</t>
    </r>
    <r>
      <rPr>
        <rFont val="Arial"/>
        <i/>
        <color theme="1"/>
      </rPr>
      <t>&lt;i&gt;Лактация</t>
    </r>
    <r>
      <rPr>
        <rFont val="Arial"/>
        <color theme="1"/>
      </rPr>
      <t xml:space="preserve">&lt;/i&gt;&lt;br&gt;
Применение в период грудного вскармливания возможно только при проведении экстренной профилактики, когда предполагаемая польза для матери превышает предполагаемый риск для ребенка.&lt;br&gt;&lt;br&gt;
</t>
    </r>
    <r>
      <rPr>
        <rFont val="Arial"/>
        <i/>
        <color theme="1"/>
      </rPr>
      <t>&lt;i&gt;Фертильность</t>
    </r>
    <r>
      <rPr>
        <rFont val="Arial"/>
        <color theme="1"/>
      </rPr>
      <t>&lt;/i&gt;&lt;br&gt;
Нет данных о влиянии лекарственного препарата Анатоксин дифтерийный очищенный адсорбированный с уменьшенным содержанием антигена жидкий (АД-М-анатоксин) на фертильность человека.&lt;/p&gt;</t>
    </r>
  </si>
  <si>
    <r>
      <rPr>
        <rFont val="Arial"/>
        <i/>
        <color theme="1"/>
      </rPr>
      <t>Беременность</t>
    </r>
    <r>
      <rPr>
        <rFont val="Arial"/>
        <color theme="1"/>
      </rPr>
      <t xml:space="preserve">
Не применимо, так как данный препарат предназначен для вакцинации детей.
</t>
    </r>
    <r>
      <rPr>
        <rFont val="Arial"/>
        <i/>
        <color theme="1"/>
      </rPr>
      <t>Лактация</t>
    </r>
    <r>
      <rPr>
        <rFont val="Arial"/>
        <color theme="1"/>
      </rPr>
      <t xml:space="preserve">
Не применимо, так как данный препарат предназначен для вакцинации детей.
</t>
    </r>
    <r>
      <rPr>
        <rFont val="Arial"/>
        <i/>
        <color theme="1"/>
      </rPr>
      <t>Фертильность</t>
    </r>
    <r>
      <rPr>
        <rFont val="Arial"/>
        <color theme="1"/>
      </rPr>
      <t xml:space="preserve">
Нет данных о влиянии лекарственного препарата Анатоксин дифтерийно-столбнячный очищенный адсорбированный жидкий (АДС-анатоксин) на фертильность человека.</t>
    </r>
  </si>
  <si>
    <r>
      <rPr>
        <rFont val="Arial"/>
        <i/>
        <color theme="1"/>
      </rPr>
      <t>&lt;p&gt;&lt;i&gt;Беременность</t>
    </r>
    <r>
      <rPr>
        <rFont val="Arial"/>
        <color theme="1"/>
      </rPr>
      <t xml:space="preserve">&lt;/i&gt;&lt;br&gt;
Не применимо, так как данный препарат предназначен для вакцинации детей.&lt;br&gt;&lt;br&gt;
</t>
    </r>
    <r>
      <rPr>
        <rFont val="Arial"/>
        <i/>
        <color theme="1"/>
      </rPr>
      <t>&lt;i&gt;Лактация</t>
    </r>
    <r>
      <rPr>
        <rFont val="Arial"/>
        <color theme="1"/>
      </rPr>
      <t xml:space="preserve">&lt;/i&gt;&lt;br&gt;
Не применимо, так как данный препарат предназначен для вакцинации детей.&lt;br&gt;&lt;br&gt;
</t>
    </r>
    <r>
      <rPr>
        <rFont val="Arial"/>
        <i/>
        <color theme="1"/>
      </rPr>
      <t>&lt;i&gt;Фертильность</t>
    </r>
    <r>
      <rPr>
        <rFont val="Arial"/>
        <color theme="1"/>
      </rPr>
      <t>&lt;/i&gt;&lt;br&gt;
Нет данных о влиянии лекарственного препарата Анатоксин дифтерийно-столбнячный очищенный адсорбированный жидкий (АДС-анатоксин) на фертильность человека.&lt;/p&gt;</t>
    </r>
  </si>
  <si>
    <r>
      <rPr>
        <rFont val="Arial"/>
        <i/>
        <color theme="1"/>
      </rPr>
      <t>Беременность</t>
    </r>
    <r>
      <rPr>
        <rFont val="Arial"/>
        <color theme="1"/>
      </rPr>
      <t xml:space="preserve">
Применение во время беременности возможно только в тех случаях, когда предполагаемая польза для матери превышает предполагаемый риск для плода.
</t>
    </r>
    <r>
      <rPr>
        <rFont val="Arial"/>
        <i/>
        <color theme="1"/>
      </rPr>
      <t>Лактация</t>
    </r>
    <r>
      <rPr>
        <rFont val="Arial"/>
        <color theme="1"/>
      </rPr>
      <t xml:space="preserve">
Применение в период грудного вскармливания возможно только в тех случаях, когда предполагаемая польза для матери превышает предполагаемый риск для ребенка.
</t>
    </r>
    <r>
      <rPr>
        <rFont val="Arial"/>
        <i/>
        <color theme="1"/>
      </rPr>
      <t>Фертильность</t>
    </r>
    <r>
      <rPr>
        <rFont val="Arial"/>
        <color theme="1"/>
      </rPr>
      <t xml:space="preserve">
Нет данных о влиянии лекарственного препарата Анатоксин дифтерийно-столбнячный очищенный адсорбированный с уменьшенным содержанием антигенов жидкий (АДС-М-анатоксин) на фертильность человека.</t>
    </r>
  </si>
  <si>
    <r>
      <rPr>
        <rFont val="Arial"/>
        <i/>
        <color theme="1"/>
      </rPr>
      <t>&lt;p&gt;&lt;i&gt;Беременность</t>
    </r>
    <r>
      <rPr>
        <rFont val="Arial"/>
        <color theme="1"/>
      </rPr>
      <t xml:space="preserve">&lt;/i&gt;&lt;br&gt;
Применение во время беременности возможно только в тех случаях, когда предполагаемая польза для матери превышает предполагаемый риск для плода.&lt;br&gt;&lt;br&gt;
</t>
    </r>
    <r>
      <rPr>
        <rFont val="Arial"/>
        <i/>
        <color theme="1"/>
      </rPr>
      <t>&lt;i&gt;Лактация</t>
    </r>
    <r>
      <rPr>
        <rFont val="Arial"/>
        <color theme="1"/>
      </rPr>
      <t xml:space="preserve">&lt;/i&gt;&lt;br&gt;
Применение в период грудного вскармливания возможно только в тех случаях, когда предполагаемая польза для матери превышает предполагаемый риск для ребенка.&lt;br&gt;&lt;br&gt;
</t>
    </r>
    <r>
      <rPr>
        <rFont val="Arial"/>
        <i/>
        <color theme="1"/>
      </rPr>
      <t>&lt;i&gt;Фертильность</t>
    </r>
    <r>
      <rPr>
        <rFont val="Arial"/>
        <color theme="1"/>
      </rPr>
      <t>&lt;/i&gt;&lt;br&gt;
Нет данных о влиянии лекарственного препарата Анатоксин дифтерийно-столбнячный очищенный адсорбированный с уменьшенным содержанием антигенов жидкий (АДС-М-анатоксин) на фертильность человека.&lt;/p&gt;</t>
    </r>
  </si>
  <si>
    <t>Применение во время беременности и в период грудного вскармливания возможно только по абсолютным эпидемиологическим показаниям, c учетом соотношения риск/польза, т.е. когда предполагаемая польза для матери превышает предполагаемый риск для плода или грудного ребенка.</t>
  </si>
  <si>
    <t>&lt;p&gt;Применение во время беременности и в период грудного вскармливания возможно только по абсолютным эпидемиологическим показаниям, c учетом соотношения риск/польза, т.е. когда предполагаемая польза для матери превышает предполагаемый риск для плода или грудного ребенка.&lt;/p&gt;</t>
  </si>
  <si>
    <r>
      <rPr>
        <rFont val="Arial"/>
        <i/>
        <color theme="1"/>
      </rPr>
      <t>Данные исследований на животных</t>
    </r>
    <r>
      <rPr>
        <rFont val="Arial"/>
        <color theme="1"/>
      </rPr>
      <t xml:space="preserve">
Влияние вакцины Адасель на развитие эмбриона и плода изучалось в рамках двух токсикологических исследований на беременных кроликах. Животные получали внутримышечно две дозы вакцины: до беременности, в период органогенеза (на 6-й день) и позже — на 29-й день беременности (по соотношению масс, введенная доза превышала человеческую в 17 раз). Проведенные исследования не выявили нежелательных эффектов на беременность, роды, лактацию, эмбриональное развитие и развитие до прекращения вскармливания. Не отмечено врожденных пороков развития или признаков тератогенного эффекта, связанных с введением вакцины.
</t>
    </r>
    <r>
      <rPr>
        <rFont val="Arial"/>
        <i/>
        <color theme="1"/>
      </rPr>
      <t>Беременность</t>
    </r>
    <r>
      <rPr>
        <rFont val="Arial"/>
        <color theme="1"/>
      </rPr>
      <t xml:space="preserve">
Адасель может применяться во втором или третьем триместре беременности в соответствии с официальными рекомендациями.
Данные по безопасности из многочисленных опубликованных исследований (4 рандомизированных контролируемых исследования (получены данные для 310 беременных), 1 проспективного наблюдательного исследования (получены данные для 546 беременных), 5 ретроспективных наблюдательных исследований (получены данные для 124810 беременных)), а также данные пассивного наблюдения за женщинами, которые получали вакцину Адасель или вакцину для профилактики дифтерии (с уменьшенным содержанием антигена), коклюша (бесклеточную, с уменьшенным содержанием антигена), столбняка и полиомиелита, не выявили нежелательных эффектов, связанных с вакциной, на беременность или на здоровье плода или новорожденного. Как и в случае с другими инактивированными вакцинами, ожидается, что введение вакцины Адасель в течение любого триместра не причинит вред плоду.
В исследованиях на животных не выявлено прямого или непрямого отрицательного воздействия на беременность, эмбриональное/фетальное развитие, роды или постнатальное развитие.
Применение вакцины Адасель у беременных женщин не приводит к более высокой, чем ожидаемая, частоте нежелательных реакций (как правильно, нежелательные реакции слабые или умеренно интенсивные, обычно самопроизвольно разрешающиеся), а также не причиняет вред плоду или новорожденному.
Ограниченные клинические данные показывают, что после вакцинации во время беременности антитела, передаваемые беременными женщинами плоду, могут влиять на иммунный ответ детей первого года жизни на другие антигены (т.е. дифтерию, столбняк, полиомиелит, пневмококк, менингококк). Однако, в большинстве случаев, концентрация антител остается выше порога защитного уровня. Клиническая значимость данного наблюдения неизвестна.
После введения вакцины Адасель беременным женщинам у большинства из них наблюдался значительный рост уровней антител к коклюшным антигенам, что приводило к еще более высокому уровню материнских антител у новорожденных при измерении в пуповинной крови, который сохранялся в течение 2-4 мес. При этом отмечается некоторое снижение выработки детьми первого года жизни собственных антител против коклюша при последующей первичной вакцинации. Не имеется доказательств того, что это снижение является клинически значимым для защиты от коклюша.
Введение вакцины Адасель женщинам во время беременности эффективно более чем на 90% для профилактики коклюшной инфекции и госпитализаций среди детей первых трех месяцев жизни.
</t>
    </r>
    <r>
      <rPr>
        <rFont val="Arial"/>
        <i/>
        <color theme="1"/>
      </rPr>
      <t>Лактация</t>
    </r>
    <r>
      <rPr>
        <rFont val="Arial"/>
        <color theme="1"/>
      </rPr>
      <t xml:space="preserve">
Влияние вакцины Адасель на младенцев кормящих матерей, привитых данной вакциной, не изучалось. Поскольку вакцина Адасель представляет собой инактивированную вакцину, любой риск для матери или младенца маловероятен. Прежде чем принимать решение о вакцинации кормящей женщины, следует оценить риски и пользу от вакцинации.
Неизвестно, выделяются ли действующие вещества, входящие в состав вакцины Адасель, с грудным молоком у человека, однако антитела к антигенам, входящим в состав вакцины, передавались с молоком у кроликов. Два исследования на животных не показали отрицательного воздействия материнских антител на постнатальное развитие.</t>
    </r>
  </si>
  <si>
    <r>
      <rPr>
        <rFont val="Arial"/>
        <i/>
        <color theme="1"/>
      </rPr>
      <t>&lt;p&gt;&lt;i&gt;Данные исследований на животных</t>
    </r>
    <r>
      <rPr>
        <rFont val="Arial"/>
        <color theme="1"/>
      </rPr>
      <t xml:space="preserve">&lt;/i&gt;&lt;br&gt;
Влияние вакцины Адасель на развитие эмбриона и плода изучалось в рамках двух токсикологических исследований на беременных кроликах. Животные получали внутримышечно две дозы вакцины: до беременности, в период органогенеза (на 6-й день) и позже — на 29-й день беременности (по соотношению масс, введенная доза превышала человеческую в 17&amp;nbsp;раз). Проведенные исследования не выявили нежелательных эффектов на беременность, роды, лактацию, эмбриональное развитие и развитие до прекращения вскармливания. Не отмечено врожденных пороков развития или признаков тератогенного эффекта, связанных с введением вакцины.&lt;br&gt;&lt;br&gt;
</t>
    </r>
    <r>
      <rPr>
        <rFont val="Arial"/>
        <i/>
        <color theme="1"/>
      </rPr>
      <t>&lt;i&gt;Беременность&lt;/i&gt;&lt;br&gt;</t>
    </r>
    <r>
      <rPr>
        <rFont val="Arial"/>
        <color theme="1"/>
      </rPr>
      <t xml:space="preserve">
Адасель может применяться во втором или третьем триместре беременности в соответствии с официальными рекомендациями.&lt;br&gt;
Данные по безопасности из многочисленных опубликованных исследований (4&amp;nbsp;рандомизированных контролируемых исследования (получены данные для 310&amp;nbsp;беременных), 1&amp;nbsp;проспективного наблюдательного исследования (получены данные для 546&amp;nbsp;беременных), 5&amp;nbsp;ретроспективных наблюдательных исследований (получены данные для 124810&amp;nbsp;беременных)), а также данные пассивного наблюдения за женщинами, которые получали вакцину Адасель или вакцину для профилактики дифтерии (с уменьшенным содержанием антигена), коклюша (бесклеточную, с уменьшенным содержанием антигена), столбняка и полиомиелита, не выявили нежелательных эффектов, связанных с вакциной, на беременность или на здоровье плода или новорожденного. Как и в случае с другими инактивированными вакцинами, ожидается, что введение вакцины Адасель в течение любого триместра не причинит вред плоду.&lt;br&gt;
В исследованиях на животных не выявлено прямого или непрямого отрицательного воздействия на беременность, эмбриональное/фетальное развитие, роды или постнатальное развитие.&lt;br&gt;
Применение вакцины Адасель у беременных женщин не приводит к более высокой, чем ожидаемая, частоте нежелательных реакций (как правильно, нежелательные реакции слабые или умеренно интенсивные, обычно самопроизвольно разрешающиеся), а также не причиняет вред плоду или новорожденному.&lt;br&gt;
Ограниченные клинические данные показывают, что после вакцинации во время беременности антитела, передаваемые беременными женщинами плоду, могут влиять на иммунный ответ детей первого года жизни на другие антигены (т.е. дифтерию, столбняк, полиомиелит, пневмококк, менингококк). Однако, в большинстве случаев, концентрация антител остается выше порога защитного уровня. Клиническая значимость данного наблюдения неизвестна.&lt;br&gt;
После введения вакцины Адасель беременным женщинам у большинства из них наблюдался значительный рост уровней антител к коклюшным антигенам, что приводило к еще более высокому уровню материнских антител у новорожденных при измерении в пуповинной крови, который сохранялся в течение 2-4&amp;nbsp;мес. При этом отмечается некоторое снижение выработки детьми первого года жизни собственных антител против коклюша при последующей первичной вакцинации. Не имеется доказательств того, что это снижение является клинически значимым для защиты от коклюша.&lt;br&gt;
Введение вакцины Адасель женщинам во время беременности эффективно более чем на 90% для профилактики коклюшной инфекции и госпитализаций среди детей первых трех месяцев жизни.&lt;br&gt;&lt;br&gt;
</t>
    </r>
    <r>
      <rPr>
        <rFont val="Arial"/>
        <i/>
        <color theme="1"/>
      </rPr>
      <t>&lt;i&gt;Лактация&lt;/i&gt;&lt;br&gt;</t>
    </r>
    <r>
      <rPr>
        <rFont val="Arial"/>
        <color theme="1"/>
      </rPr>
      <t xml:space="preserve">
Влияние вакцины Адасель на младенцев кормящих матерей, привитых данной вакциной, не изучалось. Поскольку вакцина Адасель представляет собой инактивированную вакцину, любой риск для матери или младенца маловероятен. Прежде чем принимать решение о вакцинации кормящей женщины, следует оценить риски и пользу от вакцинации.&lt;br&gt;
Неизвестно, выделяются ли действующие вещества, входящие в состав вакцины Адасель, с грудным молоком у человека, однако антитела к антигенам, входящим в состав вакцины, передавались с молоком у кроликов. Два исследования на животных не показали отрицательного воздействия материнских антител на постнатальное развитие.&lt;/p&gt;</t>
    </r>
  </si>
  <si>
    <t>Клинические исследования по влиянию вакцины АЛЬГАВАК® М на плод у беременных женщин и на грудных детей при введении вакцины кормящим матерям не проводились.
Решение о вакцинации беременных женщин и женщин в период грудного вскармливания возможно, если предполагаемая польза для матери превышает потенциальный риск для плода и ребенка.</t>
  </si>
  <si>
    <t>&lt;p&gt;Клинические исследования по влиянию вакцины АЛЬГАВАК®&amp;nbsp;М на плод у беременных женщин и на грудных детей при введении вакцины кормящим матерям не проводились.&lt;br&gt;&lt;br&gt;
Решение о вакцинации беременных женщин и женщин в период грудного вскармливания возможно, если предполагаемая польза для матери превышает потенциальный риск для плода и ребенка.&lt;/p&gt;</t>
  </si>
  <si>
    <r>
      <rPr>
        <rFont val="Arial"/>
        <i/>
        <color theme="1"/>
      </rPr>
      <t>Беременность</t>
    </r>
    <r>
      <rPr>
        <rFont val="Arial"/>
        <color theme="1"/>
      </rPr>
      <t xml:space="preserve">
Подобно другим инактивированным вакцинам, вред для плода не ожидается. Однако, вакцину АЛЬГАВАК следует применять во время беременности только при явном риске инфицирования.
</t>
    </r>
    <r>
      <rPr>
        <rFont val="Arial"/>
        <i/>
        <color theme="1"/>
      </rPr>
      <t>Лактация</t>
    </r>
    <r>
      <rPr>
        <rFont val="Arial"/>
        <color theme="1"/>
      </rPr>
      <t xml:space="preserve">
Влияние на детей, находящихся на грудном вскармливании, введение вакцины АЛЬГАВАК их матерям, не изучалось.
</t>
    </r>
    <r>
      <rPr>
        <rFont val="Arial"/>
        <i/>
        <color theme="1"/>
      </rPr>
      <t>Фертильность</t>
    </r>
    <r>
      <rPr>
        <rFont val="Arial"/>
        <color theme="1"/>
      </rPr>
      <t xml:space="preserve">
Клинические исследования по влиянию вакцины АЛЬГАВАК на фертильность не проводились. Данные отсутствуют.</t>
    </r>
  </si>
  <si>
    <r>
      <rPr>
        <rFont val="Arial"/>
        <i/>
        <color theme="1"/>
      </rPr>
      <t>&lt;p&gt;&lt;i&gt;Беременность&lt;/i&gt;&lt;br&gt;</t>
    </r>
    <r>
      <rPr>
        <rFont val="Arial"/>
        <color theme="1"/>
      </rPr>
      <t xml:space="preserve">
Подобно другим инактивированным вакцинам, вред для плода не ожидается. Однако, вакцину АЛЬГАВАК следует применять во время беременности только при явном риске инфицирования.&lt;br&gt;&lt;br&gt;
</t>
    </r>
    <r>
      <rPr>
        <rFont val="Arial"/>
        <i/>
        <color theme="1"/>
      </rPr>
      <t>&lt;i&gt;Лактация&lt;/i&gt;&lt;br&gt;</t>
    </r>
    <r>
      <rPr>
        <rFont val="Arial"/>
        <color theme="1"/>
      </rPr>
      <t xml:space="preserve">
Влияние на детей, находящихся на грудном вскармливании, введение вакцины АЛЬГАВАК их матерям, не изучалось.&lt;br&gt;&lt;br&gt;
</t>
    </r>
    <r>
      <rPr>
        <rFont val="Arial"/>
        <i/>
        <color theme="1"/>
      </rPr>
      <t>&lt;i&gt;Фертильность</t>
    </r>
    <r>
      <rPr>
        <rFont val="Arial"/>
        <color theme="1"/>
      </rPr>
      <t>&lt;/i&gt;&lt;br&gt;
Клинические исследования по влиянию вакцины АЛЬГАВАК на фертильность не проводились. Данные отсутствуют.&lt;/p&gt;</t>
    </r>
  </si>
  <si>
    <r>
      <rPr>
        <rFont val="Arial"/>
        <i/>
        <color theme="1"/>
      </rPr>
      <t>Беременность</t>
    </r>
    <r>
      <rPr>
        <rFont val="Arial"/>
        <color theme="1"/>
      </rPr>
      <t xml:space="preserve">
Достаточные данные по применению вакцины Хаврикс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Хаврикс возможно, если предполагаемая польза для матери превышает потенциальный риск для плода.
</t>
    </r>
    <r>
      <rPr>
        <rFont val="Arial"/>
        <i/>
        <color theme="1"/>
      </rPr>
      <t>Лактация</t>
    </r>
    <r>
      <rPr>
        <rFont val="Arial"/>
        <color theme="1"/>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Хаврикс в период грудного вскармливания возможно применять, только если предполагаемая польза для матери превышает потенциальный риск для ребенка.
</t>
    </r>
    <r>
      <rPr>
        <rFont val="Arial"/>
        <i/>
        <color theme="1"/>
      </rPr>
      <t>Фертильность</t>
    </r>
    <r>
      <rPr>
        <rFont val="Arial"/>
        <color theme="1"/>
      </rPr>
      <t xml:space="preserve">
Данные отсутствуют.</t>
    </r>
  </si>
  <si>
    <r>
      <rPr>
        <rFont val="Arial"/>
        <i/>
        <color theme="1"/>
      </rPr>
      <t>&lt;p&gt;&lt;i&gt;Беременность</t>
    </r>
    <r>
      <rPr>
        <rFont val="Arial"/>
        <color theme="1"/>
      </rPr>
      <t xml:space="preserve">&lt;/i&gt;&lt;br&gt;
Достаточные данные по применению вакцины Хаврикс у женщин во время беременности отсутствуют.&lt;br&gt;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минимальным.&lt;br&gt;
Применение вакцины Хаврикс возможно, если предполагаемая польза для матери превышает потенциальный риск для плода.&lt;br&gt;&lt;br&gt;
</t>
    </r>
    <r>
      <rPr>
        <rFont val="Arial"/>
        <i/>
        <color theme="1"/>
      </rPr>
      <t>&lt;i&gt;Лактация</t>
    </r>
    <r>
      <rPr>
        <rFont val="Arial"/>
        <color theme="1"/>
      </rPr>
      <t xml:space="preserve">&lt;/i&gt;&lt;br&gt;
Достаточные данные по применению вакцины у женщин во время грудного вскармливания отсутствуют.&lt;br&gt;
Хотя риск можно считать минимальным, вакцину Хаврикс в период грудного вскармливания возможно применять, только если предполагаемая польза для матери превышает потенциальный риск для ребенка.&lt;br&gt;&lt;br&gt;
</t>
    </r>
    <r>
      <rPr>
        <rFont val="Arial"/>
        <i/>
        <color theme="1"/>
      </rPr>
      <t>&lt;i&gt;Фертильность</t>
    </r>
    <r>
      <rPr>
        <rFont val="Arial"/>
        <color theme="1"/>
      </rPr>
      <t>&lt;/i&gt;&lt;br&gt;
Данные отсутствуют.&lt;/p&gt;</t>
    </r>
  </si>
  <si>
    <r>
      <rPr>
        <rFont val="Arial"/>
        <i/>
        <color theme="1"/>
      </rPr>
      <t>Беременность</t>
    </r>
    <r>
      <rPr>
        <rFont val="Arial"/>
        <color theme="1"/>
      </rPr>
      <t xml:space="preserve">
Достаточные данные по применению вакцины Хаврикс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Хаврикс возможно, если предполагаемая польза для матери превышает потенциальный риск для плода.
</t>
    </r>
    <r>
      <rPr>
        <rFont val="Arial"/>
        <i/>
        <color theme="1"/>
      </rPr>
      <t>Лактация</t>
    </r>
    <r>
      <rPr>
        <rFont val="Arial"/>
        <color theme="1"/>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Хаврикс в период грудного вскармливания возможно применять, только если предполагаемая польза для матери превышает потенциальный риск для ребенка.
</t>
    </r>
    <r>
      <rPr>
        <rFont val="Arial"/>
        <i/>
        <color theme="1"/>
      </rPr>
      <t>Фертильность</t>
    </r>
    <r>
      <rPr>
        <rFont val="Arial"/>
        <color theme="1"/>
      </rPr>
      <t xml:space="preserve">
Данные отсутствуют.</t>
    </r>
  </si>
  <si>
    <r>
      <rPr>
        <rFont val="Arial"/>
        <i/>
        <color theme="1"/>
      </rPr>
      <t>&lt;p&gt;&lt;i&gt;Беременность</t>
    </r>
    <r>
      <rPr>
        <rFont val="Arial"/>
        <color theme="1"/>
      </rPr>
      <t xml:space="preserve">&lt;/i&gt;&lt;br&gt;
Достаточные данные по применению вакцины Хаврикс у женщин во время беременности отсутствуют.&lt;br&gt;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минимальным.&lt;br&gt;
Применение вакцины Хаврикс возможно, если предполагаемая польза для матери превышает потенциальный риск для плода.&lt;br&gt;&lt;br&gt;
</t>
    </r>
    <r>
      <rPr>
        <rFont val="Arial"/>
        <i/>
        <color theme="1"/>
      </rPr>
      <t>&lt;i&gt;Лактация</t>
    </r>
    <r>
      <rPr>
        <rFont val="Arial"/>
        <color theme="1"/>
      </rPr>
      <t xml:space="preserve">&lt;/i&gt;&lt;br&gt;
Достаточные данные по применению вакцины у женщин во время грудного вскармливания отсутствуют.&lt;br&gt;
Хотя риск можно считать минимальным, вакцину Хаврикс в период грудного вскармливания возможно применять, только если предполагаемая польза для матери превышает потенциальный риск для ребенка.&lt;br&gt;&lt;br&gt;
</t>
    </r>
    <r>
      <rPr>
        <rFont val="Arial"/>
        <i/>
        <color theme="1"/>
      </rPr>
      <t>&lt;i&gt;Фертильность</t>
    </r>
    <r>
      <rPr>
        <rFont val="Arial"/>
        <color theme="1"/>
      </rPr>
      <t>&lt;/i&gt;&lt;br&gt;
Данные отсутствуют.&lt;/p&gt;</t>
    </r>
  </si>
  <si>
    <t>Исследования влияния вакцины Аваксим 80 (вакцина для профилактики гепатита А инактивированная, адсорбированная) на репродуктивную систему у животных не проводились.
Из-за ограниченного количества данных по применению вакцины у беременных женщин ее использование во время беременности не рекомендуется. Решение о вакцинации женщин в период беременности следует принимать только при наличии однозначных показаний на основании оценки баланса пользы и риска.
Неизвестно, выделяется ли вакцина с грудным молоком. Использовать вакцину у кормящих женщин следует с осторожностью.</t>
  </si>
  <si>
    <t>&lt;p&gt;Исследования влияния вакцины Аваксим&amp;nbsp;80 (вакцина для профилактики гепатита А инактивированная, адсорбированная) на репродуктивную систему у животных не проводились.&lt;br&gt;&lt;br&gt;
Из-за ограниченного количества данных по применению вакцины у беременных женщин ее использование во время беременности не рекомендуется. Решение о вакцинации женщин в период беременности следует принимать только при наличии однозначных показаний на основании оценки баланса пользы и риска.&lt;br&gt;&lt;br&gt;
Неизвестно, выделяется ли вакцина с грудным молоком. Использовать вакцину у кормящих женщин следует с осторожностью.&lt;/p&gt;</t>
  </si>
  <si>
    <t>https://grls.rosminzdrav.ru/InstrImg/2021/10/06/1474149/9fb37d4d-6fc7-451d-ae8b-ff2258dcae40.pdf</t>
  </si>
  <si>
    <t>Из-за ограниченного количества данных по применению вакцины у беременных женщин ее использование во время беременности не рекомендуется. Решение о вакцинации женщин в период беременности следует принимать только при наличии однозначных показаний на основании оценки баланса пользы и риска.
Неизвестно, выделяется ли вакцина с грудным молоком. Использовать вакцину у кормящих женщин следует с осторожностью.</t>
  </si>
  <si>
    <t>&lt;p&gt;Из-за ограниченного количества данных по применению вакцины у беременных женщин ее использование во время беременности не рекомендуется. Решение о вакцинации женщин в период беременности следует принимать только при наличии однозначных показаний на основании оценки баланса пользы и риска.&lt;br&gt;&lt;br&gt;
Неизвестно, выделяется ли вакцина с грудным молоком. Использовать вакцину у кормящих женщин следует с осторожностью.&lt;/p&gt;</t>
  </si>
  <si>
    <r>
      <rPr>
        <rFont val="Arial"/>
        <i/>
        <color theme="1"/>
      </rPr>
      <t>Беременность</t>
    </r>
    <r>
      <rPr>
        <rFont val="Arial"/>
        <color theme="1"/>
      </rPr>
      <t xml:space="preserve">
Влияние вакцины на плод не изучено. Экспериментальные исследования влияния на репродуктивную функцию у животных не проводились. Возможность вакцинации беременной женщины может быть рассмотрена при крайне высоком риске инфицирования.
</t>
    </r>
    <r>
      <rPr>
        <rFont val="Arial"/>
        <i/>
        <color theme="1"/>
      </rPr>
      <t>Лактация</t>
    </r>
    <r>
      <rPr>
        <rFont val="Arial"/>
        <color theme="1"/>
      </rPr>
      <t xml:space="preserve">
Данные по применению вакцины Регевак В (Вакцина против гепатита В, рекомбинантная дрожжевая жидкая) в период грудного вскармливания отсутствуют.
</t>
    </r>
    <r>
      <rPr>
        <rFont val="Arial"/>
        <i/>
        <color theme="1"/>
      </rPr>
      <t>Фертильность</t>
    </r>
    <r>
      <rPr>
        <rFont val="Arial"/>
        <color theme="1"/>
      </rPr>
      <t xml:space="preserve">
Не изучалось.</t>
    </r>
  </si>
  <si>
    <r>
      <rPr>
        <rFont val="Arial"/>
        <i/>
        <color theme="1"/>
      </rPr>
      <t>&lt;p&gt;&lt;i&gt;Беременность&lt;/i&gt;&lt;br&gt;</t>
    </r>
    <r>
      <rPr>
        <rFont val="Arial"/>
        <color theme="1"/>
      </rPr>
      <t xml:space="preserve">
Влияние вакцины на плод не изучено. Экспериментальные исследования влияния на репродуктивную функцию у животных не проводились. Возможность вакцинации беременной женщины может быть рассмотрена при крайне высоком риске инфицирования.&lt;br&gt;&lt;br&gt;
</t>
    </r>
    <r>
      <rPr>
        <rFont val="Arial"/>
        <i/>
        <color theme="1"/>
      </rPr>
      <t>&lt;i&gt;</t>
    </r>
    <r>
      <rPr>
        <rFont val="Arial"/>
        <color theme="1"/>
      </rPr>
      <t>Лактация&lt;/i&gt;&lt;br&gt;
Данные по применению вакцины Регевак В (Вакцина против гепатита В, рекомбинантная дрожжевая жидкая) в период грудного вскармливания отсутствуют.&lt;br&gt;&lt;br&gt;
&lt;i&gt;Фертильность&lt;/i&gt;&lt;br&gt;
Не изучалось.&lt;/p&gt;</t>
    </r>
  </si>
  <si>
    <r>
      <rPr>
        <rFont val="Arial"/>
        <i/>
        <color theme="1"/>
      </rPr>
      <t>Беременность</t>
    </r>
    <r>
      <rPr>
        <rFont val="Arial"/>
        <color theme="1"/>
      </rPr>
      <t xml:space="preserve">
Достаточные данные по применению вакцины для профилактики гепатита В (рДНК, адсорбированной)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для профилактики гепатита В (рДНК, адсорбированной) возможно, если предполагаемая польза для матери превышает потенциальный риск для плода.
</t>
    </r>
    <r>
      <rPr>
        <rFont val="Arial"/>
        <i/>
        <color theme="1"/>
      </rPr>
      <t>Лактация</t>
    </r>
    <r>
      <rPr>
        <rFont val="Arial"/>
        <color theme="1"/>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для профилактики гепатита В (рДНК, адсорбированную) в период грудного вскармливания возможно применять, только если предполагаемая польза для матери превышает потенциальный риск для ребенка.</t>
    </r>
  </si>
  <si>
    <r>
      <rPr>
        <rFont val="Arial"/>
        <i/>
        <color theme="1"/>
      </rPr>
      <t>&lt;p&gt;&lt;i&gt;Беременность&lt;/i&gt;&lt;br&gt;</t>
    </r>
    <r>
      <rPr>
        <rFont val="Arial"/>
        <color theme="1"/>
      </rPr>
      <t xml:space="preserve">
Достаточные данные по применению вакцины для профилактики гепатита В (рДНК, адсорбированной)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для профилактики гепатита В (рДНК, адсорбированной) возможно, если предполагаемая польза для матери превышает потенциальный риск для плода.&lt;br&gt;&lt;br&gt;
</t>
    </r>
    <r>
      <rPr>
        <rFont val="Arial"/>
        <i/>
        <color theme="1"/>
      </rPr>
      <t>&lt;i&gt;Лактация&lt;/i&gt;&lt;br&gt;</t>
    </r>
    <r>
      <rPr>
        <rFont val="Arial"/>
        <color theme="1"/>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для профилактики гепатита В (рДНК, адсорбированную) в период грудного вскармливания возможно применять, только если предполагаемая польза для матери превышает потенциальный риск для ребенка.&lt;/p&gt;</t>
    </r>
  </si>
  <si>
    <t>Влияние HBsAg на развитие плода не изучалось. Вместе с тем, как и в случае использования любой инактивированной вакцины, представляется маловероятной способность данного препарата оказывать влияние на эмбрион или плод. Тем не менее, вакцина Эувакс В может использоваться у беременных только в том случае, когда высокий риск инфицирования вирусом гепатита B превышает возможное неблагоприятное действие.
Действие вакцины Эувакс В на грудных детей после вакцинации их матерей в специальных исследованиях не изучалось. Вместе с с тем, противопоказаний для использования данной вакцины у кормящих матерей не существует.</t>
  </si>
  <si>
    <t>&lt;p&gt;Влияние HBsAg на развитие плода не изучалось. Вместе с тем, как и в случае использования любой инактивированной вакцины, представляется маловероятной способность данного препарата оказывать влияние на эмбрион или плод. Тем не менее, вакцина Эувакс&amp;nbsp;В может использоваться у беременных только в том случае, когда высокий риск инфицирования вирусом гепатита B превышает возможное неблагоприятное действие.&lt;br&gt;&lt;br&gt;
Действие вакцины Эувакс&amp;nbsp;В на грудных детей после вакцинации их матерей в специальных исследованиях не изучалось. Вместе с с тем, противопоказаний для использования данной вакцины у кормящих матерей не существует.&lt;/p&gt;</t>
  </si>
  <si>
    <t>https://grls.rosminzdrav.ru/InstrImg/2019/8/6/1445331/%D0%9F_N011073[2014]_0.pdf</t>
  </si>
  <si>
    <r>
      <rPr>
        <rFont val="Arial"/>
        <i/>
        <color theme="1"/>
      </rPr>
      <t>Беременность</t>
    </r>
    <r>
      <rPr>
        <rFont val="Arial"/>
        <color theme="1"/>
      </rPr>
      <t xml:space="preserve">
Воздействие вакцины Церварикс на внутриутробную, перинатальную и постнатальную выживаемость и развитие было изучено на животных моделях (крысы). Подобные исследования у животных не подтверждают наличие прямого или косвенного вредного воздействия вакцины на беременность, внутриутробное развитие, роды или постнатальное развитие.
Данные о беременных женщинах, собранные в ходе клинических исследований, из реестров беременных женщин, в ходе эпидемиологических исследований, не дают оснований предполагать, что риск патологий среди новорожденных, включая пороки развития, изменится. Достаточные данные для заключения о наличии или отсутствии влияния вакцины Церварикс на риск спонтанного аборта отсутствуют.
Беременным женщинам и женщинам, планирующим беременность, рекомендуется отложить вакцинацию до завершения беременности.
</t>
    </r>
    <r>
      <rPr>
        <rFont val="Arial"/>
        <i/>
        <color theme="1"/>
      </rPr>
      <t>Лактация</t>
    </r>
    <r>
      <rPr>
        <rFont val="Arial"/>
        <color theme="1"/>
      </rPr>
      <t xml:space="preserve">
Воздействие на детей, находящихся на грудном вскармливании в момент вакцинации их матерей вакциной Церварикс, в клинических исследованиях не оценивалось.
Данные серологических исследований показали, что возможно выделение антител к антигенам вакцины с молоком во время лактационного периода у крыс. Нет данных, происходит ли аналогичная экскреция поствакцинальных антител с человеческим молоком.
Применение вакцины Церварикс в период грудного вскармливания возможно, только если предполагаемая польза для матери превышает потенциальный риск для ребенка.
</t>
    </r>
    <r>
      <rPr>
        <rFont val="Arial"/>
        <i/>
        <color theme="1"/>
      </rPr>
      <t>Фертильность</t>
    </r>
    <r>
      <rPr>
        <rFont val="Arial"/>
        <color theme="1"/>
      </rPr>
      <t xml:space="preserve">
Исследования на животных (крысы) не подтверждают наличие прямого или косвенного вредного воздействия на фертильность. Для человека данные о влиянии вакцины на фертильность отсутствуют.</t>
    </r>
  </si>
  <si>
    <r>
      <rPr>
        <rFont val="Arial"/>
        <i/>
        <color theme="1"/>
      </rPr>
      <t>&lt;p&gt;&lt;i&gt;Беременность</t>
    </r>
    <r>
      <rPr>
        <rFont val="Arial"/>
        <color theme="1"/>
      </rPr>
      <t xml:space="preserve">&lt;/i&gt;&lt;br&gt;
Воздействие вакцины Церварикс на внутриутробную, перинатальную и постнатальную выживаемость и развитие было изучено на животных моделях (крысы). Подобные исследования у животных не подтверждают наличие прямого или косвенного вредного воздействия вакцины на беременность, внутриутробное развитие, роды или постнатальное развитие.&lt;br&gt;
Данные о беременных женщинах, собранные в ходе клинических исследований, из реестров беременных женщин, в ходе эпидемиологических исследований, не дают оснований предполагать, что риск патологий среди новорожденных, включая пороки развития, изменится. Достаточные данные для заключения о наличии или отсутствии влияния вакцины Церварикс на риск спонтанного аборта отсутствуют.&lt;br&gt;
Беременным женщинам и женщинам, планирующим беременность, рекомендуется отложить вакцинацию до завершения беременности.&lt;br&gt;&lt;br&gt;
</t>
    </r>
    <r>
      <rPr>
        <rFont val="Arial"/>
        <i/>
        <color theme="1"/>
      </rPr>
      <t>&lt;i&gt;Лактация</t>
    </r>
    <r>
      <rPr>
        <rFont val="Arial"/>
        <color theme="1"/>
      </rPr>
      <t xml:space="preserve">&lt;/i&gt;&lt;br&gt;
Воздействие на детей, находящихся на грудном вскармливании в момент вакцинации их матерей вакциной Церварикс, в клинических исследованиях не оценивалось.&lt;br&gt;
Данные серологических исследований показали, что возможно выделение антител к антигенам вакцины с молоком во время лактационного периода у крыс. Нет данных, происходит ли аналогичная экскреция поствакцинальных антител с человеческим молоком.&lt;br&gt;
Применение вакцины Церварикс в период грудного вскармливания возможно, только если предполагаемая польза для матери превышает потенциальный риск для ребенка.&lt;br&gt;&lt;br&gt;
</t>
    </r>
    <r>
      <rPr>
        <rFont val="Arial"/>
        <i/>
        <color theme="1"/>
      </rPr>
      <t>&lt;i&gt;Фертильность</t>
    </r>
    <r>
      <rPr>
        <rFont val="Arial"/>
        <color theme="1"/>
      </rPr>
      <t>&lt;/i&gt;&lt;br&gt;
Исследования на животных (крысы) не подтверждают наличие прямого или косвенного вредного воздействия на фертильность. Для человека данные о влиянии вакцины на фертильность отсутствуют.&lt;/p&gt;</t>
    </r>
  </si>
  <si>
    <r>
      <rPr>
        <rFont val="Arial"/>
        <i/>
        <color theme="1"/>
      </rPr>
      <t>Беременность</t>
    </r>
    <r>
      <rPr>
        <rFont val="Arial"/>
        <color theme="1"/>
      </rPr>
      <t xml:space="preserve">
Специальных исследований вакцины у беременных не проводились. Во время программы клинического исследования 3819 женщин (1894 в группе вакцины и 1925 в группе плацебо) сообщили по крайней мере об одной беременности. Не было выявлено существенных различий в типах аномалий или доле беременностей с неблагоприятным исходом у лиц, принимавших Гардасил и плацебо. Эти данные по беременным женщинам (более 1000 выявленных исходов) указывают на отсутствие врожденных пороков развития или токсического действия на плод или новорожденного.
Данные о применении вакцины Гардасил во время беременности не указывают на какие-либо сигналы по безопасности. Тем не менее, этих данных недостаточно, чтобы рекомендовать применение вакцины Гардасил во время беременности. Вакцинацию следует отложить до окончания беременности.
</t>
    </r>
    <r>
      <rPr>
        <rFont val="Arial"/>
        <i/>
        <color theme="1"/>
      </rPr>
      <t>Лактация</t>
    </r>
    <r>
      <rPr>
        <rFont val="Arial"/>
        <color theme="1"/>
      </rPr>
      <t xml:space="preserve">
В клинических исследованиях частота нежелательных реакций у кормящих матерей и младенцев были сопоставимы в группе вакцины и группе плацебо. В дополнение иммуногенность вакцины была сопоставимой у кормящих матерей и не кормящих женщин в период вакцинации.
Вакцину Гардасил можно вводить кормящим женщинам.
</t>
    </r>
    <r>
      <rPr>
        <rFont val="Arial"/>
        <i/>
        <color theme="1"/>
      </rPr>
      <t>Фертильность</t>
    </r>
    <r>
      <rPr>
        <rFont val="Arial"/>
        <color theme="1"/>
      </rPr>
      <t xml:space="preserve">
Исследования на животных не указывают на прямое или косвенное вредное воздействие в отношении токсического действия на репродуктивную функцию. Никакого влияния на мужскую фертильность у крыс не наблюдалось.</t>
    </r>
  </si>
  <si>
    <r>
      <rPr>
        <rFont val="Arial"/>
        <i/>
        <color theme="1"/>
      </rPr>
      <t>&lt;p&gt;&lt;i&gt;Беременность</t>
    </r>
    <r>
      <rPr>
        <rFont val="Arial"/>
        <color theme="1"/>
      </rPr>
      <t xml:space="preserve">&lt;/i&gt;&lt;br&gt;
Специальных исследований вакцины у беременных не проводились. Во время программы клинического исследования 3819&amp;nbsp;женщин (1894 в группе вакцины и 1925 в группе плацебо) сообщили по крайней мере об одной беременности. Не было выявлено существенных различий в типах аномалий или доле беременностей с неблагоприятным исходом у лиц, принимавших Гардасил и плацебо. Эти данные по беременным женщинам (более 1000 выявленных исходов) указывают на отсутствие врожденных пороков развития или токсического действия на плод или новорожденного.&lt;br&gt;
Данные о применении вакцины Гардасил во время беременности не указывают на какие-либо сигналы по безопасности. Тем не менее, этих данных недостаточно, чтобы рекомендовать применение вакцины Гардасил во время беременности. Вакцинацию следует отложить до окончания беременности.&lt;br&gt;&lt;br&gt;
</t>
    </r>
    <r>
      <rPr>
        <rFont val="Arial"/>
        <i/>
        <color theme="1"/>
      </rPr>
      <t>&lt;i&gt;Лактация</t>
    </r>
    <r>
      <rPr>
        <rFont val="Arial"/>
        <color theme="1"/>
      </rPr>
      <t xml:space="preserve">&lt;/i&gt;&lt;br&gt;
В клинических исследованиях частота нежелательных реакций у кормящих матерей и младенцев были сопоставимы в группе вакцины и группе плацебо. В дополнение иммуногенность вакцины была сопоставимой у кормящих матерей и не кормящих женщин в период вакцинации.&lt;br&gt;
Вакцину Гардасил можно вводить кормящим женщинам.&lt;br&gt;&lt;br&gt;
</t>
    </r>
    <r>
      <rPr>
        <rFont val="Arial"/>
        <i/>
        <color theme="1"/>
      </rPr>
      <t>&lt;i&gt;Фертильность</t>
    </r>
    <r>
      <rPr>
        <rFont val="Arial"/>
        <color theme="1"/>
      </rPr>
      <t>&lt;/i&gt;&lt;br&gt;
Исследования на животных не указывают на прямое или косвенное вредное воздействие в отношении токсического действия на репродуктивную функцию. Никакого влияния на мужскую фертильность у крыс не наблюдалось.&lt;/p&gt;</t>
    </r>
  </si>
  <si>
    <r>
      <rPr>
        <rFont val="Arial"/>
        <i/>
        <color theme="1"/>
      </rPr>
      <t>Беременность</t>
    </r>
    <r>
      <rPr>
        <rFont val="Arial"/>
        <color theme="1"/>
      </rPr>
      <t xml:space="preserve">
По результатам исследований на животных, репродуктивная токсичность и тератогенность отсутствуют. Клинические исследования Гам-КОВИД-Вак при беременности не проводились. В связи с этим применять лекарственный препарат Гам-КОВИД-Вак при беременности возможно в тех случаях, когда ожидаемая польза для матери превышает потенциальный риск для плода. Мониторинг безопасности не выявил повышенного риска при непреднамеренной вакцинации беременных.
</t>
    </r>
    <r>
      <rPr>
        <rFont val="Arial"/>
        <i/>
        <color theme="1"/>
      </rPr>
      <t>Лактация</t>
    </r>
    <r>
      <rPr>
        <rFont val="Arial"/>
        <color theme="1"/>
      </rPr>
      <t xml:space="preserve">
Клинические данные по применению лекарственного препарата Гам-КОВИД-Вак у женщин, кормящих грудью, и младенцев отсутствуют. В настоящее время неизвестно, способны ли действующие вещества, входящие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
</t>
    </r>
    <r>
      <rPr>
        <rFont val="Arial"/>
        <i/>
        <color theme="1"/>
      </rPr>
      <t>Фертильность</t>
    </r>
    <r>
      <rPr>
        <rFont val="Arial"/>
        <color theme="1"/>
      </rPr>
      <t xml:space="preserve">
Клинические данные о влиянии на фертильность при приеме лекарственного препарата отсутствуют. По результатам исследований на животных репродуктивная токсичность не выявлена.</t>
    </r>
  </si>
  <si>
    <r>
      <rPr>
        <rFont val="Arial"/>
        <i/>
        <color theme="1"/>
      </rPr>
      <t>&lt;p&gt;&lt;i&gt;Беременность&lt;/i&gt;&lt;br&gt;</t>
    </r>
    <r>
      <rPr>
        <rFont val="Arial"/>
        <color theme="1"/>
      </rPr>
      <t xml:space="preserve">
По результатам исследований на животных, репродуктивная токсичность и тератогенность отсутствуют. Клинические исследования Гам-КОВИД-Вак при беременности не проводились. В связи с этим применять лекарственный препарат Гам-КОВИД-Вак при беременности возможно в тех случаях, когда ожидаемая польза для матери превышает потенциальный риск для плода. Мониторинг безопасности не выявил повышенного риска при непреднамеренной вакцинации беременных.&lt;br&gt;&lt;br&gt;
</t>
    </r>
    <r>
      <rPr>
        <rFont val="Arial"/>
        <i/>
        <color theme="1"/>
      </rPr>
      <t>&lt;i&gt;Лактация&lt;/i&gt;&lt;br&gt;</t>
    </r>
    <r>
      <rPr>
        <rFont val="Arial"/>
        <color theme="1"/>
      </rPr>
      <t xml:space="preserve">
Клинические данные по применению лекарственного препарата Гам-КОВИД-Вак у женщин, кормящих грудью, и младенцев отсутствуют. В настоящее время неизвестно, способны ли действующие вещества, входящие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вакцинации.&lt;br&gt;&lt;br&gt;
</t>
    </r>
    <r>
      <rPr>
        <rFont val="Arial"/>
        <i/>
        <color theme="1"/>
      </rPr>
      <t>&lt;i&gt;Фертильность&lt;/i&gt;&lt;br&gt;</t>
    </r>
    <r>
      <rPr>
        <rFont val="Arial"/>
        <color theme="1"/>
      </rPr>
      <t xml:space="preserve">
Клинические данные о влиянии на фертильность при приеме лекарственного препарата отсутствуют. По результатам исследований на животных репродуктивная токсичность не выявлена.&lt;/p&gt;</t>
    </r>
  </si>
  <si>
    <t>Препарат противопоказан при беременности и в период грудного вскармливания, так как его эффективность и безопасность в этот период не изучались.</t>
  </si>
  <si>
    <t>&lt;p&gt;Препарат противопоказан при беременности и в период грудного вскармливания, так как его эффективность и безопасность в этот период не изучались.&lt;/p&gt;</t>
  </si>
  <si>
    <t>https://grls.rosminzdrav.ru/InstrImg/2022/03/24/1479420/3838bcfc-cc6a-448b-abf8-404668c05a34.pdf</t>
  </si>
  <si>
    <t>Препарат противопоказан при беременности и в период грудного вскармливания, так как его эффективность и безопасность в этот период не изучалась.</t>
  </si>
  <si>
    <t>&lt;p&gt;Препарат противопоказан при беременности и в период грудного вскармливания, так как его эффективность и безопасность в этот период не изучалась.&lt;/p&gt;</t>
  </si>
  <si>
    <t>Доклинические исследования показали, что вакцина не обладает эмбриотоксическим и тератогенным действием. Решение о вакцинации беременных и кормящих грудью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t>
  </si>
  <si>
    <t>&lt;p&gt;Доклинические исследования показали, что вакцина не обладает эмбриотоксическим и тератогенным действием. Решение о вакцинации беременных и кормящих грудью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триместрах.&lt;/p&gt;</t>
  </si>
  <si>
    <t>Доклинические исследования показали, что вакцина Гриппол® не обладает эмбриотоксическим и тератогенным действием. Решение о вакцинации беременных должно приниматься врачом индивидуально с учетом риска заражения гриппом и возможных осложнений гриппозной инфекцией. Наиболее безопасна вакцинация во втором и третьем триместрах.
Кормление грудью не является противопоказанием для вакцинации.</t>
  </si>
  <si>
    <t>&lt;p&gt;Доклинические исследования показали, что вакцина Гриппол® не обладает эмбриотоксическим и тератогенным действием. Решение о вакцинации беременных должно приниматься врачом индивидуально с учетом риска заражения гриппом и возможных осложнений гриппозной инфекцией. Наиболее безопасна вакцинация во втором и третьем триместрах.&lt;br&gt;&lt;br&gt;
Кормление грудью не является противопоказанием для вакцинации.&lt;/p&gt;</t>
  </si>
  <si>
    <r>
      <rPr>
        <rFont val="Arial"/>
        <i/>
        <color theme="1"/>
      </rPr>
      <t>Беременность</t>
    </r>
    <r>
      <rPr>
        <rFont val="Arial"/>
        <color theme="1"/>
      </rPr>
      <t xml:space="preserve">
Доклинические исследования показали, что вакцина гриппозная инактивированная полимер-субъединичная не обладает эмбриотоксическим и тератогенным действием.
Решение о вакцинации беременных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
</t>
    </r>
    <r>
      <rPr>
        <rFont val="Arial"/>
        <i/>
        <color theme="1"/>
      </rPr>
      <t>Лактация</t>
    </r>
    <r>
      <rPr>
        <rFont val="Arial"/>
        <color theme="1"/>
      </rPr>
      <t xml:space="preserve">
Кормление грудью не является противопоказанием для вакцинации.
</t>
    </r>
    <r>
      <rPr>
        <rFont val="Arial"/>
        <i/>
        <color theme="1"/>
      </rPr>
      <t>Фертильность</t>
    </r>
    <r>
      <rPr>
        <rFont val="Arial"/>
        <color theme="1"/>
      </rPr>
      <t xml:space="preserve">
Нет данных по влиянию на фертильность.</t>
    </r>
  </si>
  <si>
    <r>
      <rPr>
        <rFont val="Arial"/>
        <i/>
        <color theme="1"/>
      </rPr>
      <t>&lt;p&gt;&lt;i&gt;Беременность</t>
    </r>
    <r>
      <rPr>
        <rFont val="Arial"/>
        <color theme="1"/>
      </rPr>
      <t xml:space="preserve">&lt;/i&gt;&lt;br&gt;
Доклинические исследования показали, что вакцина гриппозная инактивированная полимер-субъединичная не обладает эмбриотоксическим и тератогенным действием.&lt;br&gt;
Решение о вакцинации беременных должно приниматься врачом индивидуально с учетом риска заражения гриппом и возможных осложнений гриппозной инфекции.&lt;br&gt;
Наиболее безопасна вакцинация во втором и третьем триместрах.&lt;br&gt;&lt;br&gt;
</t>
    </r>
    <r>
      <rPr>
        <rFont val="Arial"/>
        <i/>
        <color theme="1"/>
      </rPr>
      <t>&lt;i&gt;Лактация</t>
    </r>
    <r>
      <rPr>
        <rFont val="Arial"/>
        <color theme="1"/>
      </rPr>
      <t xml:space="preserve">&lt;/i&gt;&lt;br&gt;
Кормление грудью не является противопоказанием для вакцинации.&lt;br&gt;&lt;br&gt;
</t>
    </r>
    <r>
      <rPr>
        <rFont val="Arial"/>
        <i/>
        <color theme="1"/>
      </rPr>
      <t>&lt;i&gt;Фертильность&lt;/i&gt;&lt;br&gt;</t>
    </r>
    <r>
      <rPr>
        <rFont val="Arial"/>
        <color theme="1"/>
      </rPr>
      <t xml:space="preserve">
Нет данных по влиянию на фертильность.&lt;/p&gt;</t>
    </r>
  </si>
  <si>
    <r>
      <rPr>
        <rFont val="Arial"/>
        <i/>
        <color theme="1"/>
      </rPr>
      <t>Беременность</t>
    </r>
    <r>
      <rPr>
        <rFont val="Arial"/>
        <color theme="1"/>
      </rPr>
      <t xml:space="preserve">
Данные клинических испытаний вакцины на беременных женщинах во II и III триместрах беременности показали, что вакцина СОВИГРИПП не оказывает отрицательного воздействия на плод, организм женщины и ребенка. Подобно другим инактивированным вакцинам, вред для плода не ожидается. Беременным женщинам можно вводить только вакцину СОВИГРИПП без консерванта (тиомерсала).
Окончательное решение о вакцинации беременных женщин должно приниматься врачом индивидуально с учетом риска заражения гриппом и возможных осложнений гриппозной инфекции.
</t>
    </r>
    <r>
      <rPr>
        <rFont val="Arial"/>
        <i/>
        <color theme="1"/>
      </rPr>
      <t>Лактация</t>
    </r>
    <r>
      <rPr>
        <rFont val="Arial"/>
        <color theme="1"/>
      </rPr>
      <t xml:space="preserve">
Опыт применения гриппозных инактивированных вакцин показывает, что вакцинация женщины в период грудного вскармливания не оказывает токсического воздействия на ребенка. СОВИГРИПП может применяться в период грудного вскармливания.
</t>
    </r>
    <r>
      <rPr>
        <rFont val="Arial"/>
        <i/>
        <color theme="1"/>
      </rPr>
      <t>Фертильность</t>
    </r>
    <r>
      <rPr>
        <rFont val="Arial"/>
        <color theme="1"/>
      </rPr>
      <t xml:space="preserve">
Нет данных о влиянии лекарственного препарата СОВИГРИПП на фертильность человека.</t>
    </r>
  </si>
  <si>
    <t>&lt;p&gt;&lt;i&gt;Беременность&lt;/i&gt;&lt;br&gt;
Данные клинических испытаний вакцины на беременных женщинах во II и III&amp;nbsp;триместрах беременности показали, что вакцина СОВИГРИПП не оказывает отрицательного воздействия на плод, организм женщины и ребенка. Подобно другим инактивированным вакцинам, вред для плода не ожидается. Беременным женщинам можно вводить только вакцину СОВИГРИПП без консерванта (тиомерсала).&lt;br&gt;
Окончательное решение о вакцинации беременных женщин должно приниматься врачом индивидуально с учетом риска заражения гриппом и возможных осложнений гриппозной инфекции.&lt;br&gt;&lt;br&gt;
&lt;i&gt;Лактация&lt;/i&gt;&lt;br&gt;
Опыт применения гриппозных инактивированных вакцин показывает, что вакцинация женщины в период грудного вскармливания не оказывает токсического воздействия на ребенка. СОВИГРИПП может применяться в период грудного вскармливания.&lt;br&gt;&lt;br&gt;
&lt;i&gt;Фертильность&lt;/i&gt;&lt;br&gt;
Нет данных о влиянии лекарственного препарата СОВИГРИПП на фертильность человека.&lt;/p&gt;</t>
  </si>
  <si>
    <r>
      <rPr>
        <rFont val="Arial"/>
        <i/>
        <color theme="1"/>
      </rPr>
      <t>Беременность</t>
    </r>
    <r>
      <rPr>
        <rFont val="Arial"/>
        <color theme="1"/>
      </rPr>
      <t xml:space="preserve">
Данные клинических исследований вакцины с участием женщин на II и III триместрах беременности показали, что вакцинация не оказывает отрицательного воздействия на плод и организм женщины и может применяться при беременности. Вакцинация данным препаратом может проводиться, начиная со II триместра беременности.
</t>
    </r>
    <r>
      <rPr>
        <rFont val="Arial"/>
        <i/>
        <color theme="1"/>
      </rPr>
      <t>Кормление грудью</t>
    </r>
    <r>
      <rPr>
        <rFont val="Arial"/>
        <color theme="1"/>
      </rPr>
      <t xml:space="preserve">
Влияние на детей, находящихся на грудном вскармливании, введение вакцины «Ультрикс®» их матерям, не изучалось.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
При проведении вакцинации против гриппа беременных женщин используются вакцины, не содержащие консервантов.
</t>
    </r>
    <r>
      <rPr>
        <rFont val="Arial"/>
        <i/>
        <color theme="1"/>
      </rPr>
      <t>Фертильность</t>
    </r>
    <r>
      <rPr>
        <rFont val="Arial"/>
        <color theme="1"/>
      </rPr>
      <t xml:space="preserve">
Данные о влиянии на фертильность отсутствуют.</t>
    </r>
  </si>
  <si>
    <r>
      <rPr>
        <rFont val="Arial"/>
        <i/>
        <color theme="1"/>
      </rPr>
      <t>&lt;p&gt;&lt;i&gt;Беременность</t>
    </r>
    <r>
      <rPr>
        <rFont val="Arial"/>
        <color theme="1"/>
      </rPr>
      <t xml:space="preserve">&lt;/i&gt;&lt;br&gt;
Данные клинических исследований вакцины с участием женщин на II и III&amp;nbsp;триместрах беременности показали, что вакцинация не оказывает отрицательного воздействия на плод и организм женщины и может применяться при беременности. Вакцинация данным препаратом может проводиться, начиная со II&amp;nbsp;триместра беременности.&lt;br&gt;&lt;br&gt;
</t>
    </r>
    <r>
      <rPr>
        <rFont val="Arial"/>
        <i/>
        <color theme="1"/>
      </rPr>
      <t>&lt;i&gt;Кормление грудью</t>
    </r>
    <r>
      <rPr>
        <rFont val="Arial"/>
        <color theme="1"/>
      </rPr>
      <t xml:space="preserve">&lt;/i&gt;&lt;br&gt;
Влияние на детей, находящихся на грудном вскармливании, введение вакцины «Ультрикс®» их матерям, не изучалось.&lt;br&gt;&lt;br&gt;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гриппом.&lt;br&gt;
При проведении вакцинации против гриппа беременных женщин используются вакцины, не&amp;nbsp;содержащие консервантов.&lt;br&gt;&lt;br&gt;
</t>
    </r>
    <r>
      <rPr>
        <rFont val="Arial"/>
        <i/>
        <color theme="1"/>
      </rPr>
      <t>&lt;i&gt;Фертильность</t>
    </r>
    <r>
      <rPr>
        <rFont val="Arial"/>
        <color theme="1"/>
      </rPr>
      <t>&lt;/i&gt;&lt;br&gt;
Данные о влиянии на фертильность отсутствуют.&lt;/p&gt;</t>
    </r>
  </si>
  <si>
    <r>
      <rPr>
        <rFont val="Arial"/>
        <i/>
        <color theme="1"/>
      </rPr>
      <t>Беременность</t>
    </r>
    <r>
      <rPr>
        <rFont val="Arial"/>
        <color theme="1"/>
      </rPr>
      <t xml:space="preserve">
Подобно другим инактивированным вакцинам, вред для плода не ожидается. Беременные женщины подвергаются повышенному риску развития послегриппозных осложнений.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Беременным женщинам можно вводить только вакцину без консерванта (тиомерсала).
</t>
    </r>
    <r>
      <rPr>
        <rFont val="Arial"/>
        <i/>
        <color theme="1"/>
      </rPr>
      <t>Лактация</t>
    </r>
    <r>
      <rPr>
        <rFont val="Arial"/>
        <color theme="1"/>
      </rPr>
      <t xml:space="preserve">
Данные о новорожденных/детях первого года жизни, вскормленных женщинами, привитыми вакциной Флю-М, отсутствуют. Тем не менее, основываясь на опыте применения инактивированных вакцин для профилактики гриппа, вакцину Флю-М можно применять в период грудного вскармливания.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
</t>
    </r>
    <r>
      <rPr>
        <rFont val="Arial"/>
        <i/>
        <color theme="1"/>
      </rPr>
      <t>Фертильность</t>
    </r>
    <r>
      <rPr>
        <rFont val="Arial"/>
        <color theme="1"/>
      </rPr>
      <t xml:space="preserve">
Данные о влиянии на фертильность человека отсутствуют. Исследование репродуктивной токсичности на животных показало отсутствие негативного влияния вакцины Флю-М на показатели фертильности.</t>
    </r>
  </si>
  <si>
    <r>
      <rPr>
        <rFont val="Arial"/>
        <i/>
        <color theme="1"/>
      </rPr>
      <t>&lt;p&gt;&lt;i&gt;Беременность&lt;/i&gt;&lt;br&gt;</t>
    </r>
    <r>
      <rPr>
        <rFont val="Arial"/>
        <color theme="1"/>
      </rPr>
      <t xml:space="preserve">
Подобно другим инактивированным вакцинам, вред для плода не ожидается. Беременные женщины подвергаются повышенному риску развития послегриппозных осложнений.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Беременным женщинам можно вводить только вакцину без консерванта (тиомерсала).&lt;br&gt;&lt;br&gt;
</t>
    </r>
    <r>
      <rPr>
        <rFont val="Arial"/>
        <i/>
        <color theme="1"/>
      </rPr>
      <t>&lt;i&gt;Лактация&lt;/i&gt;&lt;br&gt;</t>
    </r>
    <r>
      <rPr>
        <rFont val="Arial"/>
        <color theme="1"/>
      </rPr>
      <t xml:space="preserve">
Данные о новорожденных/детях первого года жизни, вскормленных женщинами, привитыми вакциной Флю-М, отсутствуют. Тем не менее, основываясь на опыте применения инактивированных вакцин для профилактики гриппа, вакцину Флю-М можно применять в период грудного вскармливания.&lt;br&gt;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гриппом.&lt;br&gt;&lt;br&gt;
</t>
    </r>
    <r>
      <rPr>
        <rFont val="Arial"/>
        <i/>
        <color theme="1"/>
      </rPr>
      <t>&lt;i&gt;Фертильность&lt;/i&gt;&lt;br&gt;</t>
    </r>
    <r>
      <rPr>
        <rFont val="Arial"/>
        <color theme="1"/>
      </rPr>
      <t xml:space="preserve">
Данные о влиянии на фертильность человека отсутствуют. Исследование репродуктивной токсичности на животных показало отсутствие негативного влияния вакцины Флю-М на показатели фертильности.&lt;/p&gt;</t>
    </r>
  </si>
  <si>
    <r>
      <rPr>
        <rFont val="Arial"/>
        <i/>
        <color theme="1"/>
      </rPr>
      <t>Беременность</t>
    </r>
    <r>
      <rPr>
        <rFont val="Arial"/>
        <color theme="1"/>
      </rPr>
      <t xml:space="preserve">
Исследования репродуктивной токсичности вакцины Ваксигрип® у животных не проводились.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гриппозного эпидемического сезона рекомендуется проводить вакцинацию против гриппа вне зависимости от срока беременности. Вакцину Ваксигрип® можно применять на любых сроках беременности. 
Имеющиеся данные о применении инактивированных противогриппозных вакцин в мире, в том числе вакцины Ваксигрип®, в странах, где вакцинация инактивированными противогриппозными вакцинами рекомендуется на всex сроках беременности, не указывают на возможность неблагоприятных исходов в отношении плода или матери, связанных с вакциной.
Имеющиеся данные четырех клинических исследований, проведенных с применением вакцины Ваксигрип® у беременных женщин во втором и третьем триместре (более 5000 беременных и более 5000 их новорожденных наблюдались примерно до 6 месяцев после родов), не указывают на возможность неблагоприятных исходов в отношении плода, новорожденного, детей первого года жизни или матери, связанных с вакциной. 
B клинических исследованиях, проведенных B Южной Африке и Непале, не наблюдалось значительных отличий между группой беременных женщин, привитых вакциной Ваксигрип®, и контрольной группой в отношении плода, новорожденного, детей первого года жизни или матери, связанных с вакциной (включая выкидыши, мертворождения, преждевременные роды, или роды с малым весом новорожденного).
В клиническом исследовании, проведенном в Мали, не наблюдалось значительных отличий между группой беременных женщин, привитых вакциной Ваксигрип®, и контрольной группой, получивших четырехвалентную менингококковую конъюгированную вакцину, по числу недоношенностей, мертворождений, малому весу ребенка при рождении и весу, не соответствующему гестационному сроку.
</t>
    </r>
    <r>
      <rPr>
        <rFont val="Arial"/>
        <i/>
        <color theme="1"/>
      </rPr>
      <t>Грудное вскармливание</t>
    </r>
    <r>
      <rPr>
        <rFont val="Arial"/>
        <color theme="1"/>
      </rPr>
      <t xml:space="preserve">
Данные о новорожденных / детях первого года жизни, вскормленных женщинами, привитыми вакциной Ваксигрип®, отсутствуют. Тем не менее, основываясь на опыте применения инактивированных вакцин для профилактики гриппа, вакцину Ваксигрип® можно применять в период грудного вскармливания.</t>
    </r>
  </si>
  <si>
    <r>
      <rPr>
        <rFont val="Arial"/>
        <i/>
        <color theme="1"/>
      </rPr>
      <t>&lt;p&gt;&lt;i&gt;Беременность</t>
    </r>
    <r>
      <rPr>
        <rFont val="Arial"/>
        <color theme="1"/>
      </rPr>
      <t xml:space="preserve">&lt;/i&gt;&lt;br&gt;
Исследования репродуктивной токсичности вакцины Ваксигрип® у животных не проводились.&lt;br&gt;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гриппозного эпидемического сезона рекомендуется проводить вакцинацию против гриппа вне зависимости от срока беременности. Вакцину Ваксигрип® можно применять на любых сроках беременности.&lt;br&gt;
Имеющиеся данные о применении инактивированных противогриппозных вакцин в мире, в том числе вакцины Ваксигрип®, в странах, где вакцинация инактивированными противогриппозными вакцинами рекомендуется на всex сроках беременности, не указывают на возможность неблагоприятных исходов в отношении плода или матери, связанных с вакциной.&lt;br&gt;
Имеющиеся данные четырех клинических исследований, проведенных с применением вакцины Ваксигрип® у беременных женщин во втором и третьем триместре (более 5000 беременных и более 5000 их новорожденных наблюдались примерно до 6&amp;nbsp;месяцев после родов), не указывают на возможность неблагоприятных исходов в отношении плода, новорожденного, детей первого года жизни или матери, связанных с вакциной.&lt;br&gt;
B клинических исследованиях, проведенных B Южной Африке и Непале, не наблюдалось значительных отличий между группой беременных женщин, привитых вакциной Ваксигрип®, и контрольной группой в отношении плода, новорожденного, детей первого года жизни или матери, связанных с вакциной (включая выкидыши, мертворождения, преждевременные роды, или роды с малым весом новорожденного).&lt;br&gt;
В клиническом исследовании, проведенном в Мали, не наблюдалось значительных отличий между группой беременных женщин, привитых вакциной Ваксигрип®, и контрольной группой, получивших четырехвалентную менингококковую конъюгированную вакцину, по числу недоношенностей, мертворождений, малому весу ребенка при рождении и весу, не соответствующему гестационному сроку.&lt;br&gt;&lt;br&gt;
</t>
    </r>
    <r>
      <rPr>
        <rFont val="Arial"/>
        <i/>
        <color theme="1"/>
      </rPr>
      <t>&lt;i&gt;Грудное вскармливание</t>
    </r>
    <r>
      <rPr>
        <rFont val="Arial"/>
        <color theme="1"/>
      </rPr>
      <t>&lt;/i&gt;&lt;br&gt;
Данные о новорожденных / детях первого года жизни, вскормленных женщинами, привитыми вакциной Ваксигрип®, отсутствуют. Тем не менее, основываясь на опыте применения инактивированных вакцин для профилактики гриппа, вакцину Ваксигрип® можно применять в период грудного вскармливания.&lt;/p&gt;</t>
    </r>
  </si>
  <si>
    <t>https://grls.rosminzdrav.ru/InstrImg/2021/12/14/1476333/6ec3965b-4239-4718-add0-ce5ef822b7c4.pdf</t>
  </si>
  <si>
    <r>
      <rPr>
        <rFont val="Arial"/>
        <i/>
        <color theme="1"/>
      </rPr>
      <t>Беременность</t>
    </r>
    <r>
      <rPr>
        <rFont val="Arial"/>
        <color theme="1"/>
      </rPr>
      <t xml:space="preserve">
Вакцину Инфлювак допускается применять на любом сроке беременности. Имеется большее количество данных по безопасности в отношении применения вакцины во втором и третьем триместре беременности, по сравнению с первым триместром. Информация, касающаяся применения вакцины против гриппа, собранная по всему миру, не указывает на развитие каких-либо неблагоприятных воздействий на плод и мать, связанных с применением вакцины.
</t>
    </r>
    <r>
      <rPr>
        <rFont val="Arial"/>
        <i/>
        <color theme="1"/>
      </rPr>
      <t>Лактация</t>
    </r>
    <r>
      <rPr>
        <rFont val="Arial"/>
        <color theme="1"/>
      </rPr>
      <t xml:space="preserve">
Препарат Инфлювак можно использовать в период грудного вскармливания.
</t>
    </r>
    <r>
      <rPr>
        <rFont val="Arial"/>
        <i/>
        <color theme="1"/>
      </rPr>
      <t>Фертильность</t>
    </r>
    <r>
      <rPr>
        <rFont val="Arial"/>
        <color theme="1"/>
      </rPr>
      <t xml:space="preserve">
Данные о влиянии препарата Инфлювак на фертильность отсутствуют.</t>
    </r>
  </si>
  <si>
    <r>
      <rPr>
        <rFont val="Arial"/>
        <i/>
        <color theme="1"/>
      </rPr>
      <t>&lt;p&gt;&lt;i&gt;Беременность&lt;/i&gt;&lt;br&gt;</t>
    </r>
    <r>
      <rPr>
        <rFont val="Arial"/>
        <color theme="1"/>
      </rPr>
      <t xml:space="preserve">
Вакцину Инфлювак допускается применять на любом сроке беременности. Имеется большее количество данных по безопасности в отношении применения вакцины во втором и третьем триместре беременности, по сравнению с первым триместром. Информация, касающаяся применения вакцины против гриппа, собранная по всему миру, не указывает на развитие каких-либо неблагоприятных воздействий на плод и мать, связанных с применением вакцины.&lt;br&gt;&lt;br&gt;
</t>
    </r>
    <r>
      <rPr>
        <rFont val="Arial"/>
        <i/>
        <color theme="1"/>
      </rPr>
      <t>&lt;i&gt;Лактация</t>
    </r>
    <r>
      <rPr>
        <rFont val="Arial"/>
        <color theme="1"/>
      </rPr>
      <t xml:space="preserve">&lt;/i&gt;&lt;br&gt;
Препарат Инфлювак можно использовать в период грудного вскармливания.&lt;br&gt;&lt;br&gt;
</t>
    </r>
    <r>
      <rPr>
        <rFont val="Arial"/>
        <i/>
        <color theme="1"/>
      </rPr>
      <t>&lt;i&gt;Фертильность&lt;/i&gt;&lt;br&gt;</t>
    </r>
    <r>
      <rPr>
        <rFont val="Arial"/>
        <color theme="1"/>
      </rPr>
      <t xml:space="preserve">
Данные о влиянии препарата Инфлювак на фертильность отсутствуют.&lt;/p&gt;</t>
    </r>
  </si>
  <si>
    <r>
      <rPr>
        <rFont val="Arial"/>
        <i/>
        <color theme="1"/>
      </rPr>
      <t>Беременность</t>
    </r>
    <r>
      <rPr>
        <rFont val="Arial"/>
        <color theme="1"/>
      </rPr>
      <t xml:space="preserve">
Данные клинических исследований вакцины с участием женщин на II и III триместрах беременности показали, что вакцинация не оказывает отрицательного воздействия на плод и организм женщины и может применяться при беременности. Вакцинация данным препаратом может проводиться, начиная со II триместра беременности.
</t>
    </r>
    <r>
      <rPr>
        <rFont val="Arial"/>
        <i/>
        <color theme="1"/>
      </rPr>
      <t>Кормление грудью</t>
    </r>
    <r>
      <rPr>
        <rFont val="Arial"/>
        <color theme="1"/>
      </rPr>
      <t xml:space="preserve">
Опыт применения гриппозных инактивированных вакцин показывает, что вакцинация женщины в период грудного вскармливания не оказывает токсического воздействия на ребенка.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
</t>
    </r>
    <r>
      <rPr>
        <rFont val="Arial"/>
        <i/>
        <color theme="1"/>
      </rPr>
      <t>Фертильность</t>
    </r>
    <r>
      <rPr>
        <rFont val="Arial"/>
        <color theme="1"/>
      </rPr>
      <t xml:space="preserve">
Данные о влиянии на фертильность отсутствуют.</t>
    </r>
  </si>
  <si>
    <r>
      <rPr>
        <rFont val="Arial"/>
        <i/>
        <color theme="1"/>
      </rPr>
      <t>&lt;p&gt;&lt;i&gt;Беременность</t>
    </r>
    <r>
      <rPr>
        <rFont val="Arial"/>
        <color theme="1"/>
      </rPr>
      <t xml:space="preserve">&lt;/i&gt;&lt;br&gt;
Данные клинических исследований вакцины с участием женщин на II и III&amp;nbsp;триместрах беременности показали, что вакцинация не оказывает отрицательного воздействия на плод и организм женщины и может применяться при беременности. Вакцинация данным препаратом может проводиться, начиная со II&amp;nbsp;триместра беременности.&lt;br&gt;&lt;br&gt;
</t>
    </r>
    <r>
      <rPr>
        <rFont val="Arial"/>
        <i/>
        <color theme="1"/>
      </rPr>
      <t>&lt;i&gt;Кормление грудью</t>
    </r>
    <r>
      <rPr>
        <rFont val="Arial"/>
        <color theme="1"/>
      </rPr>
      <t xml:space="preserve">&lt;/i&gt;&lt;br&gt;
Опыт применения гриппозных инактивированных вакцин показывает, что вакцинация женщины в период грудного вскармливания не оказывает токсического воздействия на ребенка.&lt;br&gt;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гриппом.&lt;br&gt;&lt;br&gt;
</t>
    </r>
    <r>
      <rPr>
        <rFont val="Arial"/>
        <i/>
        <color theme="1"/>
      </rPr>
      <t>&lt;i&gt;Фертильность</t>
    </r>
    <r>
      <rPr>
        <rFont val="Arial"/>
        <color theme="1"/>
      </rPr>
      <t>&lt;/i&gt;&lt;br&gt;
Данные о влиянии на фертильность отсутствуют.&lt;/p&gt;</t>
    </r>
  </si>
  <si>
    <r>
      <rPr>
        <rFont val="Arial"/>
        <i/>
        <color theme="1"/>
      </rPr>
      <t>Беременность</t>
    </r>
    <r>
      <rPr>
        <rFont val="Arial"/>
        <color theme="1"/>
      </rPr>
      <t xml:space="preserve">
Решение о вакцинации беременных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
</t>
    </r>
    <r>
      <rPr>
        <rFont val="Arial"/>
        <i/>
        <color theme="1"/>
      </rPr>
      <t>Лактация</t>
    </r>
    <r>
      <rPr>
        <rFont val="Arial"/>
        <color theme="1"/>
      </rPr>
      <t xml:space="preserve">
Кормление грудью не является противопоказанием для вакцинации.
</t>
    </r>
    <r>
      <rPr>
        <rFont val="Arial"/>
        <i/>
        <color theme="1"/>
      </rPr>
      <t>Фертильность</t>
    </r>
    <r>
      <rPr>
        <rFont val="Arial"/>
        <color theme="1"/>
      </rPr>
      <t xml:space="preserve">
Нет данных по влиянию на фертильность.</t>
    </r>
  </si>
  <si>
    <r>
      <rPr>
        <rFont val="Arial"/>
        <i/>
        <color theme="1"/>
      </rPr>
      <t>&lt;p&gt;&lt;i&gt;Беременность</t>
    </r>
    <r>
      <rPr>
        <rFont val="Arial"/>
        <color theme="1"/>
      </rPr>
      <t xml:space="preserve">&lt;/i&gt;&lt;br&gt;
Решение о вакцинации беременных должно приниматься врачом индивидуально с учетом риска заражения гриппом и возможных осложнений гриппозной инфекции.&lt;br&gt;
Наиболее безопасна вакцинация во втором и третьем триместрах.&lt;br&gt;&lt;br&gt;
</t>
    </r>
    <r>
      <rPr>
        <rFont val="Arial"/>
        <i/>
        <color theme="1"/>
      </rPr>
      <t>&lt;i&gt;Лактация</t>
    </r>
    <r>
      <rPr>
        <rFont val="Arial"/>
        <color theme="1"/>
      </rPr>
      <t xml:space="preserve">&lt;/i&gt;&lt;br&gt;
Кормление грудью не является противопоказанием для вакцинации.&lt;br&gt;&lt;br&gt;
</t>
    </r>
    <r>
      <rPr>
        <rFont val="Arial"/>
        <i/>
        <color theme="1"/>
      </rPr>
      <t>&lt;i&gt;Фертильность</t>
    </r>
    <r>
      <rPr>
        <rFont val="Arial"/>
        <color theme="1"/>
      </rPr>
      <t>&lt;/i&gt;&lt;br&gt;
Нет данных по влиянию на фертильность.&lt;/p&gt;</t>
    </r>
  </si>
  <si>
    <t xml:space="preserve"> Применение при беременности противопоказано. Допускается проведение вакцинации женщин в период грудного вскармливания по решению врача с учетом оценки соотношения возможного риска заражения и пользы от вакцинации.</t>
  </si>
  <si>
    <t xml:space="preserve"> &lt;p&gt;Применение при беременности противопоказано. Допускается проведение вакцинации женщин в период грудного вскармливания по решению врача с учетом оценки соотношения возможного риска заражения и пользы от вакцинации.&lt;/p&gt;</t>
  </si>
  <si>
    <r>
      <rPr>
        <rFont val="Arial"/>
        <i/>
        <color theme="1"/>
      </rPr>
      <t>Беременность</t>
    </r>
    <r>
      <rPr>
        <rFont val="Arial"/>
        <color theme="1"/>
      </rPr>
      <t xml:space="preserve">
Запрещается назначать вакцину женщинам во время беременности из-за теоретически возможного, но ни разу не подтвержденного тератогенного действия вакцины. Случайная вакцинация беременной женщины не является абсолютным показанием к прерыванию беременности.
</t>
    </r>
    <r>
      <rPr>
        <rFont val="Arial"/>
        <i/>
        <color theme="1"/>
      </rPr>
      <t>Лактация</t>
    </r>
    <r>
      <rPr>
        <rFont val="Arial"/>
        <color theme="1"/>
      </rPr>
      <t xml:space="preserve">
Отсутствуют данные о выделении вакцинных штаммов в грудное молоко человека. В качестве меры предосторожности предпочтительно избегать применения препарата в период грудного вскармливания; при принятии решения следует учитывать пользу для матери и пользу от грудного вскармливания для ребенка.
</t>
    </r>
    <r>
      <rPr>
        <rFont val="Arial"/>
        <i/>
        <color theme="1"/>
      </rPr>
      <t>Фертильность</t>
    </r>
    <r>
      <rPr>
        <rFont val="Arial"/>
        <color theme="1"/>
      </rPr>
      <t xml:space="preserve">
Не изучалось.</t>
    </r>
  </si>
  <si>
    <r>
      <rPr>
        <rFont val="Arial"/>
        <i/>
        <color theme="1"/>
      </rPr>
      <t>&lt;p&gt;&lt;i&gt;Беременность&lt;/i&gt;&lt;br&gt;</t>
    </r>
    <r>
      <rPr>
        <rFont val="Arial"/>
        <color theme="1"/>
      </rPr>
      <t xml:space="preserve">
Запрещается назначать вакцину женщинам во время беременности из-за теоретически возможного, но ни разу не подтвержденного тератогенного действия вакцины. Случайная вакцинация беременной женщины не является абсолютным показанием к прерыванию беременности.&lt;br&gt;&lt;br&gt;
</t>
    </r>
    <r>
      <rPr>
        <rFont val="Arial"/>
        <i/>
        <color theme="1"/>
      </rPr>
      <t>&lt;i&gt;Лактация&lt;/i&gt;&lt;br&gt;</t>
    </r>
    <r>
      <rPr>
        <rFont val="Arial"/>
        <color theme="1"/>
      </rPr>
      <t xml:space="preserve">
Отсутствуют данные о выделении вакцинных штаммов в грудное молоко человека. В качестве меры предосторожности предпочтительно избегать применения препарата в период грудного вскармливания; при принятии решения следует учитывать пользу для матери и пользу от грудного вскармливания для ребенка.&lt;br&gt;&lt;br&gt;
</t>
    </r>
    <r>
      <rPr>
        <rFont val="Arial"/>
        <i/>
        <color theme="1"/>
      </rPr>
      <t>&lt;i&gt;Фертильность&lt;/i&gt;&lt;br&gt;</t>
    </r>
    <r>
      <rPr>
        <rFont val="Arial"/>
        <color theme="1"/>
      </rPr>
      <t xml:space="preserve">
Не изучалось.&lt;/p&gt;</t>
    </r>
  </si>
  <si>
    <t>Беременность числится в списке противопоказаний. Инструкция не содержит сведений о вакцинации во время грудного вскармливания.</t>
  </si>
  <si>
    <t>&lt;p&gt;&lt;i&gt;Беременность числится в списке противопоказаний. Инструкция не содержит сведений о вакцинации во время грудного вскармливания.&lt;/i&gt;&lt;/p&gt;</t>
  </si>
  <si>
    <t>Проведение вакцинации противопоказано.</t>
  </si>
  <si>
    <t>&lt;p&gt;Проведение вакцинации противопоказано.&lt;/p&gt;</t>
  </si>
  <si>
    <r>
      <rPr>
        <rFont val="Arial"/>
        <i/>
        <color theme="1"/>
      </rPr>
      <t>Беременность</t>
    </r>
    <r>
      <rPr>
        <rFont val="Arial"/>
        <color theme="1"/>
      </rPr>
      <t xml:space="preserve">
Применение препарата во время беременности противопоказано. Данные о применении вакцины Вактривир у женщин во время беременности отсутствуют. Женщинам, которые планируют беременность, следует рекомендовать отложить наступление беременности и использовать эффективную контрацепцию в течение 1 месяца после вакцинации. Случайная вакцинация беременной женщины или наступление беременности ранее, чем через 1 месяц после вакцинации, не являются показаниями к прерыванию беременности.
</t>
    </r>
    <r>
      <rPr>
        <rFont val="Arial"/>
        <i/>
        <color theme="1"/>
      </rPr>
      <t>Лактация</t>
    </r>
    <r>
      <rPr>
        <rFont val="Arial"/>
        <color theme="1"/>
      </rPr>
      <t xml:space="preserve">
Применение препарата в период грудного вскармливания противопоказано.</t>
    </r>
  </si>
  <si>
    <r>
      <rPr>
        <rFont val="Arial"/>
        <i/>
        <color theme="1"/>
      </rPr>
      <t>&lt;p&gt;&lt;i&gt;Беременность&lt;/i&gt;&lt;br&gt;</t>
    </r>
    <r>
      <rPr>
        <rFont val="Arial"/>
        <color theme="1"/>
      </rPr>
      <t xml:space="preserve">
Применение препарата во время беременности противопоказано. Данные о применении вакцины Вактривир у женщин во время беременности отсутствуют. Женщинам, которые планируют беременность, следует рекомендовать отложить наступление беременности и использовать эффективную контрацепцию в течение 1&amp;nbsp;месяца после вакцинации. Случайная вакцинация беременной женщины или наступление беременности ранее, чем через 1&amp;nbsp;месяц после вакцинации, не являются показаниями к прерыванию беременности.&lt;br&gt;&lt;br&gt;
</t>
    </r>
    <r>
      <rPr>
        <rFont val="Arial"/>
        <i/>
        <color theme="1"/>
      </rPr>
      <t>&lt;i&gt;Лактация&lt;/i&gt;&lt;br&gt;</t>
    </r>
    <r>
      <rPr>
        <rFont val="Arial"/>
        <color theme="1"/>
      </rPr>
      <t xml:space="preserve">
Применение препарата в период грудного вскармливания противопоказано.&lt;/p&gt;</t>
    </r>
  </si>
  <si>
    <t>Поскольку неизвестно, может ли вакцина М-М-Р II® оказать вредное действие на плод в случае вакцинации беременной женщины, вакцину не следует вводить во время беременности. Более того, следует избегать беременности в течение 1 мес. после вакцинации.
Неизвестно, выделяются ли вакцинные вирусы кори и паротита с грудным молоком. Недавние исследования показали, что при иммунизации живой аттенуированной вакциной против краснухи женщин в период лактации вирус может определяться в грудном молоке и передаваться новорожденным. Случаи тяжелого течения заболевания у новорожденных с серологическими признаками инфицирования вирусом краснухи не встречались, однако у одного ребенка развилась типичная краснуха в легкой форме. В связи с изложенным следует соблюдать осторожность при введении вакцины М-М-Р II® кормящим женщинам.</t>
  </si>
  <si>
    <t>&lt;p&gt;Поскольку неизвестно, может ли вакцина М-М-Р&amp;nbsp;II® оказать вредное действие на плод в случае вакцинации беременной женщины, вакцину не следует вводить во время беременности. Более того, следует избегать беременности в течение 1&amp;nbsp;мес. после вакцинации.&lt;br&gt;&lt;br&gt;
Неизвестно, выделяются ли вакцинные вирусы кори и паротита с грудным молоком. Недавние исследования показали, что при иммунизации живой аттенуированной вакциной против краснухи женщин в период лактации вирус может определяться в грудном молоке и передаваться новорожденным. Случаи тяжелого течения заболевания у новорожденных с серологическими признаками инфицирования вирусом краснухи не встречались, однако у одного ребенка развилась типичная краснуха в легкой форме. В связи с изложенным следует соблюдать осторожность при введении вакцины М-М-Р&amp;nbsp;II® кормящим женщинам.&lt;/p&gt;</t>
  </si>
  <si>
    <t>https://grls.rosminzdrav.ru/InstrImg/2022/09/20/1485497/31812477-c020-47c0-9f2e-80268b27b29f.pdf</t>
  </si>
  <si>
    <r>
      <rPr>
        <rFont val="Arial"/>
        <i/>
        <color theme="1"/>
      </rPr>
      <t>Беременность</t>
    </r>
    <r>
      <rPr>
        <rFont val="Arial"/>
        <color theme="1"/>
      </rPr>
      <t xml:space="preserve">
Противопоказано введение вакцины при беременности (безопасность применения у беременных женщин не изучена, контролируемых клинических исследований не проводилось).
</t>
    </r>
    <r>
      <rPr>
        <rFont val="Arial"/>
        <i/>
        <color theme="1"/>
      </rPr>
      <t>Лактация</t>
    </r>
    <r>
      <rPr>
        <rFont val="Arial"/>
        <color theme="1"/>
      </rPr>
      <t xml:space="preserve">
Противопоказано введение вакцины при кормлении грудью (безопасность применения у кормящих женщин не изучена, контролируемых клинических исследований не проводилось).
</t>
    </r>
    <r>
      <rPr>
        <rFont val="Arial"/>
        <i/>
        <color theme="1"/>
      </rPr>
      <t>Фертильность</t>
    </r>
    <r>
      <rPr>
        <rFont val="Arial"/>
        <color theme="1"/>
      </rPr>
      <t xml:space="preserve">
Нет данных о влиянии лекарственного препарата Вакцина менингококковая группы А полисахаридная на фертильность человека.</t>
    </r>
  </si>
  <si>
    <r>
      <rPr>
        <rFont val="Arial"/>
        <i/>
        <color theme="1"/>
      </rPr>
      <t>&lt;p&gt;&lt;i&gt;Беременность&lt;/i&gt;&lt;br&gt;</t>
    </r>
    <r>
      <rPr>
        <rFont val="Arial"/>
        <color theme="1"/>
      </rPr>
      <t xml:space="preserve">
Противопоказано введение вакцины при беременности (безопасность применения у беременных женщин не изучена, контролируемых клинических исследований не проводилось).&lt;br&gt;&lt;br&gt;
</t>
    </r>
    <r>
      <rPr>
        <rFont val="Arial"/>
        <i/>
        <color theme="1"/>
      </rPr>
      <t>&lt;i&gt;Лактация&lt;/i&gt;&lt;br&gt;</t>
    </r>
    <r>
      <rPr>
        <rFont val="Arial"/>
        <color theme="1"/>
      </rPr>
      <t xml:space="preserve">
Противопоказано введение вакцины при кормлении грудью (безопасность применения у кормящих женщин не изучена, контролируемых клинических исследований не проводилось).&lt;br&gt;&lt;br&gt;
</t>
    </r>
    <r>
      <rPr>
        <rFont val="Arial"/>
        <i/>
        <color theme="1"/>
      </rPr>
      <t>&lt;i&gt;Фертильность&lt;/i&gt;&lt;br&gt;</t>
    </r>
    <r>
      <rPr>
        <rFont val="Arial"/>
        <color theme="1"/>
      </rPr>
      <t xml:space="preserve">
Нет данных о влиянии лекарственного препарата Вакцина менингококковая группы А полисахаридная на фертильность человека.&lt;/p&gt;</t>
    </r>
  </si>
  <si>
    <r>
      <rPr>
        <rFont val="Arial"/>
        <i/>
        <color theme="1"/>
      </rPr>
      <t>Беременность</t>
    </r>
    <r>
      <rPr>
        <rFont val="Arial"/>
        <color theme="1"/>
      </rPr>
      <t xml:space="preserve">
Результаты клинических исследований о безопасности применения препарата Вакцина менингококковая групп А и С полисахаридная при беременности и в период грудного вскармливания отсутствуют. Применение вакцины во время беременности следует ограничить только случаями явного риска инфицирования.
</t>
    </r>
    <r>
      <rPr>
        <rFont val="Arial"/>
        <i/>
        <color theme="1"/>
      </rPr>
      <t>Лактация</t>
    </r>
    <r>
      <rPr>
        <rFont val="Arial"/>
        <color theme="1"/>
      </rPr>
      <t xml:space="preserve">
Влияние на детей, находящихся на грудном вскармливании, после введения препарата Вакцина менингококковая групп А и С полисахаридная их матерям, не изучалось.
</t>
    </r>
    <r>
      <rPr>
        <rFont val="Arial"/>
        <i/>
        <color theme="1"/>
      </rPr>
      <t>Фертильность</t>
    </r>
    <r>
      <rPr>
        <rFont val="Arial"/>
        <color theme="1"/>
      </rPr>
      <t xml:space="preserve">
Нет данных о влиянии лекарственного препарата Вакцина менингококковая групп А и С полисахаридная на фертильность человека.</t>
    </r>
  </si>
  <si>
    <r>
      <rPr>
        <rFont val="Arial"/>
        <i/>
        <color theme="1"/>
      </rPr>
      <t>&lt;p&gt;&lt;i&gt;Беременность&lt;/i&gt;&lt;br&gt;</t>
    </r>
    <r>
      <rPr>
        <rFont val="Arial"/>
        <color theme="1"/>
      </rPr>
      <t xml:space="preserve">
Результаты клинических исследований о безопасности применения препарата Вакцина менингококковая групп А и С полисахаридная при беременности и в период грудного вскармливания отсутствуют. Применение вакцины во время беременности следует ограничить только случаями явного риска инфицирования.&lt;br&gt;&lt;br&gt;
</t>
    </r>
    <r>
      <rPr>
        <rFont val="Arial"/>
        <i/>
        <color theme="1"/>
      </rPr>
      <t>&lt;i&gt;Лактация</t>
    </r>
    <r>
      <rPr>
        <rFont val="Arial"/>
        <color theme="1"/>
      </rPr>
      <t xml:space="preserve">&lt;/i&gt;&lt;br&gt;
Влияние на детей, находящихся на грудном вскармливании, после введения препарата Вакцина менингококковая групп А и С полисахаридная их матерям, не изучалось.&lt;br&gt;&lt;br&gt;
</t>
    </r>
    <r>
      <rPr>
        <rFont val="Arial"/>
        <i/>
        <color theme="1"/>
      </rPr>
      <t>&lt;i&gt;Фертильность&lt;/i&gt;&lt;br&gt;</t>
    </r>
    <r>
      <rPr>
        <rFont val="Arial"/>
        <color theme="1"/>
      </rPr>
      <t xml:space="preserve">
Нет данных о влиянии лекарственного препарата Вакцина менингококковая групп А и С полисахаридная на фертильность человека.&lt;/p&gt;</t>
    </r>
  </si>
  <si>
    <r>
      <rPr>
        <rFont val="Arial"/>
        <i/>
        <color theme="1"/>
      </rPr>
      <t>Беременность</t>
    </r>
    <r>
      <rPr>
        <rFont val="Arial"/>
        <color theme="1"/>
      </rPr>
      <t xml:space="preserve">
Исследования на животных не выявили отрицательного действия вакцины Менактра на течение беременности и эмбриофетальное развитие, процесс родов и постнатальное развитие. В связи с тем, что исследований вакцинации беременных женщин не проводилось, а пострегистрационный опыт ее применения у беременных женщин ограничен, введение вакцины беременным женщинам рекомендуется только в случае крайней необходимости, как например, во время вспышки менингококковой инфекции, перед поездкой в эндемичный район, и только после оценки соотношения пользы и риска вакцинации.
</t>
    </r>
    <r>
      <rPr>
        <rFont val="Arial"/>
        <i/>
        <color theme="1"/>
      </rPr>
      <t>Грудное вскармливание</t>
    </r>
    <r>
      <rPr>
        <rFont val="Arial"/>
        <color theme="1"/>
      </rPr>
      <t xml:space="preserve">
В настоящее время неизвестно, способны ли действующие вещества, входящие в состав вакцины, проникать в грудное молоко. Однако ранее было показано, что антитела к полисахаридам обнаруживаются у молодых мышей, находившихся на грудном вскармливании. В исследованиях у мышей не было продемонстрировано неблагоприятное влияние на постнатальное развитие потомства, получавшего с материнским молоком антитела, выработка которых была индуцирована введением вакцины Менактра. В то же время эффекты у детей первого года жизни, матери которых были иммунизированы вакциной Менактра в период грудного вскармливания, не исследовались. Перед принятием решения об иммунизации кормящей женщины необходимо оценить риски и пользу данной иммунизации.</t>
    </r>
  </si>
  <si>
    <r>
      <rPr>
        <rFont val="Arial"/>
        <i/>
        <color theme="1"/>
      </rPr>
      <t>&lt;p&gt;&lt;i&gt;Беременность</t>
    </r>
    <r>
      <rPr>
        <rFont val="Arial"/>
        <color theme="1"/>
      </rPr>
      <t xml:space="preserve">&lt;/i&gt;&lt;br&gt;
Исследования на животных не выявили отрицательного действия вакцины Менактра на течение беременности и эмбриофетальное развитие, процесс родов и постнатальное развитие. В связи с тем, что исследований вакцинации беременных женщин не проводилось, а пострегистрационный опыт ее применения у беременных женщин ограничен, введение вакцины беременным женщинам рекомендуется только в случае крайней необходимости, как например, во время вспышки менингококковой инфекции, перед поездкой в эндемичный район, и только после оценки соотношения пользы и риска вакцинации.&lt;br&gt;&lt;br&gt;
</t>
    </r>
    <r>
      <rPr>
        <rFont val="Arial"/>
        <i/>
        <color theme="1"/>
      </rPr>
      <t>&lt;i&gt;Грудное вскармливание</t>
    </r>
    <r>
      <rPr>
        <rFont val="Arial"/>
        <color theme="1"/>
      </rPr>
      <t>&lt;/i&gt;&lt;br&gt;
В настоящее время неизвестно, способны ли действующие вещества, входящие в состав вакцины, проникать в грудное молоко. Однако ранее было показано, что антитела к полисахаридам обнаруживаются у молодых мышей, находившихся на грудном вскармливании. В исследованиях у мышей не было продемонстрировано неблагоприятное влияние на постнатальное развитие потомства, получавшего с материнским молоком антитела, выработка которых была индуцирована введением вакцины Менактра. В то же время эффекты у детей первого года жизни, матери которых были иммунизированы вакциной Менактра в период грудного вскармливания, не исследовались. Перед принятием решения об иммунизации кормящей женщины необходимо оценить риски и пользу данной иммунизации.&lt;/p&gt;</t>
    </r>
  </si>
  <si>
    <r>
      <rPr>
        <rFont val="Arial"/>
        <i/>
        <color theme="1"/>
      </rPr>
      <t>Беременность</t>
    </r>
    <r>
      <rPr>
        <rFont val="Arial"/>
        <color theme="1"/>
      </rPr>
      <t xml:space="preserve">
Данные о применении препарата Превенар 13 у беременных женщин отсутствуют.
В связи с этим, следует избегать применения препарата Превенар 13 в течение беременности.
</t>
    </r>
    <r>
      <rPr>
        <rFont val="Arial"/>
        <i/>
        <color theme="1"/>
      </rPr>
      <t>Лактация</t>
    </r>
    <r>
      <rPr>
        <rFont val="Arial"/>
        <color theme="1"/>
      </rPr>
      <t xml:space="preserve">
Отсутствуют данные о выделении антигенов вакцины или поствакцинальных антител вакцины в женское грудное молоко.
</t>
    </r>
    <r>
      <rPr>
        <rFont val="Arial"/>
        <i/>
        <color theme="1"/>
      </rPr>
      <t>Фертильность</t>
    </r>
    <r>
      <rPr>
        <rFont val="Arial"/>
        <color theme="1"/>
      </rPr>
      <t xml:space="preserve">
Исследования на животных свидетельствуют об отсутствии прямых и косвенных неблагоприятных токсических эффектов препарата Превенар 13 на репродуктивную функцию.</t>
    </r>
  </si>
  <si>
    <r>
      <rPr>
        <rFont val="Arial"/>
        <i/>
        <color theme="1"/>
      </rPr>
      <t>&lt;p&gt;&lt;i&gt;Беременность</t>
    </r>
    <r>
      <rPr>
        <rFont val="Arial"/>
        <color theme="1"/>
      </rPr>
      <t xml:space="preserve">&lt;/i&gt;&lt;br&gt;
Данные о применении препарата Превенар&amp;nbsp;13 у беременных женщин отсутствуют.&lt;br&gt;
В связи с этим, следует избегать применения препарата Превенар&amp;nbsp;13 в течение беременности.&lt;br&gt;&lt;br&gt;
</t>
    </r>
    <r>
      <rPr>
        <rFont val="Arial"/>
        <i/>
        <color theme="1"/>
      </rPr>
      <t>&lt;i&gt;Лактация</t>
    </r>
    <r>
      <rPr>
        <rFont val="Arial"/>
        <color theme="1"/>
      </rPr>
      <t xml:space="preserve">&lt;/i&gt;&lt;br&gt;
Отсутствуют данные о выделении антигенов вакцины или поствакцинальных антител вакцины в женское грудное молоко.&lt;br&gt;&lt;br&gt;
</t>
    </r>
    <r>
      <rPr>
        <rFont val="Arial"/>
        <i/>
        <color theme="1"/>
      </rPr>
      <t>&lt;i&gt;Фертильность</t>
    </r>
    <r>
      <rPr>
        <rFont val="Arial"/>
        <color theme="1"/>
      </rPr>
      <t>&lt;/i&gt;&lt;br&gt;
Исследования на животных свидетельствуют об отсутствии прямых и косвенных неблагоприятных токсических эффектов препарата Превенар&amp;nbsp;13 на репродуктивную функцию.&lt;/p&gt;</t>
    </r>
  </si>
  <si>
    <t>Препарат предназначен для детей. Поскольку вакцина Синфлорикс не предназначена для применения у взрослых, исследования по оценке применения вакцины во время беременности или в период кормления грудью не проводились.</t>
  </si>
  <si>
    <t>&lt;p&gt;Препарат предназначен для детей. Поскольку вакцина Синфлорикс не предназначена для применения у взрослых, исследования по оценке применения вакцины во время беременности или в период кормления грудью не проводились.&lt;/p&gt;</t>
  </si>
  <si>
    <t>Не изучено.</t>
  </si>
  <si>
    <t>&lt;p&gt;Не изучено.&lt;/p&gt;</t>
  </si>
  <si>
    <t>Применение при беременности противопоказано.
Возможность и особенность медицинского применения вакцины женщинам в период грудного вскармливания не изучалась.</t>
  </si>
  <si>
    <t>&lt;p&gt;Применение при беременности противопоказано.&lt;br&gt;&lt;br&gt;
Возможность и особенность медицинского применения вакцины женщинам в период грудного вскармливания не изучалась.&lt;/p&gt;</t>
  </si>
  <si>
    <t>https://grls.rosminzdrav.ru/InstrImg/2022/07/11/1482961/91a975c9-b5b0-4f4e-8827-f5683ed7c461.pdf</t>
  </si>
  <si>
    <t>Применение при беременности противопоказано.
Возможность и особенность медицинского применения вакцины женщинам в период грудного вскармливания не изучалась.
При принятии решения о применении препарата у женщины в период грудного вскармливания необходимо учитывать риск развития ВАПП у непривитого ребенка.
Непреднамеренная вакцинация беременной не является показанием к прерыванию беременности.</t>
  </si>
  <si>
    <t>&lt;p&gt;Применение при беременности противопоказано.&lt;br&gt;&lt;br&gt;
Возможность и особенность медицинского применения вакцины женщинам в период грудного вскармливания не изучалась.&lt;br&gt;
При принятии решения о применении препарата у женщины в период грудного вскармливания необходимо учитывать риск развития ВАПП у непривитого ребенка.&lt;br&gt;&lt;br&gt;
Непреднамеренная вакцинация беременной не является показанием к прерыванию беременности.&lt;/p&gt;</t>
  </si>
  <si>
    <t>Данные вакцинации у большого количества беременных женщин не показывают побочных эффектов вакцины против полиомиелита на течение беременности или здоровье плода (новорожденного). Однако вакцину против полиомиелита следует применять в период беременности только при явном риске инфекции.
Вакцину против полиомиелита можно применять в период грудного вскармливания.</t>
  </si>
  <si>
    <t>&lt;p&gt;Данные вакцинации у большого количества беременных женщин не показывают побочных эффектов вакцины против полиомиелита на течение беременности или здоровье плода (новорожденного). Однако вакцину против полиомиелита следует применять в период беременности только при явном риске инфекции.&lt;br&gt;&lt;br&gt;
Вакцину против полиомиелита можно применять в период грудного вскармливания.&lt;/p&gt;</t>
  </si>
  <si>
    <r>
      <rPr>
        <rFont val="Arial"/>
        <i/>
        <color theme="1"/>
      </rPr>
      <t>Беременность</t>
    </r>
    <r>
      <rPr>
        <rFont val="Arial"/>
        <color theme="1"/>
      </rPr>
      <t xml:space="preserve">
Применение препарата КОКАВ при беременности возможно только с лечебно-профилактической целью по жизненным показаниям [...]. Применение при беременности с профилактической целью противопоказано.
</t>
    </r>
    <r>
      <rPr>
        <rFont val="Arial"/>
        <i/>
        <color theme="1"/>
      </rPr>
      <t>Лактация</t>
    </r>
    <r>
      <rPr>
        <rFont val="Arial"/>
        <color theme="1"/>
      </rPr>
      <t xml:space="preserve">
Применение препарата возможно только с лечебно-профилактической целью по жизненным показаниям.
</t>
    </r>
    <r>
      <rPr>
        <rFont val="Arial"/>
        <i/>
        <color theme="1"/>
      </rPr>
      <t>Фертильность</t>
    </r>
    <r>
      <rPr>
        <rFont val="Arial"/>
        <color theme="1"/>
      </rPr>
      <t xml:space="preserve">
Нет данных о влиянии лекарственного препарата КОКАВ на фертильность человека.</t>
    </r>
  </si>
  <si>
    <r>
      <rPr>
        <rFont val="Arial"/>
        <i/>
        <color theme="1"/>
      </rPr>
      <t>&lt;p&gt;&lt;i&gt;Беременность&lt;/i&gt;&lt;br&gt;</t>
    </r>
    <r>
      <rPr>
        <rFont val="Arial"/>
        <color theme="1"/>
      </rPr>
      <t xml:space="preserve">
Применение препарата КОКАВ при беременности возможно только с лечебно-профилактической целью по жизненным показаниям [...]. Применение при беременности с профилактической целью противопоказано.&lt;br&gt;&lt;br&gt;
</t>
    </r>
    <r>
      <rPr>
        <rFont val="Arial"/>
        <i/>
        <color theme="1"/>
      </rPr>
      <t>&lt;i&gt;Лактация</t>
    </r>
    <r>
      <rPr>
        <rFont val="Arial"/>
        <color theme="1"/>
      </rPr>
      <t xml:space="preserve">&lt;/i&gt;&lt;br&gt;
Применение препарата возможно только с лечебно-профилактической целью по жизненным показаниям.&lt;br&gt;&lt;br&gt;
</t>
    </r>
    <r>
      <rPr>
        <rFont val="Arial"/>
        <i/>
        <color theme="1"/>
      </rPr>
      <t>&lt;i&gt;Фертильность</t>
    </r>
    <r>
      <rPr>
        <rFont val="Arial"/>
        <color theme="1"/>
      </rPr>
      <t>&lt;/i&gt;&lt;br&gt;
Нет данных о влиянии лекарственного препарата КОКАВ на фертильность человека.&lt;/p&gt;</t>
    </r>
  </si>
  <si>
    <t>При лечебно-профилактической иммунизации беременность и период грудного вскармливания не является противопоказанием.
Профилактическую иммунизацию беременным и женщинам в период грудного вскармливания не проводят.</t>
  </si>
  <si>
    <t>&lt;p&gt;При лечебно-профилактической иммунизации беременность и период грудного вскармливания не является противопоказанием.&lt;br&gt;&lt;br&gt;
Профилактическую иммунизацию беременным и женщинам в период грудного вскармливания не проводят.&lt;/p&gt;</t>
  </si>
  <si>
    <t>Применение препарата возможно только с лечебно-профилактической целью по жизненным показаниям.</t>
  </si>
  <si>
    <t>&lt;p&gt;Применение препарата возможно только с лечебно-профилактической целью по жизненным показаниям.&lt;/p&gt;</t>
  </si>
  <si>
    <t>Вакцина РотаТек® предназначена только для детей. Данных по применению вакцины при беременности и/или в период грудного вскармливания нет.</t>
  </si>
  <si>
    <t>&lt;p&gt;Вакцина РотаТек® предназначена только для детей. Данных по применению вакцины при беременности и/или в период грудного вскармливания нет.&lt;/p&gt;</t>
  </si>
  <si>
    <t>https://grls.rosminzdrav.ru/InstrImg/2022/11/25/1488637/c97cdf1c-9f19-49af-853a-b664873cc8fb.pdf</t>
  </si>
  <si>
    <t>Проведение вакцинации противопоказано во время беременности и в период грудного вскармливания.
Вакцинация женщин детородного возраста проводится при условии, что женщины на момент вакцинации не беременны и будут принимать меры предосторожности во избежание зачатия в течение 2 месяцев после вакцинации. Случайная вакцинация беременной женщины не является показанием к прерыванию беременности.</t>
  </si>
  <si>
    <t>&lt;p&gt;Проведение вакцинации противопоказано во время беременности и в период грудного вскармливания.&lt;br&gt;&lt;br&gt;
Вакцинация женщин детородного возраста проводится при условии, что женщины на момент вакцинации не беременны и будут принимать меры предосторожности во избежание зачатия в течение 2&amp;nbsp;месяцев после вакцинации. Случайная вакцинация беременной женщины не является показанием к прерыванию беременности.&lt;/p&gt;</t>
  </si>
  <si>
    <r>
      <rPr>
        <rFont val="Arial"/>
        <i/>
        <color theme="1"/>
      </rPr>
      <t>Беременность</t>
    </r>
    <r>
      <rPr>
        <rFont val="Arial"/>
        <color theme="1"/>
      </rPr>
      <t xml:space="preserve">
При плановой вакцинации не рекомендуется введение препарата беременным.
Применение во время беременности возможно только при проведении экстренной профилактики, когда предполагаемая польза для матери превышает предполагаемый риск для плода. При экстренной профилактике столбняка в первой половине беременности противопоказано введение АС-анатоксина (АДС-М-анатоксина) и ПСС, во второй половине — ПСС.
</t>
    </r>
    <r>
      <rPr>
        <rFont val="Arial"/>
        <i/>
        <color theme="1"/>
      </rPr>
      <t>Кормление грудью</t>
    </r>
    <r>
      <rPr>
        <rFont val="Arial"/>
        <color theme="1"/>
      </rPr>
      <t xml:space="preserve">
Применение в период грудного вскармливания возможно только при проведении экстренной профилактики, когда предполагаемая польза для матери превышает предполагаемый риск для ребенка.
</t>
    </r>
    <r>
      <rPr>
        <rFont val="Arial"/>
        <i/>
        <color theme="1"/>
      </rPr>
      <t>Фертильность</t>
    </r>
    <r>
      <rPr>
        <rFont val="Arial"/>
        <color theme="1"/>
      </rPr>
      <t xml:space="preserve">
Нет данных о влиянии лекарственного препарата Анатоксин столбнячный очищенный адсорбированный жидкий (АС-анатоксин) на фертильность человека.</t>
    </r>
  </si>
  <si>
    <r>
      <rPr>
        <rFont val="Arial"/>
        <i/>
        <color theme="1"/>
      </rPr>
      <t>&lt;p&gt;&lt;i&gt;Беременность</t>
    </r>
    <r>
      <rPr>
        <rFont val="Arial"/>
        <color theme="1"/>
      </rPr>
      <t xml:space="preserve">&lt;/i&gt;&lt;br&gt;
При плановой вакцинации не рекомендуется введение препарата беременным.&lt;br&gt;
Применение во время беременности возможно только при проведении экстренной профилактики, когда предполагаемая польза для матери превышает предполагаемый риск для плода. При экстренной профилактике столбняка в первой половине беременности противопоказано введение АС-анатоксина (АДС-М-анатоксина) и ПСС, во второй половине — ПСС.&lt;br&gt;&lt;br&gt;
</t>
    </r>
    <r>
      <rPr>
        <rFont val="Arial"/>
        <i/>
        <color theme="1"/>
      </rPr>
      <t>&lt;i&gt;Кормление грудью</t>
    </r>
    <r>
      <rPr>
        <rFont val="Arial"/>
        <color theme="1"/>
      </rPr>
      <t xml:space="preserve">&lt;/i&gt;&lt;br&gt;
Применение в период грудного вскармливания возможно только при проведении экстренной профилактики, когда предполагаемая польза для матери превышает предполагаемый риск для ребенка.&lt;br&gt;&lt;br&gt;
</t>
    </r>
    <r>
      <rPr>
        <rFont val="Arial"/>
        <i/>
        <color theme="1"/>
      </rPr>
      <t>&lt;i&gt;Фертильность</t>
    </r>
    <r>
      <rPr>
        <rFont val="Arial"/>
        <color theme="1"/>
      </rPr>
      <t>&lt;/i&gt;&lt;br&gt;
Нет данных о влиянии лекарственного препарата Анатоксин столбнячный очищенный адсорбированный жидкий (АС-анатоксин) на фертильность человека.&lt;/p&gt;</t>
    </r>
  </si>
  <si>
    <t>Испытания вакцины ВАКТА® на животных для изучения ее влияния на репродуктивную сферу не проводились. Также нет данных о влиянии вакцины ВАКТА® на способность к деторождению или на плод. Данных о проникновении вакцины в грудное молоко нет.
Применение препарата возможно, если предполагаемая польза для матери превышает потенциальный риск для плода. Поскольку многие препараты проникают в грудное молоко, следует соблюдать осторожность при назначении вакцины ВАКТА® кормящим женщинам.</t>
  </si>
  <si>
    <t>&lt;p&gt;Испытания вакцины ВАКТА® на животных для изучения ее влияния на репродуктивную сферу не проводились. Также нет данных о влиянии вакцины ВАКТА® на способность к деторождению или на плод. Данных о проникновении вакцины в грудное молоко нет.&lt;br&gt;&lt;br&gt;
Применение препарата возможно, если предполагаемая польза для матери превышает потенциальный риск для плода. Поскольку многие препараты проникают в грудное молоко, следует соблюдать осторожность при назначении вакцины ВАКТА® кормящим женщинам.&lt;/p&gt;</t>
  </si>
  <si>
    <r>
      <rPr>
        <rFont val="Arial"/>
        <i/>
        <color theme="1"/>
      </rPr>
      <t>Беременность</t>
    </r>
    <r>
      <rPr>
        <rFont val="Arial"/>
        <color theme="1"/>
      </rPr>
      <t xml:space="preserve">
Клинические исследования безопасности применения вакцины Клещ-Э-Вак при беременности не проводились.
Применение вакцины Клещ-Э-Вак, как и других инактивированных вакцин, связано с низким риском нарушений развития плода, однако вакцинацию во время беременности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
</t>
    </r>
    <r>
      <rPr>
        <rFont val="Arial"/>
        <i/>
        <color theme="1"/>
      </rPr>
      <t>Лактация</t>
    </r>
    <r>
      <rPr>
        <rFont val="Arial"/>
        <color theme="1"/>
      </rPr>
      <t xml:space="preserve">
Влияние на детей, находящихся на грудном вскармливании, после введения вакцины Клещ-Э-Вак их матерям, не изучалось, поэтому вакцинацию в период грудного вскармливания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
</t>
    </r>
    <r>
      <rPr>
        <rFont val="Arial"/>
        <i/>
        <color theme="1"/>
      </rPr>
      <t>Фертильность</t>
    </r>
    <r>
      <rPr>
        <rFont val="Arial"/>
        <color theme="1"/>
      </rPr>
      <t xml:space="preserve">
Нет данных о влиянии вакцины Клещ-Э-Вак на фертильность.</t>
    </r>
  </si>
  <si>
    <t>&lt;p&gt;&lt;i&gt;Беременность&lt;/i&gt;&lt;br&gt;
Клинические исследования безопасности применения вакцины Клещ-Э-Вак при беременности не проводились.&lt;br&gt;
Применение вакцины Клещ-Э-Вак, как и других инактивированных вакцин, связано с низким риском нарушений развития плода, однако вакцинацию во время беременности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применения.&lt;br&gt;&lt;br&gt;
&lt;i&gt;Лактация&lt;/i&gt;&lt;br&gt;
Влияние на детей, находящихся на грудном вскармливании, после введения вакцины Клещ-Э-Вак их матерям, не изучалось, поэтому вакцинацию в период грудного вскармливания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применения.&lt;br&gt;&lt;br&gt;
&lt;i&gt;Фертильность&lt;/i&gt;&lt;br&gt;
Нет данных о влиянии вакцины Клещ-Э-Вак на фертильность.&lt;/p&gt;</t>
  </si>
  <si>
    <r>
      <rPr>
        <rFont val="Arial"/>
        <i/>
        <color theme="1"/>
      </rPr>
      <t>Беременность</t>
    </r>
    <r>
      <rPr>
        <rFont val="Arial"/>
        <color theme="1"/>
      </rPr>
      <t xml:space="preserve">
Клинические исследования безопасности применения вакцины Клещ-Э-Вак при беременности не проводились.
Применение вакцины Клещ-Э-Вак, как и других инактивированных вакцин, связано с низким риском нарушений развития плода, однако вакцинацию во время беременности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
</t>
    </r>
    <r>
      <rPr>
        <rFont val="Arial"/>
        <i/>
        <color theme="1"/>
      </rPr>
      <t>Лактация</t>
    </r>
    <r>
      <rPr>
        <rFont val="Arial"/>
        <color theme="1"/>
      </rPr>
      <t xml:space="preserve">
Влияние на детей, находящихся на грудном вскармливании, после введения вакцины Клещ-Э-Вак их матерям, не изучалось, поэтому вакцинацию в период грудного вскармливания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
</t>
    </r>
    <r>
      <rPr>
        <rFont val="Arial"/>
        <i/>
        <color theme="1"/>
      </rPr>
      <t>Фертильность</t>
    </r>
    <r>
      <rPr>
        <rFont val="Arial"/>
        <color theme="1"/>
      </rPr>
      <t xml:space="preserve">
Нет данных о влиянии вакцины Клещ-Э-Вак на фертильность.</t>
    </r>
  </si>
  <si>
    <r>
      <rPr>
        <rFont val="Arial"/>
        <i/>
        <color theme="1"/>
      </rPr>
      <t>Беременность</t>
    </r>
    <r>
      <rPr>
        <rFont val="Arial"/>
        <color theme="1"/>
      </rPr>
      <t xml:space="preserve">
Клинических исследований по применению вакцины у беременных женщин не проводилось. Подобно другим инактивированным вакцинам, вред для плода не ожидается. Однако, вакцину ЭнцеВир следует применять во время беременности только при явном риске инфицирования после оценки лечащим врачом соотношения ожидаемой пользы и возможного риска применения.
</t>
    </r>
    <r>
      <rPr>
        <rFont val="Arial"/>
        <i/>
        <color theme="1"/>
      </rPr>
      <t>Лактация</t>
    </r>
    <r>
      <rPr>
        <rFont val="Arial"/>
        <color theme="1"/>
      </rPr>
      <t xml:space="preserve">
Влияние на детей, находящихся на грудном вскармливании, введение лекарственного препарата ЭнцеВир их матерям, не изучалось.
Вакцинация женщин в период грудного вскармливания проводится по решению врача с учетом возможного риска заражения клещевым энцефалитом.</t>
    </r>
  </si>
  <si>
    <r>
      <rPr>
        <rFont val="Arial"/>
        <i/>
        <color theme="1"/>
      </rPr>
      <t>&lt;p&gt;&lt;i&gt;Беременность</t>
    </r>
    <r>
      <rPr>
        <rFont val="Arial"/>
        <color theme="1"/>
      </rPr>
      <t xml:space="preserve">&lt;/i&gt;&lt;br&gt;
Клинических исследований по применению вакцины у беременных женщин не проводилось. Подобно другим инактивированным вакцинам, вред для плода не ожидается. Однако, вакцину ЭнцеВир следует применять во время беременности только при явном риске инфицирования после оценки лечащим врачом соотношения ожидаемой пользы и возможного риска применения.&lt;br&gt;&lt;br&gt;
</t>
    </r>
    <r>
      <rPr>
        <rFont val="Arial"/>
        <i/>
        <color theme="1"/>
      </rPr>
      <t>&lt;i&gt;Лактация</t>
    </r>
    <r>
      <rPr>
        <rFont val="Arial"/>
        <color theme="1"/>
      </rPr>
      <t>&lt;/i&gt;&lt;br&gt;
Влияние на детей, находящихся на грудном вскармливании, введение лекарственного препарата ЭнцеВир их матерям, не изучалось.&lt;br&gt;
Вакцинация женщин в период грудного вскармливания проводится по решению врача с учетом возможного риска заражения клещевым энцефалитом.&lt;/p&gt;</t>
    </r>
  </si>
  <si>
    <r>
      <rPr>
        <rFont val="Arial"/>
        <i/>
        <color theme="1"/>
      </rPr>
      <t>Беременность</t>
    </r>
    <r>
      <rPr>
        <rFont val="Arial"/>
        <color theme="1"/>
      </rPr>
      <t xml:space="preserve">
Клинических исследований по применению вакцины у беременных женщин не проводилось. Подобно другим инактивированным вакцинам, вред для плода не ожидается. Однако, вакцину ЭнцеВир Нео детский следует применять во время беременности только при явном риске инфицирования после оценки лечащим врачом соотношения ожидаемой пользы и возможного риска применения.
</t>
    </r>
    <r>
      <rPr>
        <rFont val="Arial"/>
        <i/>
        <color theme="1"/>
      </rPr>
      <t>Лактация</t>
    </r>
    <r>
      <rPr>
        <rFont val="Arial"/>
        <color theme="1"/>
      </rPr>
      <t xml:space="preserve">
Влияние на детей, находящихся на грудном вскармливании, введение лекарственного препарата ЭнцеВир Нео детский их матерям, не изучалось.
Вакцинация женщин в период грудного вскармливания проводится по решению врача с учетом возможного риска заражения клещевым энцефалитом.</t>
    </r>
  </si>
  <si>
    <r>
      <rPr>
        <rFont val="Arial"/>
        <i/>
        <color theme="1"/>
      </rPr>
      <t>&lt;p&gt;&lt;i&gt;Беременность</t>
    </r>
    <r>
      <rPr>
        <rFont val="Arial"/>
        <color theme="1"/>
      </rPr>
      <t xml:space="preserve">&lt;/i&gt;&lt;br&gt;
Клинических исследований по применению вакцины у беременных женщин не проводилось. Подобно другим инактивированным вакцинам, вред для плода не ожидается. Однако, вакцину ЭнцеВир Нео детский следует применять во время беременности только при явном риске инфицирования после оценки лечащим врачом соотношения ожидаемой пользы и возможного риска применения.&lt;br&gt;&lt;br&gt;
</t>
    </r>
    <r>
      <rPr>
        <rFont val="Arial"/>
        <i/>
        <color theme="1"/>
      </rPr>
      <t>&lt;i&gt;Лактация</t>
    </r>
    <r>
      <rPr>
        <rFont val="Arial"/>
        <color theme="1"/>
      </rPr>
      <t>&lt;/i&gt;&lt;br&gt;
Влияние на детей, находящихся на грудном вскармливании, введение лекарственного препарата ЭнцеВир Нео детский их матерям, не изучалось.&lt;br&gt;
Вакцинация женщин в период грудного вскармливания проводится по решению врача с учетом возможного риска заражения клещевым энцефалитом.&lt;/p&gt;</t>
    </r>
  </si>
  <si>
    <r>
      <rPr>
        <rFont val="Arial"/>
        <i/>
        <color theme="1"/>
      </rPr>
      <t>Беременность</t>
    </r>
    <r>
      <rPr>
        <rFont val="Arial"/>
        <color theme="1"/>
      </rPr>
      <t xml:space="preserve">
Клинические исследования безопасности применения Вакцины клещевого энцефалита культуральной очищенной концентрированной инактивированной сухой при беременности не проводились.
Применение Вакцины клещевого энцефалита культуральной очищенной концентрированной инактивированной сухой, как и других инактивированных вакцин, связано с низким риском нарушений развития плода, однако вакцинацию во время беременности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
</t>
    </r>
    <r>
      <rPr>
        <rFont val="Arial"/>
        <i/>
        <color theme="1"/>
      </rPr>
      <t>Лактация</t>
    </r>
    <r>
      <rPr>
        <rFont val="Arial"/>
        <color theme="1"/>
      </rPr>
      <t xml:space="preserve">
Влияние на детей, находящихся на грудном вскармливании, после введения вакцины Вакцины клещевого энцефалита культуральной очищенной концентрированной инактивированной сухой их матерям, не изучалось, поэтому вакцинацию в период грудного вскармливания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
</t>
    </r>
    <r>
      <rPr>
        <rFont val="Arial"/>
        <i/>
        <color theme="1"/>
      </rPr>
      <t>Фертильность</t>
    </r>
    <r>
      <rPr>
        <rFont val="Arial"/>
        <color theme="1"/>
      </rPr>
      <t xml:space="preserve">
Нет данных о влиянии Вакцины клещевого энцефалита культуральной очищенной концентрированной инактивированной сухой на фертильность.</t>
    </r>
  </si>
  <si>
    <r>
      <rPr>
        <rFont val="Arial"/>
        <i/>
        <color theme="1"/>
      </rPr>
      <t>&lt;p&gt;&lt;i&gt;Беременность&lt;/i&gt;&lt;br&gt;</t>
    </r>
    <r>
      <rPr>
        <rFont val="Arial"/>
        <color theme="1"/>
      </rPr>
      <t xml:space="preserve">
Клинические исследования безопасности применения Вакцины клещевого энцефалита культуральной очищенной концентрированной инактивированной сухой при беременности не проводились.&lt;br&gt;
Применение Вакцины клещевого энцефалита культуральной очищенной концентрированной инактивированной сухой, как и других инактивированных вакцин, связано с низким риском нарушений развития плода, однако вакцинацию во время беременности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применения.&lt;br&gt;&lt;br&gt;
</t>
    </r>
    <r>
      <rPr>
        <rFont val="Arial"/>
        <i/>
        <color theme="1"/>
      </rPr>
      <t>&lt;i&gt;Лактация&lt;/i&gt;&lt;br&gt;</t>
    </r>
    <r>
      <rPr>
        <rFont val="Arial"/>
        <color theme="1"/>
      </rPr>
      <t xml:space="preserve">
Влияние на детей, находящихся на грудном вскармливании, после введения вакцины Вакцины клещевого энцефалита культуральной очищенной концентрированной инактивированной сухой их матерям, не изучалось, поэтому вакцинацию в период грудного вскармливания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применения.&lt;br&gt;&lt;br&gt;
</t>
    </r>
    <r>
      <rPr>
        <rFont val="Arial"/>
        <i/>
        <color theme="1"/>
      </rPr>
      <t>&lt;i&gt;Фертильность</t>
    </r>
    <r>
      <rPr>
        <rFont val="Arial"/>
        <color theme="1"/>
      </rPr>
      <t>&lt;/i&gt;&lt;br&gt;
Нет данных о влиянии Вакцины клещевого энцефалита культуральной очищенной концентрированной инактивированной сухой на фертильность.&lt;/p&gt;</t>
    </r>
  </si>
  <si>
    <r>
      <rPr>
        <rFont val="Arial"/>
        <i/>
        <color theme="1"/>
      </rPr>
      <t>Беременность</t>
    </r>
    <r>
      <rPr>
        <rFont val="Arial"/>
        <color theme="1"/>
      </rPr>
      <t xml:space="preserve">
Данные о применении вакцины Варилрикс у женщин во время беременности отсутствуют.
Беременных женщин нельзя вакцинировать вакциной Варилрикс.
Не следует допускать наступления беременности в течение 1 месяца после вакцинации.
Женщинам, которые планируют беременность, следует рекомендовать отложить наступление беременности и использовать эффективную контрацепцию в течение 1 месяца после вакцинации.
</t>
    </r>
    <r>
      <rPr>
        <rFont val="Arial"/>
        <i/>
        <color theme="1"/>
      </rPr>
      <t>Лактация</t>
    </r>
    <r>
      <rPr>
        <rFont val="Arial"/>
        <color theme="1"/>
      </rPr>
      <t xml:space="preserve">
Данные о применении вакцины Варилрикс у женщин в период грудного вскармливания отсутствуют.
</t>
    </r>
    <r>
      <rPr>
        <rFont val="Arial"/>
        <i/>
        <color theme="1"/>
      </rPr>
      <t>Фертильность</t>
    </r>
    <r>
      <rPr>
        <rFont val="Arial"/>
        <color theme="1"/>
      </rPr>
      <t xml:space="preserve">
Данные отсутствуют.</t>
    </r>
  </si>
  <si>
    <r>
      <rPr>
        <rFont val="Arial"/>
        <i/>
        <color theme="1"/>
      </rPr>
      <t>&lt;p&gt;&lt;i&gt;Беременность</t>
    </r>
    <r>
      <rPr>
        <rFont val="Arial"/>
        <color theme="1"/>
      </rPr>
      <t xml:space="preserve">&lt;/i&gt;&lt;br&gt;
Данные о применении вакцины Варилрикс у женщин во время беременности отсутствуют.&lt;br&gt;
Беременных женщин нельзя вакцинировать вакциной Варилрикс.&lt;br&gt;
Не следует допускать наступления беременности в течение 1&amp;nbsp;месяца после вакцинации.&lt;br&gt;
Женщинам, которые планируют беременность, следует рекомендовать отложить наступление беременности и использовать эффективную контрацепцию в течение 1&amp;nbsp;месяца после вакцинации.&lt;br&gt;&lt;br&gt;
</t>
    </r>
    <r>
      <rPr>
        <rFont val="Arial"/>
        <i/>
        <color theme="1"/>
      </rPr>
      <t>&lt;i&gt;Лактация</t>
    </r>
    <r>
      <rPr>
        <rFont val="Arial"/>
        <color theme="1"/>
      </rPr>
      <t xml:space="preserve">&lt;/i&gt;&lt;br&gt;
Данные о применении вакцины Варилрикс у женщин в период грудного вскармливания отсутствуют.&lt;br&gt;&lt;br&gt;
</t>
    </r>
    <r>
      <rPr>
        <rFont val="Arial"/>
        <i/>
        <color theme="1"/>
      </rPr>
      <t>&lt;i&gt;Фертильность</t>
    </r>
    <r>
      <rPr>
        <rFont val="Arial"/>
        <color theme="1"/>
      </rPr>
      <t>&lt;/i&gt;&lt;br&gt;
Данные отсутствуют.&lt;/p&gt;</t>
    </r>
  </si>
  <si>
    <t>Запрещено использовать вакцину желтой лихорадки при беременности и грудном вскармливании.</t>
  </si>
  <si>
    <t>&lt;p&gt;Запрещено использовать вакцину желтой лихорадки при беременности и грудном вскармливании.&lt;/p&gt;</t>
  </si>
  <si>
    <r>
      <rPr>
        <rFont val="Arial"/>
        <i/>
        <color theme="1"/>
      </rPr>
      <t>Беременность</t>
    </r>
    <r>
      <rPr>
        <rFont val="Arial"/>
        <color theme="1"/>
      </rPr>
      <t xml:space="preserve">
Применение при беременности противопоказано.
</t>
    </r>
    <r>
      <rPr>
        <rFont val="Arial"/>
        <i/>
        <color theme="1"/>
      </rPr>
      <t>Лактация</t>
    </r>
    <r>
      <rPr>
        <rFont val="Arial"/>
        <color theme="1"/>
      </rPr>
      <t xml:space="preserve">
Применение в период грудного вскармливания противопоказано.
</t>
    </r>
    <r>
      <rPr>
        <rFont val="Arial"/>
        <i/>
        <color theme="1"/>
      </rPr>
      <t>Фертильность</t>
    </r>
    <r>
      <rPr>
        <rFont val="Arial"/>
        <color theme="1"/>
      </rPr>
      <t xml:space="preserve">
Нет данных о влиянии лекарственного препарата Вакцина туляремийная живая на фертильность человека.</t>
    </r>
  </si>
  <si>
    <r>
      <rPr>
        <rFont val="Arial"/>
        <i/>
        <color theme="1"/>
      </rPr>
      <t>&lt;p&gt;&lt;i&gt;Беременность</t>
    </r>
    <r>
      <rPr>
        <rFont val="Arial"/>
        <color theme="1"/>
      </rPr>
      <t xml:space="preserve">&lt;/i&gt;&lt;br&gt;
Применение при беременности противопоказано.&lt;br&gt;&lt;br&gt;
</t>
    </r>
    <r>
      <rPr>
        <rFont val="Arial"/>
        <i/>
        <color theme="1"/>
      </rPr>
      <t>&lt;i&gt;Лактация</t>
    </r>
    <r>
      <rPr>
        <rFont val="Arial"/>
        <color theme="1"/>
      </rPr>
      <t xml:space="preserve">&lt;/i&gt;&lt;br&gt;
Применение в период грудного вскармливания противопоказано.&lt;br&gt;&lt;br&gt;
</t>
    </r>
    <r>
      <rPr>
        <rFont val="Arial"/>
        <i/>
        <color theme="1"/>
      </rPr>
      <t>&lt;i&gt;Фертильность</t>
    </r>
    <r>
      <rPr>
        <rFont val="Arial"/>
        <color theme="1"/>
      </rPr>
      <t>&lt;/i&gt;&lt;br&gt;
Нет данных о влиянии лекарственного препарата Вакцина туляремийная живая на фертильность человека.&lt;/p&gt;</t>
    </r>
  </si>
  <si>
    <t>Противопоказано использование ВЧMM на протяжении всего срока беременности.
Клинические исследования влияния вакцины ВЧMм на грудных детей при введении вакцины кормящим матерям не проводилось.</t>
  </si>
  <si>
    <t>&lt;p&gt;Противопоказано использование ВЧMM на протяжении всего срока беременности.&lt;br&gt;&lt;br&gt;
Клинические исследования влияния вакцины ВЧMм на грудных детей при введении вакцины кормящим матерям не проводилось.&lt;/p&gt;</t>
  </si>
  <si>
    <t>Применение препарата противопоказано.</t>
  </si>
  <si>
    <t>&lt;p&gt;Применение препарата противопоказано.&lt;/p&gt;</t>
  </si>
  <si>
    <t>https://grls.rosminzdrav.ru/InstrImg/2021/07/22/86490/fa07de3f-3b07-40e8-b027-068e2a19359f.pdf</t>
  </si>
  <si>
    <t>https://grls.rosminzdrav.ru/InstrImg/2020/06/13/86486/607fd14a-da55-42fe-8db7-52767fd34cc2.pdf</t>
  </si>
  <si>
    <t>Нет достаточных доказательств безопасности применения препарата во время беременности. Чтобы избежать неблагоприятного воздействия на плод, не следует проводить вакцинацию в период беременности и грудного вскармливания.</t>
  </si>
  <si>
    <t>&lt;p&gt;Нет достаточных доказательств безопасности применения препарата во время беременности. Чтобы избежать неблагоприятного воздействия на плод, не следует проводить вакцинацию в период беременности и грудного вскармливания.&lt;/p&gt;</t>
  </si>
  <si>
    <t>https://grls.rosminzdrav.ru/InstrImg/2020/06/08/86489/f8c71c84-d7eb-4cba-990a-8c9e218ca432.pdf</t>
  </si>
  <si>
    <r>
      <rPr>
        <rFont val="Arial"/>
        <i/>
        <color theme="1"/>
      </rPr>
      <t>Беременность</t>
    </r>
    <r>
      <rPr>
        <rFont val="Arial"/>
        <color theme="1"/>
      </rPr>
      <t xml:space="preserve">
Применение при беременности противопоказано.
</t>
    </r>
    <r>
      <rPr>
        <rFont val="Arial"/>
        <i/>
        <color theme="1"/>
      </rPr>
      <t>Лактация</t>
    </r>
    <r>
      <rPr>
        <rFont val="Arial"/>
        <color theme="1"/>
      </rPr>
      <t xml:space="preserve">
Применение в период грудного вскармливания противопоказано.
</t>
    </r>
    <r>
      <rPr>
        <rFont val="Arial"/>
        <i/>
        <color theme="1"/>
      </rPr>
      <t>Фертильность</t>
    </r>
    <r>
      <rPr>
        <rFont val="Arial"/>
        <color theme="1"/>
      </rPr>
      <t xml:space="preserve">
Нет данных о влиянии лекарственного препарата Вакцина бруцеллезная живая на фертильность человека.</t>
    </r>
  </si>
  <si>
    <r>
      <rPr>
        <rFont val="Arial"/>
        <i/>
        <color theme="1"/>
      </rPr>
      <t>&lt;p&gt;&lt;i&gt;Беременность&lt;/i&gt;&lt;br&gt;</t>
    </r>
    <r>
      <rPr>
        <rFont val="Arial"/>
        <color theme="1"/>
      </rPr>
      <t xml:space="preserve">
Применение при беременности противопоказано.&lt;br&gt;&lt;br&gt;
</t>
    </r>
    <r>
      <rPr>
        <rFont val="Arial"/>
        <i/>
        <color theme="1"/>
      </rPr>
      <t>&lt;i&gt;Лактация&lt;/i&gt;&lt;br&gt;</t>
    </r>
    <r>
      <rPr>
        <rFont val="Arial"/>
        <color theme="1"/>
      </rPr>
      <t xml:space="preserve">
Применение в период грудного вскармливания противопоказано.&lt;br&gt;&lt;br&gt;
</t>
    </r>
    <r>
      <rPr>
        <rFont val="Arial"/>
        <i/>
        <color theme="1"/>
      </rPr>
      <t>&lt;i&gt;Фертильность&lt;/i&gt;&lt;br&gt;</t>
    </r>
    <r>
      <rPr>
        <rFont val="Arial"/>
        <color theme="1"/>
      </rPr>
      <t xml:space="preserve">
Нет данных о влиянии лекарственного препарата Вакцина бруцеллезная живая на фертильность человека.&lt;/p&gt;</t>
    </r>
  </si>
  <si>
    <t>Противопоказано применение препарата при беременности и в период грудного вскармливания.</t>
  </si>
  <si>
    <t>&lt;p&gt;Противопоказано применение препарата при беременности и в период грудного вскармливания.&lt;/p&gt;</t>
  </si>
  <si>
    <t>https://grls.rosminzdrav.ru/InstrImg/2020/08/24/86488/1ed689ab-55e8-4379-9b04-687068382c27.pdf</t>
  </si>
  <si>
    <r>
      <rPr>
        <rFont val="Arial"/>
        <i/>
        <color theme="1"/>
      </rPr>
      <t>Беременность</t>
    </r>
    <r>
      <rPr>
        <rFont val="Arial"/>
        <color theme="1"/>
      </rPr>
      <t xml:space="preserve">
Случаев нанесения вреда, отнесенных к использованию данной вакцины у беременных женщин, не зафиксировано.
Беременность не является противопоказанием для постэкспозиционной иммунизации.
</t>
    </r>
    <r>
      <rPr>
        <rFont val="Arial"/>
        <i/>
        <color theme="1"/>
      </rPr>
      <t>Период грудного вскармливания</t>
    </r>
    <r>
      <rPr>
        <rFont val="Arial"/>
        <color theme="1"/>
      </rPr>
      <t xml:space="preserve">
Поскольку сведения о проникновении вакцины Рабипур® в грудное молоко отсутствуют, не выявлено рисков применения вакцины Рабипур® в период грудного вскармливания. Вакцина Рабипур® может быть использована кормящими женщинами при необходимости постэкспозиционной профилактики.</t>
    </r>
  </si>
  <si>
    <r>
      <rPr>
        <rFont val="Arial"/>
        <i/>
        <color theme="1"/>
      </rPr>
      <t>&lt;p&gt;&lt;i&gt;Беременность</t>
    </r>
    <r>
      <rPr>
        <rFont val="Arial"/>
        <color theme="1"/>
      </rPr>
      <t xml:space="preserve">&lt;/i&gt;&lt;br&gt;
Случаев нанесения вреда, отнесенных к использованию данной вакцины у беременных женщин, не зафиксировано.&lt;br&gt;
Беременность не является противопоказанием для постэкспозиционной иммунизации.&lt;br&gt;&lt;br&gt;
</t>
    </r>
    <r>
      <rPr>
        <rFont val="Arial"/>
        <i/>
        <color theme="1"/>
      </rPr>
      <t>&lt;i&gt;Период грудного вскармливания</t>
    </r>
    <r>
      <rPr>
        <rFont val="Arial"/>
        <color theme="1"/>
      </rPr>
      <t>&lt;/i&gt;&lt;br&gt;
Поскольку сведения о проникновении вакцины Рабипур® в грудное молоко отсутствуют, не выявлено рисков применения вакцины Рабипур® в период грудного вскармливания. Вакцина Рабипур® может быть использована кормящими женщинами при необходимости постэкспозиционной профилактики.&lt;/p&gt;</t>
    </r>
  </si>
  <si>
    <t>Применение при беременности и в период грудного вскармливания противопоказано.</t>
  </si>
  <si>
    <t>&lt;p&gt;Применение при беременности и в период грудного вскармливания противопоказано.&lt;/p&gt;</t>
  </si>
  <si>
    <r>
      <rPr>
        <rFont val="Arial"/>
        <i/>
        <color theme="1"/>
      </rPr>
      <t>&lt;p&gt;</t>
    </r>
    <r>
      <rPr>
        <rFont val="Arial"/>
        <color theme="1"/>
      </rPr>
      <t>Применение при беременности и в период грудного вскармливания противопоказано.&lt;/p&gt;</t>
    </r>
  </si>
  <si>
    <t xml:space="preserve">Применение при беременности и в период грудного вскармливания противопоказано. </t>
  </si>
  <si>
    <r>
      <rPr>
        <rFont val="Arial"/>
        <i/>
        <color theme="1"/>
      </rPr>
      <t>Беременность</t>
    </r>
    <r>
      <rPr>
        <rFont val="Arial"/>
        <color theme="1"/>
      </rPr>
      <t xml:space="preserve">
Препарат ВИАНВАК противопоказан при беременности и лактации.
Подобно другим неживым вакцинам, при непреднамеренной вакцинации беременной женщины вред для плода не ожидается.
</t>
    </r>
    <r>
      <rPr>
        <rFont val="Arial"/>
        <i/>
        <color theme="1"/>
      </rPr>
      <t>Лактация</t>
    </r>
    <r>
      <rPr>
        <rFont val="Arial"/>
        <color theme="1"/>
      </rPr>
      <t xml:space="preserve">
Влияние на детей, находящихся на грудном вскармливании, введение вакцины ВИАНВАК их матерям не изучалось.</t>
    </r>
  </si>
  <si>
    <r>
      <rPr>
        <rFont val="Arial"/>
        <i/>
        <color theme="1"/>
      </rPr>
      <t>&lt;p&gt;&lt;i&gt;Беременность&lt;/i&gt;&lt;br&gt;</t>
    </r>
    <r>
      <rPr>
        <rFont val="Arial"/>
        <color theme="1"/>
      </rPr>
      <t xml:space="preserve">
Препарат ВИАНВАК противопоказан при беременности и лактации.&lt;br&gt;
Подобно другим неживым вакцинам, при непреднамеренной вакцинации беременной женщины вред для плода не ожидается.&lt;br&gt;&lt;br&gt;
</t>
    </r>
    <r>
      <rPr>
        <rFont val="Arial"/>
        <i/>
        <color theme="1"/>
      </rPr>
      <t>&lt;i&gt;Лактация</t>
    </r>
    <r>
      <rPr>
        <rFont val="Arial"/>
        <color theme="1"/>
      </rPr>
      <t>&lt;/i&gt;&lt;br&gt;
Влияние на детей, находящихся на грудном вскармливании, введение вакцины ВИАНВАК их матерям не изучалось.&lt;/p&gt;</t>
    </r>
  </si>
  <si>
    <t>Противопоказано применять при беременности.
Применение женщинами в период грудного вскармливания: сведения отсутствуют. Клинические исследования не проводились.</t>
  </si>
  <si>
    <t>&lt;p&gt;Противопоказано применять при беременности.&lt;br&gt;
Применение женщинами в период грудного вскармливания: сведения отсутствуют. Клинические исследования не проводились.&lt;/p&gt;</t>
  </si>
  <si>
    <t>Препарат Шигеллвак противопоказан при беременности и лактации.
Подобно другим инактивированным вакцинам, при непреднамеренной вакцинации беременной женщины вред для плода не ожидается.</t>
  </si>
  <si>
    <t>&lt;p&gt;Препарат Шигеллвак противопоказан при беременности и лактации.&lt;br&gt;
Подобно другим инактивированным вакцинам, при непреднамеренной вакцинации беременной женщины вред для плода не ожидается.&lt;/p&gt;</t>
  </si>
  <si>
    <t>https://grls.rosminzdrav.ru/InstrImg/2022/10/26/1480925/bbce1055-ce8d-4cf1-8ce2-d5a008359d42.pdf</t>
  </si>
  <si>
    <r>
      <rPr>
        <rFont val="Arial"/>
        <i/>
        <color theme="1"/>
      </rPr>
      <t>Беременность</t>
    </r>
    <r>
      <rPr>
        <rFont val="Arial"/>
        <color theme="1"/>
      </rPr>
      <t xml:space="preserve">
По результатам исследований на животных, репродуктивная токсичность и тератогенность отсутствуют. Клинические исследования лекарственного препарата «Спутник Лайт» при беременности не проводились. В связи с этим применять лекарственный препарат «Спутник Лайт» при беременности возможно в тех случаях, когда ожидаемая польза для матери превышает потенциальный риск для плода. Мониторинг безопасности не выявил повышенного риска при непреднамеренной вакцинации беременных.
</t>
    </r>
    <r>
      <rPr>
        <rFont val="Arial"/>
        <i/>
        <color theme="1"/>
      </rPr>
      <t>Лактация</t>
    </r>
    <r>
      <rPr>
        <rFont val="Arial"/>
        <color theme="1"/>
      </rPr>
      <t xml:space="preserve">
Клинические данные по применению лекарственного препарата «Спутник Лайт» у женщин, кормящих грудью и влияния на младенцев, находящихся на грудном вскармливании, отсутствуют. В настоящее время неизвестно, способно ли действующее вещество, входящее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
</t>
    </r>
    <r>
      <rPr>
        <rFont val="Arial"/>
        <i/>
        <color theme="1"/>
      </rPr>
      <t>Фертильность</t>
    </r>
    <r>
      <rPr>
        <rFont val="Arial"/>
        <color theme="1"/>
      </rPr>
      <t xml:space="preserve">
Клинические данные о влиянии на фертильность при приеме лекарственного препарата отсутствуют.
По результатам исследований на животных репродуктивная токсичность не выявлена.</t>
    </r>
  </si>
  <si>
    <r>
      <rPr>
        <rFont val="Arial"/>
        <i/>
        <color theme="1"/>
      </rPr>
      <t>&lt;p&gt;&lt;i&gt;Беременность&lt;/i&gt;&lt;br&gt;</t>
    </r>
    <r>
      <rPr>
        <rFont val="Arial"/>
        <color theme="1"/>
      </rPr>
      <t xml:space="preserve">
По результатам исследований на животных, репродуктивная токсичность и тератогенность отсутствуют. Клинические исследования лекарственного препарата «Спутник Лайт» при беременности не проводились. В связи с этим применять лекарственный препарат «Спутник Лайт» при беременности возможно в тех случаях, когда ожидаемая польза для матери превышает потенциальный риск для плода. Мониторинг безопасности не выявил повышенного риска при непреднамеренной вакцинации беременных.&lt;br&gt;&lt;br&gt;
</t>
    </r>
    <r>
      <rPr>
        <rFont val="Arial"/>
        <i/>
        <color theme="1"/>
      </rPr>
      <t>&lt;i&gt;Лактация&lt;/i&gt;&lt;br&gt;</t>
    </r>
    <r>
      <rPr>
        <rFont val="Arial"/>
        <color theme="1"/>
      </rPr>
      <t xml:space="preserve">
Клинические данные по применению лекарственного препарата «Спутник Лайт» у женщин, кормящих грудью и влияния на младенцев, находящихся на грудном вскармливании, отсутствуют. В настоящее время неизвестно, способно ли действующее вещество, входящее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вакцинации.&lt;br&gt;&lt;br&gt;
</t>
    </r>
    <r>
      <rPr>
        <rFont val="Arial"/>
        <i/>
        <color theme="1"/>
      </rPr>
      <t>&lt;i&gt;Фертильность&lt;/i&gt;&lt;br&gt;</t>
    </r>
    <r>
      <rPr>
        <rFont val="Arial"/>
        <color theme="1"/>
      </rPr>
      <t xml:space="preserve">
Клинические данные о влиянии на фертильность при приеме лекарственного препарата отсутствуют.&lt;br&gt;
По результатам исследований на животных репродуктивная токсичность не выявлена.&lt;/p&gt;</t>
    </r>
  </si>
  <si>
    <t>Отсутствует опыт клинического применения Гам-КОВИД-Вак-М при беременности. Согласно результатам изучения репродуктивной токсичности на животных не установлено отрицательного влияния на течение беременности, эмбриофетальное развитие (на самках) и пренатальное развитие потомства. В связи с этим применять препарат Гам-КОВИД-Вак М при беременности следует только в тех случаях, когда ожидаемая польза для матери превышает потенциальный риск для плода с 22 недель беременности.
Клинические данные по применению препарата Гам-КОВИД-Вак-М у женщин, кормящих грудью, и младенцев отсутствуют. В настоящий момент нет данных выделяется ли вакцина с молоком. Перед принятием решения о вакцинации кормящей женщины необходимо оценить риски и пользу данной вакцинации.</t>
  </si>
  <si>
    <t>&lt;p&gt;Отсутствует опыт клинического применения Гам-КОВИД-Вак-М при беременности. Согласно результатам изучения репродуктивной токсичности на животных не установлено отрицательного влияния на течение беременности, эмбриофетальное развитие (на самках) и пренатальное развитие потомства. В связи с этим применять препарат Гам-КОВИД-Вак М при беременности следует только в тех случаях, когда ожидаемая польза для матери превышает потенциальный риск для плода с 22&amp;nbsp;недель беременности.&lt;br&gt;&lt;br&gt;
Клинические данные по применению препарата Гам-КОВИД-Вак-М у женщин, кормящих грудью, и младенцев отсутствуют. В настоящий момент нет данных выделяется ли вакцина с молоком. Перед принятием решения о вакцинации кормящей женщины необходимо оценить риски и пользу данной вакцинации.&lt;/p&gt;</t>
  </si>
  <si>
    <t>Препарат противопоказан при беременности и в период грудного вскармливания, так как его эффективность и безопасность при этих физиологических состояниях не изучались.</t>
  </si>
  <si>
    <t>&lt;p&gt;Препарат противопоказан при беременности и в период грудного вскармливания, так как его эффективность и безопасность при этих физиологических состояниях не изучались.&lt;/p&gt;</t>
  </si>
  <si>
    <r>
      <rPr>
        <rFont val="Arial"/>
        <i/>
        <color theme="1"/>
      </rPr>
      <t>Беременность и лактация</t>
    </r>
    <r>
      <rPr>
        <rFont val="Arial"/>
        <color theme="1"/>
      </rPr>
      <t xml:space="preserve">
Вакцина Рота-V-Эйд не предназначена для взрослых. Данные о применении во время беременности отсутствуют.
</t>
    </r>
    <r>
      <rPr>
        <rFont val="Arial"/>
        <i/>
        <color theme="1"/>
      </rPr>
      <t>Лактация</t>
    </r>
    <r>
      <rPr>
        <rFont val="Arial"/>
        <color theme="1"/>
      </rPr>
      <t xml:space="preserve">
Вакцина Рота-V-Эйд не предназначена для взрослых. Данные о применении во время лактации отсутствуют.
</t>
    </r>
    <r>
      <rPr>
        <rFont val="Arial"/>
        <i/>
        <color theme="1"/>
      </rPr>
      <t>Фертильность</t>
    </r>
    <r>
      <rPr>
        <rFont val="Arial"/>
        <color theme="1"/>
      </rPr>
      <t xml:space="preserve">
Вакцина Рота-V-Эйд не предназначена для взрослых. Результаты репродуктивных исследований у животных отсутствуют.</t>
    </r>
  </si>
  <si>
    <r>
      <rPr>
        <rFont val="Arial"/>
        <i/>
        <color theme="1"/>
      </rPr>
      <t>&lt;p&gt;&lt;i&gt;Беременность и лактация</t>
    </r>
    <r>
      <rPr>
        <rFont val="Arial"/>
        <color theme="1"/>
      </rPr>
      <t xml:space="preserve">&lt;/i&gt;&lt;br&gt;
Вакцина Рота-V-Эйд не предназначена для взрослых. Данные о применении во время беременности отсутствуют.&lt;br&gt;&lt;br&gt;
</t>
    </r>
    <r>
      <rPr>
        <rFont val="Arial"/>
        <i/>
        <color theme="1"/>
      </rPr>
      <t>&lt;i&gt;Лактация&lt;/i&gt;&lt;br&gt;</t>
    </r>
    <r>
      <rPr>
        <rFont val="Arial"/>
        <color theme="1"/>
      </rPr>
      <t xml:space="preserve">
Вакцина Рота-V-Эйд не предназначена для взрослых. Данные о применении во время лактации отсутствуют.&lt;br&gt;&lt;br&gt;
</t>
    </r>
    <r>
      <rPr>
        <rFont val="Arial"/>
        <i/>
        <color theme="1"/>
      </rPr>
      <t>&lt;i&gt;Фертильность</t>
    </r>
    <r>
      <rPr>
        <rFont val="Arial"/>
        <color theme="1"/>
      </rPr>
      <t>&lt;/i&gt;&lt;br&gt;
Вакцина Рота-V-Эйд не предназначена для взрослых. Результаты репродуктивных исследований у животных отсутствуют.&lt;/p&gt;</t>
    </r>
  </si>
  <si>
    <r>
      <rPr>
        <rFont val="Arial"/>
        <color theme="1"/>
      </rPr>
      <t>&lt;p&gt;</t>
    </r>
    <r>
      <rPr>
        <rFont val="Arial"/>
        <i/>
        <color theme="1"/>
      </rPr>
      <t>&lt;i&gt;Данные о влиянии препарата на течение беременности и кормление грудью отсутствуют.</t>
    </r>
    <r>
      <rPr>
        <rFont val="Arial"/>
        <color theme="1"/>
      </rPr>
      <t>&lt;/i&gt;&lt;/p&gt;</t>
    </r>
  </si>
  <si>
    <r>
      <rPr>
        <rFont val="Arial"/>
        <i/>
        <color theme="1"/>
      </rPr>
      <t>Беременность</t>
    </r>
    <r>
      <rPr>
        <rFont val="Arial"/>
        <color theme="1"/>
      </rPr>
      <t xml:space="preserve">
Достаточные данные по применению вакцины для профилактики гепатита В (рДНК, адсорбированной)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для профилактики гепатита В (рДНК, адсорбированной) возможно, если предполагаемая польза для матери превышает потенциальный риск для плода.
</t>
    </r>
    <r>
      <rPr>
        <rFont val="Arial"/>
        <i/>
        <color theme="1"/>
      </rPr>
      <t>Лактация</t>
    </r>
    <r>
      <rPr>
        <rFont val="Arial"/>
        <color theme="1"/>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для профилактики гепатита В (рДНК, адсорбированную) в период грудного вскармливания возможно применять, только если предполагаемая польза для матери превышает потенциальный риск для ребенка.</t>
    </r>
  </si>
  <si>
    <r>
      <rPr>
        <rFont val="Arial"/>
        <i/>
        <color theme="1"/>
      </rPr>
      <t>&lt;p&gt;&lt;i&gt;Беременность&lt;/i&gt;&lt;br&gt;</t>
    </r>
    <r>
      <rPr>
        <rFont val="Arial"/>
        <color theme="1"/>
      </rPr>
      <t xml:space="preserve">
Достаточные данные по применению вакцины для профилактики гепатита В (рДНК, адсорбированной)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для профилактики гепатита В (рДНК, адсорбированной) возможно, если предполагаемая польза для матери превышает потенциальный риск для плода.&lt;br&gt;&lt;br&gt;
</t>
    </r>
    <r>
      <rPr>
        <rFont val="Arial"/>
        <i/>
        <color theme="1"/>
      </rPr>
      <t>&lt;i&gt;Лактация&lt;/i&gt;&lt;br&gt;</t>
    </r>
    <r>
      <rPr>
        <rFont val="Arial"/>
        <color theme="1"/>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для профилактики гепатита В (рДНК, адсорбированную) в период грудного вскармливания возможно применять, только если предполагаемая польза для матери превышает потенциальный риск для ребенка.&lt;/p&gt;</t>
    </r>
  </si>
  <si>
    <r>
      <rPr>
        <rFont val="Arial"/>
        <i/>
        <color theme="1"/>
      </rPr>
      <t>Беременность</t>
    </r>
    <r>
      <rPr>
        <rFont val="Arial"/>
        <color theme="1"/>
      </rPr>
      <t xml:space="preserve">
Влияние вакцины на плод не изучено. Экспериментальные исследования влияния на репродуктивную функцию у животных не проводились. Возможность вакцинации беременной женщины может быть рассмотрена при крайне высоком риске инфицирования.
</t>
    </r>
    <r>
      <rPr>
        <rFont val="Arial"/>
        <i/>
        <color theme="1"/>
      </rPr>
      <t>Лактация</t>
    </r>
    <r>
      <rPr>
        <rFont val="Arial"/>
        <color theme="1"/>
      </rPr>
      <t xml:space="preserve">
Данные по применению вакцины Регевак В (Вакцина против гепатита В, рекомбинантная дрожжевая жидкая) в период грудного вскармливания отсутствуют.
</t>
    </r>
    <r>
      <rPr>
        <rFont val="Arial"/>
        <i/>
        <color theme="1"/>
      </rPr>
      <t>Фертильность</t>
    </r>
    <r>
      <rPr>
        <rFont val="Arial"/>
        <color theme="1"/>
      </rPr>
      <t xml:space="preserve">
Не изучалось.</t>
    </r>
  </si>
  <si>
    <r>
      <rPr>
        <rFont val="Arial"/>
        <i/>
        <color theme="1"/>
      </rPr>
      <t>&lt;p&gt;&lt;i&gt;Беременность&lt;/i&gt;&lt;br&gt;</t>
    </r>
    <r>
      <rPr>
        <rFont val="Arial"/>
        <color theme="1"/>
      </rPr>
      <t xml:space="preserve">
Влияние вакцины на плод не изучено. Экспериментальные исследования влияния на репродуктивную функцию у животных не проводились. Возможность вакцинации беременной женщины может быть рассмотрена при крайне высоком риске инфицирования.&lt;br&gt;&lt;br&gt;
</t>
    </r>
    <r>
      <rPr>
        <rFont val="Arial"/>
        <i/>
        <color theme="1"/>
      </rPr>
      <t>&lt;i&gt;</t>
    </r>
    <r>
      <rPr>
        <rFont val="Arial"/>
        <color theme="1"/>
      </rPr>
      <t>Лактация&lt;/i&gt;&lt;br&gt;
Данные по применению вакцины Регевак В (Вакцина против гепатита В, рекомбинантная дрожжевая жидкая) в период грудного вскармливания отсутствуют.&lt;br&gt;&lt;br&gt;
&lt;i&gt;Фертильность&lt;/i&gt;&lt;br&gt;
Не изучалось.&lt;/p&gt;</t>
    </r>
  </si>
  <si>
    <r>
      <rPr>
        <rFont val="Arial"/>
        <i/>
        <color theme="1"/>
      </rPr>
      <t>Беременность</t>
    </r>
    <r>
      <rPr>
        <rFont val="Arial"/>
        <color theme="1"/>
      </rPr>
      <t xml:space="preserve">
Данные о применении вакцины Приорикс-Тетра у женщин во время беременности отсутствуют.
Беременных женщин нельзя вакцинировать вакциной Приорикс-Тетра.
Не следует допускать наступления беременности в течение 1 месяца после вакцинации. Женщинам, которые планируют беременность, следует рекомендовать отложить наступление беременности и использовать эффективную контрацепцию в течение 1 месяца после вакцинации.
</t>
    </r>
    <r>
      <rPr>
        <rFont val="Arial"/>
        <i/>
        <color theme="1"/>
      </rPr>
      <t>Лактация</t>
    </r>
    <r>
      <rPr>
        <rFont val="Arial"/>
        <color theme="1"/>
      </rPr>
      <t xml:space="preserve">
Данные о применении вакцины Приорикс-Тетра у женщин во время грудного вскармливания отсутствуют.
Поскольку теоретически существует риск передачи вакцинных штаммов от матери ребенку, по решению врача следует либо прекратить грудное вскармливание, либо отложить иммунизацию вакциной Приорикс-Тетра, с учетом пользы грудного вскармливания для ребенка и пользы вакцинации для матери.
</t>
    </r>
    <r>
      <rPr>
        <rFont val="Arial"/>
        <i/>
        <color theme="1"/>
      </rPr>
      <t>Фертильность</t>
    </r>
    <r>
      <rPr>
        <rFont val="Arial"/>
        <color theme="1"/>
      </rPr>
      <t xml:space="preserve">
Данные отсутствуют.</t>
    </r>
  </si>
  <si>
    <r>
      <rPr>
        <rFont val="Arial"/>
        <i/>
        <color theme="1"/>
      </rPr>
      <t>&lt;p&gt;&lt;i&gt;Беременность</t>
    </r>
    <r>
      <rPr>
        <rFont val="Arial"/>
        <color theme="1"/>
      </rPr>
      <t xml:space="preserve">&lt;/i&gt;&lt;br&gt;
Данные о применении вакцины Приорикс-Тетра у женщин во время беременности отсутствуют.&lt;br&gt;
Беременных женщин нельзя вакцинировать вакциной Приорикс-Тетра.&lt;br&gt;
Не следует допускать наступления беременности в течение 1&amp;nbsp;месяца после вакцинации. Женщинам, которые планируют беременность, следует рекомендовать отложить наступление беременности и использовать эффективную контрацепцию в течение 1&amp;nbsp;месяца после вакцинации.&lt;br&gt;&lt;br&gt;
</t>
    </r>
    <r>
      <rPr>
        <rFont val="Arial"/>
        <i/>
        <color theme="1"/>
      </rPr>
      <t>&lt;i&gt;Лактация</t>
    </r>
    <r>
      <rPr>
        <rFont val="Arial"/>
        <color theme="1"/>
      </rPr>
      <t xml:space="preserve">&lt;/i&gt;&lt;br&gt;
Данные о применении вакцины Приорикс-Тетра у женщин во время грудного вскармливания отсутствуют.&lt;br&gt;
Поскольку теоретически существует риск передачи вакцинных штаммов от матери ребенку, по решению врача следует либо прекратить грудное вскармливание, либо отложить иммунизацию вакциной Приорикс-Тетра, с учетом пользы грудного вскармливания для ребенка и пользы вакцинации для матери.&lt;br&gt;&lt;br&gt;
</t>
    </r>
    <r>
      <rPr>
        <rFont val="Arial"/>
        <i/>
        <color theme="1"/>
      </rPr>
      <t>&lt;i&gt;Фертильность</t>
    </r>
    <r>
      <rPr>
        <rFont val="Arial"/>
        <color theme="1"/>
      </rPr>
      <t>&lt;/i&gt;&lt;br&gt;
Данные отсутствуют.&lt;/p&gt;</t>
    </r>
  </si>
  <si>
    <r>
      <rPr>
        <rFont val="Arial"/>
        <i/>
        <color theme="1"/>
      </rPr>
      <t>Фертильность</t>
    </r>
    <r>
      <rPr>
        <rFont val="Arial"/>
        <color theme="1"/>
      </rPr>
      <t xml:space="preserve">
В рамках исследования по оценке токсического действия на эмбриональную функцию и внутриутробное развитие, в ходе которого кроликам вводили внутримышечно вакцину Менвео за 35, 21 и 7 дней до спаривания и в период беременности на 7 и 20 дни, не отмечено влияния на способность к спариванию или репродуктивную функцию самок кроликов.
Плодовитость самцов не оценивалась.
</t>
    </r>
    <r>
      <rPr>
        <rFont val="Arial"/>
        <i/>
        <color theme="1"/>
      </rPr>
      <t>Беременность</t>
    </r>
    <r>
      <rPr>
        <rFont val="Arial"/>
        <color theme="1"/>
      </rPr>
      <t xml:space="preserve">
Исследование токсического действия на репродуктивную функцию и внутриутробное развитие проводилось на самках кроликов с применением дозы в 10 раз превышающей дозу для применения у человека (в соответствии массой тела). Не наблюдалось неблагоприятных последствий для самок, внутриутробного или постнатального развития плода вследствие введения вакцины Менвео. 
Недостаточно данных по безопасности применения вакцины Менвео у беременных женщин.
Принимая во внимание опасность инвазивной менингококковой инфекции, вызываемой </t>
    </r>
    <r>
      <rPr>
        <rFont val="Arial"/>
        <i/>
        <color theme="1"/>
      </rPr>
      <t>Neisseria meningitidis</t>
    </r>
    <r>
      <rPr>
        <rFont val="Arial"/>
        <color theme="1"/>
      </rPr>
      <t xml:space="preserve"> серогрупп A, C, W₁₃₅ и Y, беременность не должна препятствовать проведению вакцинации в случае, когда риск контакта с возбудителем инфекции очевиден.
</t>
    </r>
    <r>
      <rPr>
        <rFont val="Arial"/>
        <i/>
        <color theme="1"/>
      </rPr>
      <t>Период грудного вскармливания</t>
    </r>
    <r>
      <rPr>
        <rFont val="Arial"/>
        <color theme="1"/>
      </rPr>
      <t xml:space="preserve">
Несмотря на то, что клинических данных по использованию вакцины Менвео в период грудного вскармливания недостаточно, маловероятно, что секретируемые антитела в молоке будут опасны для ребенка, находящегося на грудном вскармливании.
Следовательно, вакцину Менвео можно применять в период грудного вскармливания.</t>
    </r>
  </si>
  <si>
    <r>
      <rPr>
        <rFont val="Arial"/>
        <i/>
        <color theme="1"/>
      </rPr>
      <t>&lt;p&gt;&lt;i&gt;Фертильность</t>
    </r>
    <r>
      <rPr>
        <rFont val="Arial"/>
        <color theme="1"/>
      </rPr>
      <t xml:space="preserve">&lt;/i&gt;&lt;br&gt;
В рамках исследования по оценке токсического действия на эмбриональную функцию и внутриутробное развитие, в ходе которого кроликам вводили внутримышечно вакцину Менвео за 35, 21 и 7&amp;nbsp;дней до спаривания и в период беременности на 7 и 20&amp;nbsp;дни, не отмечено влияния на способность к спариванию или репродуктивную функцию самок кроликов.&lt;br&gt;
Плодовитость самцов не оценивалась.&lt;br&gt;&lt;br&gt;
</t>
    </r>
    <r>
      <rPr>
        <rFont val="Arial"/>
        <i/>
        <color theme="1"/>
      </rPr>
      <t>&lt;i&gt;Беременность</t>
    </r>
    <r>
      <rPr>
        <rFont val="Arial"/>
        <color theme="1"/>
      </rPr>
      <t xml:space="preserve">&lt;/i&gt;&lt;br&gt;
Исследование токсического действия на репродуктивную функцию и внутриутробное развитие проводилось на самках кроликов с применением дозы в 10&amp;nbsp;раз превышающей дозу для применения у человека (в соответствии массой тела). Не наблюдалось неблагоприятных последствий для самок, внутриутробного или постнатального развития плода вследствие введения вакцины Менвео.&lt;br&gt;
Недостаточно данных по безопасности применения вакцины Менвео у беременных женщин.&lt;br&gt;
Принимая во внимание опасность инвазивной менингококковой инфекции, вызываемой </t>
    </r>
    <r>
      <rPr>
        <rFont val="Arial"/>
        <i/>
        <color theme="1"/>
      </rPr>
      <t>&lt;i&gt;Neisseria meningitidis&lt;/i&gt;</t>
    </r>
    <r>
      <rPr>
        <rFont val="Arial"/>
        <color theme="1"/>
      </rPr>
      <t xml:space="preserve"> серогрупп A, C, W₁₃₅ и Y, беременность не должна препятствовать проведению вакцинации в случае, когда риск контакта с возбудителем инфекции очевиден.&lt;br&gt;&lt;br&gt;
</t>
    </r>
    <r>
      <rPr>
        <rFont val="Arial"/>
        <i/>
        <color theme="1"/>
      </rPr>
      <t>&lt;i&gt;Период грудного вскармливания</t>
    </r>
    <r>
      <rPr>
        <rFont val="Arial"/>
        <color theme="1"/>
      </rPr>
      <t>&lt;/i&gt;&lt;br&gt;
Несмотря на то, что клинических данных по использованию вакцины Менвео в период грудного вскармливания недостаточно, маловероятно, что секретируемые антитела в молоке будут опасны для ребенка, находящегося на грудном вскармливании.&lt;br&gt;
Следовательно, вакцину Менвео можно применять в период грудного вскармливания.&lt;/p&gt;</t>
    </r>
  </si>
  <si>
    <t>https://grls.rosminzdrav.ru/InstrImg/2023/04/13/1492490/b02b0c0a-7a26-4b3a-8e0b-7f5d8e8e4ef1.pdf</t>
  </si>
  <si>
    <t>По результатам исследований на животных, было установлено, что репродуктивная токсичность и тератогенность отсутствуют. Клинические исследования Гам-КОВИД-Вак при беременности не проводились. В связи с этим применять препарат Гам-КОВИД-Вак при беременности следует в тех случаях, когда ожидаемая польза для матери превышает потенциальный риск для плода с 22 недели беременности.
Клинические данные по применению препарата Гам-КОВИД-Вак у женщин, кормящих грудью, и младенцев отсутствуют. В настоящее время неизвестно, способны ли действующие вещества, входящие в состав вакцины, проникать в грудное молоко. Перед принятием решения о вакцинации кормящей женщины необходимо оценить риски и пользу данной вакцинации.</t>
  </si>
  <si>
    <t>&lt;p&gt;По результатам исследований на животных, было установлено, что репродуктивная токсичность и тератогенность отсутствуют. Клинические исследования Гам-КОВИД-Вак при беременности не проводились. В связи с этим применять препарат Гам-КОВИД-Вак при беременности следует в тех случаях, когда ожидаемая польза для матери превышает потенциальный риск для плода с 22&amp;nbsp;недели беременности.&lt;br&gt;&lt;br&gt;
Клинические данные по применению препарата Гам-КОВИД-Вак у женщин, кормящих грудью, и младенцев отсутствуют. В настоящее время неизвестно, способны ли действующие вещества, входящие в состав вакцины, проникать в грудное молоко. Перед принятием решения о вакцинации кормящей женщины необходимо оценить риски и пользу данной вакцинации.&lt;/p&gt;</t>
  </si>
  <si>
    <t>Неприменимо.</t>
  </si>
  <si>
    <t>&lt;p&gt;Неприменимо.&lt;/p&gt;</t>
  </si>
  <si>
    <r>
      <rPr>
        <rFont val="Arial"/>
        <i/>
        <color theme="1"/>
      </rPr>
      <t>Беременность</t>
    </r>
    <r>
      <rPr>
        <rFont val="Arial"/>
        <color theme="1"/>
      </rPr>
      <t xml:space="preserve">
Подобно другим инактивированным вакцинам, вред для плода не ожидается.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Беременным женщинам можно вводить только вакцину без консерванта (тиомерсала).
</t>
    </r>
    <r>
      <rPr>
        <rFont val="Arial"/>
        <i/>
        <color theme="1"/>
      </rPr>
      <t>Лактация</t>
    </r>
    <r>
      <rPr>
        <rFont val="Arial"/>
        <color theme="1"/>
      </rPr>
      <t xml:space="preserve">
Сведения о проникновении действующего вещества в грудное молоко человека отсутствуют.
Мировой опыт, полученный в ходе применения гриппозных инактивированных вакцин, показывает, что вакцинация женщин в период грудного вскармливания не оказывает токсического воздействия на ребенка.
</t>
    </r>
    <r>
      <rPr>
        <rFont val="Arial"/>
        <i/>
        <color theme="1"/>
      </rPr>
      <t>Фертильность</t>
    </r>
    <r>
      <rPr>
        <rFont val="Arial"/>
        <color theme="1"/>
      </rPr>
      <t xml:space="preserve">
Данные о влиянии на фертильность человека отсутствуют. Исследование репродуктивной токсичности на животных показало отсутствие негативного влияния вакцины Флю-М Тетра на показатели фертильности.</t>
    </r>
  </si>
  <si>
    <r>
      <rPr>
        <rFont val="Arial"/>
        <i/>
        <color theme="1"/>
      </rPr>
      <t>&lt;p&gt;&lt;i&gt;Беременность&lt;/i&gt;&lt;br&gt;</t>
    </r>
    <r>
      <rPr>
        <rFont val="Arial"/>
        <color theme="1"/>
      </rPr>
      <t xml:space="preserve">
Подобно другим инактивированным вакцинам, вред для плода не ожидается.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Беременным женщинам можно вводить только вакцину без консерванта (тиомерсала).&lt;br&gt;&lt;br&gt;
</t>
    </r>
    <r>
      <rPr>
        <rFont val="Arial"/>
        <i/>
        <color theme="1"/>
      </rPr>
      <t>&lt;i&gt;Лактация&lt;/i&gt;&lt;br&gt;</t>
    </r>
    <r>
      <rPr>
        <rFont val="Arial"/>
        <color theme="1"/>
      </rPr>
      <t xml:space="preserve">
Сведения о проникновении действующего вещества в грудное молоко человека отсутствуют.&lt;br&gt;
Мировой опыт, полученный в ходе применения гриппозных инактивированных вакцин, показывает, что вакцинация женщин в период грудного вскармливания не оказывает токсического воздействия на ребенка.&lt;br&gt;&lt;br&gt;
</t>
    </r>
    <r>
      <rPr>
        <rFont val="Arial"/>
        <i/>
        <color theme="1"/>
      </rPr>
      <t>&lt;i&gt;Фертильность</t>
    </r>
    <r>
      <rPr>
        <rFont val="Arial"/>
        <color theme="1"/>
      </rPr>
      <t>&lt;/i&gt;&lt;br&gt;
Данные о влиянии на фертильность человека отсутствуют. Исследование репродуктивной токсичности на животных показало отсутствие негативного влияния вакцины Флю-М Тетра на показатели фертильности.&lt;/p&gt;</t>
    </r>
  </si>
  <si>
    <r>
      <rPr>
        <rFont val="Arial"/>
        <i/>
        <color theme="1"/>
      </rPr>
      <t>Беременность</t>
    </r>
    <r>
      <rPr>
        <rFont val="Arial"/>
        <color theme="1"/>
      </rPr>
      <t xml:space="preserve">
В ходе исследования по изучению влияния вакцины ВаксигрипТетра на отдаленную и репродуктивную токсичность у кроликов не наблюдалось влияния на способность к спариванию, эмбриофетальному развитию и раннему постнатальному развитию.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На основании данных, полученных в клинических исследованиях безопасности, а также пострегистрационного применения вакцины ВаксигрипТетра и трехвалентной вакцины для профилактики гриппа без тиомерсала производства компании Санофи Пастер, Франция, вакцина ВаксигрипТетра может применяться на любых сроках беременности.
Данные о применении в мире инактивированных противогриппозных вакцин, в том числе вакцины ВаксигрипТетра и трехвалентной вакцины для профилактики гриппа без тиомерсала производства компании Санофи Пастер, Франция, в странах, где вакцинация инактивированными противогриппозными вакцинами рекомендуется на всех сроках беременности, а также данные клинических исследований, проведенных в Финляндии, c введением вакцины ВаксигрипТетра беременным женщинам во втором и третьем триместрах (данные для 230 беременных женщин и 231 живого новорожденного) не указывают на возможность неблагоприятных исходов в отношении плода или матери, связанных с вакциной.
Имеющиеся данные четырех клинических исследований, проведенных с использованием трехвалентной вакцины для профилактики гриппа без тиомерсала производства компании Санофи Пастер, Франция, у беременных женщин во втором и третьем триместрах (более 5000 вакцинированных женщин и более 5000 их новорожденных наблюдались примерно до 6 месяцев после родов) не указывают на возможность неблагоприятных исходов в отношении плода, новорожденного, детей первого года жизни или матери, связанных с вакциной.
В клинических исследованиях, проведенных в Южной Африке и Непале, не наблюдалось значительных отличий между группой беременных женщин, иммунизированных трехвалентной вакциной для профилактики гриппа без тиомерсала производства компании Санофи Пастер, Франция, и плацебоконтролируемой группой в отношении плода, новорожденного, детей первого года жизни или матери, связанных с вакциной (включая выкидыши, мертворождения, преждевременные роды, или роды с малым весом новорожденного).
В клиническом исследовании, проведенном в Мали, не наблюдалось значительных отличий между группой беременных женщин, иммунизированных трехвалентной вакциной для профилактики гриппа без тиомерсала производства компании Санофи Пастер, Франция, и контрольной группой, получившей четырехвалентную менингококковую конъюгированную вакцину, по числу недоношенностей, мертворождений, малому весу ребенка при рождении или весу, не соответствующему гестационному сроку.
</t>
    </r>
    <r>
      <rPr>
        <rFont val="Arial"/>
        <i/>
        <color theme="1"/>
      </rPr>
      <t>Лактация</t>
    </r>
    <r>
      <rPr>
        <rFont val="Arial"/>
        <color theme="1"/>
      </rPr>
      <t xml:space="preserve">
Данные о новорожденных / детях первого года жизни, вскормленных женщинами, иммунизированными вакциной ВаксигрипТетра, отсутствуют. Тем не менее, основываясь на опыте применения инактивированных вакцин для профилактики гриппа, вакцину ВаксигрипТетра можно применять в период грудного вскармливания.
</t>
    </r>
    <r>
      <rPr>
        <rFont val="Arial"/>
        <i/>
        <color theme="1"/>
      </rPr>
      <t>Фертильность</t>
    </r>
    <r>
      <rPr>
        <rFont val="Arial"/>
        <color theme="1"/>
      </rPr>
      <t xml:space="preserve">
Данные о влиянии на фертильность у человека отсутствуют. В проведенном исследовании вакцины ВаксигрипТетра у животных не было получено данных об отрицательном влиянии вакцины на фертильность самок.</t>
    </r>
  </si>
  <si>
    <r>
      <rPr>
        <rFont val="Arial"/>
        <i/>
        <color theme="1"/>
      </rPr>
      <t>&lt;p&gt;&lt;i&gt;Беременность</t>
    </r>
    <r>
      <rPr>
        <rFont val="Arial"/>
        <color theme="1"/>
      </rPr>
      <t xml:space="preserve">&lt;/i&gt;&lt;br&gt;
В ходе исследования по изучению влияния вакцины ВаксигрипТетра на отдаленную и репродуктивную токсичность у кроликов не наблюдалось влияния на способность к спариванию, эмбриофетальному развитию и раннему постнатальному развитию.&lt;br&gt;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На основании данных, полученных в клинических исследованиях безопасности, а также пострегистрационного применения вакцины ВаксигрипТетра и трехвалентной вакцины для профилактики гриппа без тиомерсала производства компании Санофи Пастер, Франция, вакцина ВаксигрипТетра может применяться на любых сроках беременности.&lt;br&gt;
Данные о применении в мире инактивированных противогриппозных вакцин, в том числе вакцины ВаксигрипТетра и трехвалентной вакцины для профилактики гриппа без тиомерсала производства компании Санофи Пастер, Франция, в странах, где вакцинация инактивированными противогриппозными вакцинами рекомендуется на всех сроках беременности, а также данные клинических исследований, проведенных в Финляндии, c введением вакцины ВаксигрипТетра беременным женщинам во втором и третьем триместрах (данные для 230&amp;nbsp;беременных женщин и 231&amp;nbsp;живого новорожденного) не указывают на возможность неблагоприятных исходов в отношении плода или матери, связанных с вакциной.&lt;br&gt;
Имеющиеся данные четырех клинических исследований, проведенных с использованием трехвалентной вакцины для профилактики гриппа без тиомерсала производства компании Санофи Пастер, Франция, у беременных женщин во втором и третьем триместрах (более 5000 вакцинированных женщин и более 5000 их новорожденных наблюдались примерно до 6&amp;nbsp;месяцев после родов) не указывают на возможность неблагоприятных исходов в отношении плода, новорожденного, детей первого года жизни или матери, связанных с вакциной.&lt;br&gt;
В клинических исследованиях, проведенных в Южной Африке и Непале, не наблюдалось значительных отличий между группой беременных женщин, иммунизированных трехвалентной вакциной для профилактики гриппа без тиомерсала производства компании Санофи Пастер, Франция, и плацебоконтролируемой группой в отношении плода, новорожденного, детей первого года жизни или матери, связанных с вакциной (включая выкидыши, мертворождения, преждевременные роды, или роды с малым весом новорожденного).&lt;br&gt;
В клиническом исследовании, проведенном в Мали, не наблюдалось значительных отличий между группой беременных женщин, иммунизированных трехвалентной вакциной для профилактики гриппа без тиомерсала производства компании Санофи Пастер, Франция, и контрольной группой, получившей четырехвалентную менингококковую конъюгированную вакцину, по числу недоношенностей, мертворождений, малому весу ребенка при рождении или весу, не соответствующему гестационному сроку.&lt;br&gt;&lt;br&gt;
</t>
    </r>
    <r>
      <rPr>
        <rFont val="Arial"/>
        <i/>
        <color theme="1"/>
      </rPr>
      <t>&lt;i&gt;Лактация</t>
    </r>
    <r>
      <rPr>
        <rFont val="Arial"/>
        <color theme="1"/>
      </rPr>
      <t xml:space="preserve">&lt;/i&gt;&lt;br&gt;
Данные о новорожденных / детях первого года жизни, вскормленных женщинами, иммунизированными вакциной ВаксигрипТетра, отсутствуют. Тем не менее, основываясь на опыте применения инактивированных вакцин для профилактики гриппа, вакцину ВаксигрипТетра можно применять в период грудного вскармливания.&lt;br&gt;&lt;br&gt;
</t>
    </r>
    <r>
      <rPr>
        <rFont val="Arial"/>
        <i/>
        <color theme="1"/>
      </rPr>
      <t>&lt;i&gt;Фертильность</t>
    </r>
    <r>
      <rPr>
        <rFont val="Arial"/>
        <color theme="1"/>
      </rPr>
      <t>&lt;/i&gt;&lt;br&gt;
Данные о влиянии на фертильность у человека отсутствуют. В проведенном исследовании вакцины ВаксигрипТетра у животных не было получено данных об отрицательном влиянии вакцины на фертильность самок.&lt;/p&gt;</t>
    </r>
  </si>
  <si>
    <t>Вакцинация противопоказана в период беременности.
Решение о вакцинации в период лактации должно приниматься врачом с учетом соотношения предполагаемой пользы и возможного риска. По данным клинического исследования, при вакцинации у 12 серонегативных кормящих матерей, в грудном молоке не было обнаружено следов вируса, содержащегося в вакцине; все дети остались серонегативными.</t>
  </si>
  <si>
    <t>&lt;p&gt;Вакцинация противопоказана в период беременности.&lt;br&gt;&lt;br&gt;
Решение о вакцинации в период лактации должно приниматься врачом с учетом соотношения предполагаемой пользы и возможного риска. По данным клинического исследования, при вакцинации у 12&amp;nbsp;серонегативных кормящих матерей, в грудном молоке не было обнаружено следов вируса, содержащегося в вакцине; все дети остались серонегативными.&lt;/p&gt;</t>
  </si>
  <si>
    <t>Из-за ограниченного количества данных по применению вакцины у беременных женщин, ее использование во время беременности не рекомендуется.
Неизвестно, выделяется ли вакцина с грудным молоком.
Решение о вакцинации женщин в период беременности и лактации следует принимать только на основании оценки реальной опасности пневмококковой инфекции.
Применение вакцины возможно только при явной необходимости и в тех случаях, когда потенциальная польза для матери превышает возможный риск для плода или ребенка.</t>
  </si>
  <si>
    <t>&lt;p&gt;Из-за ограниченного количества данных по применению вакцины у беременных женщин, ее использование во время беременности не рекомендуется.&lt;br&gt;
Неизвестно, выделяется ли вакцина с грудным молоком.&lt;br&gt;
Решение о вакцинации женщин в период беременности и лактации следует принимать только на основании оценки реальной опасности пневмококковой инфекции.&lt;br&gt;
Применение вакцины возможно только при явной необходимости и в тех случаях, когда потенциальная польза для матери превышает возможный риск для плода или ребенка.&lt;/p&gt;</t>
  </si>
  <si>
    <r>
      <rPr>
        <rFont val="Arial"/>
        <i/>
        <color theme="1"/>
      </rPr>
      <t>Фертильность</t>
    </r>
    <r>
      <rPr>
        <rFont val="Arial"/>
        <color theme="1"/>
      </rPr>
      <t xml:space="preserve">
Данные по фертильности у человека, а также результаты исследований фертильности у животных отсутствуют.
</t>
    </r>
    <r>
      <rPr>
        <rFont val="Arial"/>
        <i/>
        <color theme="1"/>
      </rPr>
      <t>Беременность</t>
    </r>
    <r>
      <rPr>
        <rFont val="Arial"/>
        <color theme="1"/>
      </rPr>
      <t xml:space="preserve">
Введение препарата ВАРИВАКС противопоказано в период беременности.
Исследований препарата ВАРИВАКС у беременных женщин, а также исследований беременности у животных не проводилось.
Тем не менее, не было зарегистрировано случаев повреждения плода при введении вакцины для профилактики ветряной оспы (живой, аттенуированной) беременным женщинам. Не следует допускать наступления беременности в течение 3 месяцев после вакцинации. Женщинам, планирующим беременность, следует рекомендовать отложить наступление беременности.
</t>
    </r>
    <r>
      <rPr>
        <rFont val="Arial"/>
        <i/>
        <color theme="1"/>
      </rPr>
      <t>Лактация</t>
    </r>
    <r>
      <rPr>
        <rFont val="Arial"/>
        <color theme="1"/>
      </rPr>
      <t xml:space="preserve">
Введение препарата ВАРИВАКС противопоказано в период грудного вскармливания. Данные о применении во время лактации у человека, а также результаты исследований лактации у животных отсутствуют.
</t>
    </r>
    <r>
      <rPr>
        <rFont val="Arial"/>
        <i/>
        <color theme="1"/>
      </rPr>
      <t>Женщины с детородным потенциалом</t>
    </r>
    <r>
      <rPr>
        <rFont val="Arial"/>
        <color theme="1"/>
      </rPr>
      <t xml:space="preserve">
Женщины с детородным потенциалом должны использовать надежные методы контрацепции в течение 3 месяцев после введения препарата ВАРИВАКС.</t>
    </r>
  </si>
  <si>
    <r>
      <rPr>
        <rFont val="Arial"/>
        <i/>
        <color theme="1"/>
      </rPr>
      <t>&lt;p&gt;&lt;i&gt;Фертильность</t>
    </r>
    <r>
      <rPr>
        <rFont val="Arial"/>
        <color theme="1"/>
      </rPr>
      <t xml:space="preserve">&lt;/i&gt;&lt;br&gt;
Данные по фертильности у человека, а также результаты исследований фертильности у животных отсутствуют.&lt;br&gt;&lt;br&gt;
</t>
    </r>
    <r>
      <rPr>
        <rFont val="Arial"/>
        <i/>
        <color theme="1"/>
      </rPr>
      <t>&lt;i&gt;Беременность</t>
    </r>
    <r>
      <rPr>
        <rFont val="Arial"/>
        <color theme="1"/>
      </rPr>
      <t xml:space="preserve">&lt;/i&gt;&lt;br&gt;
Введение препарата ВАРИВАКС противопоказано в период беременности.&lt;br&gt;
Исследований препарата ВАРИВАКС у беременных женщин, а также исследований беременности у животных не проводилось.&lt;br&gt;
Тем не менее, не было зарегистрировано случаев повреждения плода при введении вакцины для профилактики ветряной оспы (живой, аттенуированной) беременным женщинам. Не следует допускать наступления беременности в течение 3&amp;nbsp;месяцев после вакцинации. Женщинам, планирующим беременность, следует рекомендовать отложить наступление беременности.&lt;br&gt;&lt;br&gt;
</t>
    </r>
    <r>
      <rPr>
        <rFont val="Arial"/>
        <i/>
        <color theme="1"/>
      </rPr>
      <t>&lt;i&gt;Лактация</t>
    </r>
    <r>
      <rPr>
        <rFont val="Arial"/>
        <color theme="1"/>
      </rPr>
      <t xml:space="preserve">&lt;/i&gt;&lt;br&gt;
Введение препарата ВАРИВАКС противопоказано в период грудного вскармливания. Данные о применении во время лактации у человека, а также результаты исследований лактации у животных отсутствуют.&lt;br&gt;&lt;br&gt;
</t>
    </r>
    <r>
      <rPr>
        <rFont val="Arial"/>
        <i/>
        <color theme="1"/>
      </rPr>
      <t>&lt;i&gt;Женщины с детородным потенциалом</t>
    </r>
    <r>
      <rPr>
        <rFont val="Arial"/>
        <color theme="1"/>
      </rPr>
      <t>&lt;/i&gt;&lt;br&gt;
Женщины с детородным потенциалом должны использовать надежные методы контрацепции в течение 3&amp;nbsp;месяцев после введения препарата ВАРИВАКС.&lt;/p&gt;</t>
    </r>
  </si>
  <si>
    <r>
      <rPr>
        <rFont val="Arial"/>
        <i/>
        <color theme="1"/>
      </rPr>
      <t>Беременность</t>
    </r>
    <r>
      <rPr>
        <rFont val="Arial"/>
        <color theme="1"/>
      </rPr>
      <t xml:space="preserve">
Безопасность применения вакцины во время беременности не установлена. Данные о применении препарата ПНЕМОТЕКС в период беременности отсутствуют. В качестве меры предосторожности, желательно избегать использования препарата ПНЕМОТЕКС в период беременности.
</t>
    </r>
    <r>
      <rPr>
        <rFont val="Arial"/>
        <i/>
        <color theme="1"/>
      </rPr>
      <t>Лактация</t>
    </r>
    <r>
      <rPr>
        <rFont val="Arial"/>
        <color theme="1"/>
      </rPr>
      <t xml:space="preserve">
Неизвестно, выделяется ли вакцинный антиген или антитела в грудное молоко. В качестве меры предосторожности, желательно избегать использования препарата ПНЕМОТЕКС в период грудного вскармливания.</t>
    </r>
  </si>
  <si>
    <r>
      <rPr>
        <rFont val="Arial"/>
        <i/>
        <color theme="1"/>
      </rPr>
      <t>&lt;p&gt;&lt;i&gt;Беременность&lt;/i&gt;&lt;br&gt;</t>
    </r>
    <r>
      <rPr>
        <rFont val="Arial"/>
        <color theme="1"/>
      </rPr>
      <t xml:space="preserve">
Безопасность применения вакцины во время беременности не установлена. Данные о применении препарата ПНЕМОТЕКС в период беременности отсутствуют. В качестве меры предосторожности, желательно избегать использования препарата ПНЕМОТЕКС в период беременности.&lt;br&gt;&lt;br&gt;
</t>
    </r>
    <r>
      <rPr>
        <rFont val="Arial"/>
        <i/>
        <color theme="1"/>
      </rPr>
      <t>&lt;i&gt;Лактация&lt;/i&gt;&lt;br&gt;</t>
    </r>
    <r>
      <rPr>
        <rFont val="Arial"/>
        <color theme="1"/>
      </rPr>
      <t xml:space="preserve">
Неизвестно, выделяется ли вакцинный антиген или антитела в грудное молоко. В качестве меры предосторожности, желательно избегать использования препарата ПНЕМОТЕКС в период грудного вскармливания.&lt;/p&gt;</t>
    </r>
  </si>
  <si>
    <t>Вакцинацию женщин в детородном возрасте проводят при отсутствии беременности и только в том случае, если женщина согласна предохраняться от зачатия в течение трех месяцев после прививки. Кормящие женщины могут быть привиты, если польза от вакцинации преобладает над возможным риском.</t>
  </si>
  <si>
    <t>&lt;p&gt;Вакцинацию женщин в детородном возрасте проводят при отсутствии беременности и только в том случае, если женщина согласна предохраняться от зачатия в течение трех месяцев после прививки. Кормящие женщины могут быть привиты, если польза от вакцинации преобладает над возможным риском.&lt;/p&gt;</t>
  </si>
  <si>
    <t>https://grls.rosminzdrav.ru/InstrImg/2021/04/08/1467900/ea2f5550-f9f6-4b5f-918d-7101ffaea430.pdf</t>
  </si>
  <si>
    <r>
      <rPr>
        <rFont val="Arial"/>
        <i/>
        <color theme="1"/>
      </rPr>
      <t>Беременность</t>
    </r>
    <r>
      <rPr>
        <rFont val="Arial"/>
        <color theme="1"/>
      </rPr>
      <t xml:space="preserve">
Данные о применении вакцины МенКвадфи у беременных женщин ограничены.
Исследования у животных не выявили прямого или опосредованного отрицательного влияния вакцины МенКвадфи на репродуктивную функцию.
Вакцину МенКвадфи следует применять в период беременности только, если ожидаемая польза вакцинации для беременной женщины превышает потенциальные риски, в том числе относящиеся к плоду.
</t>
    </r>
    <r>
      <rPr>
        <rFont val="Arial"/>
        <i/>
        <color theme="1"/>
      </rPr>
      <t>Лактация</t>
    </r>
    <r>
      <rPr>
        <rFont val="Arial"/>
        <color theme="1"/>
      </rPr>
      <t xml:space="preserve">
Данные о возможном проникновении компонентов вакцины МенКвадфи в грудное молоко, отсутствуют. Вакцину МенКвадфи следует применять в период грудного вскармливания, если ожидаемая польза вакцинации для беременной женщины превышает потенциальные риски.
</t>
    </r>
    <r>
      <rPr>
        <rFont val="Arial"/>
        <i/>
        <color theme="1"/>
      </rPr>
      <t>Фертильность</t>
    </r>
    <r>
      <rPr>
        <rFont val="Arial"/>
        <color theme="1"/>
      </rPr>
      <t xml:space="preserve">
В проведенном исследовании репродуктивной токсичности и влияния вакцины МенКвадфи на развитие плода у кроликов не было получено данных об отрицательном влиянии вакцины на фертильность самок или их способность к спариванию. Исследований влияния вакцины на фертильность самцов кроликов не проводилось.</t>
    </r>
  </si>
  <si>
    <r>
      <rPr>
        <rFont val="Arial"/>
        <i/>
        <color theme="1"/>
      </rPr>
      <t>&lt;p&gt;&lt;i&gt;Беременность&lt;/i&gt;&lt;br&gt;</t>
    </r>
    <r>
      <rPr>
        <rFont val="Arial"/>
        <color theme="1"/>
      </rPr>
      <t xml:space="preserve">
Данные о применении вакцины МенКвадфи у беременных женщин ограничены.&lt;br&gt;
Исследования у животных не выявили прямого или опосредованного отрицательного влияния вакцины МенКвадфи на репродуктивную функцию.&lt;br&gt;
Вакцину МенКвадфи следует применять в период беременности только, если ожидаемая польза вакцинации для беременной женщины превышает потенциальные риски, в том числе относящиеся к плоду.&lt;br&gt;&lt;br&gt;
</t>
    </r>
    <r>
      <rPr>
        <rFont val="Arial"/>
        <i/>
        <color theme="1"/>
      </rPr>
      <t>&lt;i&gt;Лактация</t>
    </r>
    <r>
      <rPr>
        <rFont val="Arial"/>
        <color theme="1"/>
      </rPr>
      <t xml:space="preserve">&lt;/i&gt;&lt;br&gt;
Данные о возможном проникновении компонентов вакцины МенКвадфи в грудное молоко, отсутствуют. Вакцину МенКвадфи следует применять в период грудного вскармливания, если ожидаемая польза вакцинации для беременной женщины превышает потенциальные риски.&lt;br&gt;&lt;br&gt;
</t>
    </r>
    <r>
      <rPr>
        <rFont val="Arial"/>
        <i/>
        <color theme="1"/>
      </rPr>
      <t>&lt;i&gt;Фертильность</t>
    </r>
    <r>
      <rPr>
        <rFont val="Arial"/>
        <color theme="1"/>
      </rPr>
      <t>&lt;/i&gt;&lt;br&gt;
В проведенном исследовании репродуктивной токсичности и влияния вакцины МенКвадфи на развитие плода у кроликов не было получено данных об отрицательном влиянии вакцины на фертильность самок или их способность к спариванию. Исследований влияния вакцины на фертильность самцов кроликов не проводилось.&lt;/p&gt;</t>
    </r>
  </si>
  <si>
    <r>
      <rPr>
        <rFont val="Arial"/>
        <i/>
        <color theme="1"/>
      </rPr>
      <t>Беременность</t>
    </r>
    <r>
      <rPr>
        <rFont val="Arial"/>
        <color theme="1"/>
      </rPr>
      <t xml:space="preserve">
Клинических данных по безопасности применения вакцины у беременных женщин недостаточно.
Потенциальный риск для беременных женщин неизвестен. Тем не менее, не следует откладывать вакцинацию, если существует явный риск контакта с менингококковой инфекцией.
В исследованиях на самках кролика не получено доказательств токсичности для организма матери или плода, а также влияния на беременность, поведение матери, женскую фертильность или постнатальное развитие после введения вакцины Бексеро в дозе, примерно в 10 раз превышающей эквивалент дозы для введения человеку, рассчитанный на основании массы тела.
</t>
    </r>
    <r>
      <rPr>
        <rFont val="Arial"/>
        <i/>
        <color theme="1"/>
      </rPr>
      <t>Кормление грудью</t>
    </r>
    <r>
      <rPr>
        <rFont val="Arial"/>
        <color theme="1"/>
      </rPr>
      <t xml:space="preserve">
Информация по безопасности вакцины для женщин и их детей в период грудного вскармливания отсутствует. До принятия решения о проведении иммунизации во время грудного вскармливания должно быть оценено соотношение пользы и риска.
У самок кроликов, вакцинированных во время беременности, или у их потомства в течение 29 дней лактации каких-либо нежелательных реакций не наблюдалось. Иммунный ответ на вакцину Бексеро наблюдался у самок животных, вакцинированных до начала лактации, у их потомства были обнаружены антитела, но в молоке самок уровень антител не определялся.
</t>
    </r>
    <r>
      <rPr>
        <rFont val="Arial"/>
        <i/>
        <color theme="1"/>
      </rPr>
      <t>Фертильность</t>
    </r>
    <r>
      <rPr>
        <rFont val="Arial"/>
        <color theme="1"/>
      </rPr>
      <t xml:space="preserve">
Данные о влиянии на фертильность у человека отсутствуют.
В исследованиях на животных не выявлено воздействия на фертильность женских особей.
В исследовании эмбриофетальной и онтогенетической токсичности при введении вакцины Бексеро кроликам внутримышечно за 35, 21 и 7 дней до спаривания и в 7 и 20 дни гестации какого-либо воздействия на способность к спариванию или фертильность у самок кроликов не выявлено. Влияние на фертильность у самцов в исследованиях на животных на изучали.</t>
    </r>
  </si>
  <si>
    <r>
      <rPr>
        <rFont val="Arial"/>
        <i/>
        <color theme="1"/>
      </rPr>
      <t>&lt;p&gt;&lt;i&gt;Беременность</t>
    </r>
    <r>
      <rPr>
        <rFont val="Arial"/>
        <color theme="1"/>
      </rPr>
      <t xml:space="preserve">&lt;/i&gt;&lt;br&gt;
Клинических данных по безопасности применения вакцины у беременных женщин недостаточно.&lt;br&gt;
Потенциальный риск для беременных женщин неизвестен. Тем не менее, не следует откладывать вакцинацию, если существует явный риск контакта с менингококковой инфекцией.&lt;br&gt;
В исследованиях на самках кролика не получено доказательств токсичности для организма матери или плода, а также влияния на беременность, поведение матери, женскую фертильность или постнатальное развитие после введения вакцины Бексеро в дозе, примерно в 10&amp;nbsp;раз превышающей эквивалент дозы для введения человеку, рассчитанный на основании массы тела.&lt;br&gt;&lt;br&gt;
</t>
    </r>
    <r>
      <rPr>
        <rFont val="Arial"/>
        <i/>
        <color theme="1"/>
      </rPr>
      <t>&lt;i&gt;Кормление грудью</t>
    </r>
    <r>
      <rPr>
        <rFont val="Arial"/>
        <color theme="1"/>
      </rPr>
      <t xml:space="preserve">&lt;/i&gt;&lt;br&gt;
Информация по безопасности вакцины для женщин и их детей в период грудного вскармливания отсутствует. До принятия решения о проведении иммунизации во время грудного вскармливания должно быть оценено соотношение пользы и риска.&lt;br&gt;
У самок кроликов, вакцинированных во время беременности, или у их потомства в течение 29&amp;nbsp;дней лактации каких-либо нежелательных реакций не наблюдалось. Иммунный ответ на вакцину Бексеро наблюдался у самок животных, вакцинированных до начала лактации, у их потомства были обнаружены антитела, но в молоке самок уровень антител не определялся.&lt;br&gt;&lt;br&gt;
</t>
    </r>
    <r>
      <rPr>
        <rFont val="Arial"/>
        <i/>
        <color theme="1"/>
      </rPr>
      <t>&lt;i&gt;Фертильность</t>
    </r>
    <r>
      <rPr>
        <rFont val="Arial"/>
        <color theme="1"/>
      </rPr>
      <t>&lt;/i&gt;&lt;br&gt;
Данные о влиянии на фертильность у человека отсутствуют.&lt;br&gt;
В исследованиях на животных не выявлено воздействия на фертильность женских особей.&lt;br&gt;
В исследовании эмбриофетальной и онтогенетической токсичности при введении вакцины Бексеро кроликам внутримышечно за 35, 21 и 7&amp;nbsp;дней до спаривания и в 7 и 20&amp;nbsp;дни гестации какого-либо воздействия на способность к спариванию или фертильность у самок кроликов не выявлено. Влияние на фертильность у самцов в исследованиях на животных на изучали.&lt;/p&gt;</t>
    </r>
  </si>
  <si>
    <t>Лекарственный препарат «Гам-КОВИД-Вак-Д Комбинированная векторная вакцина для профилактики коронавирусной инфекции, вызываемой вирусом SARS-CoV-2», предназначен только для детей. Нет данных о применении лекарственного препарата у беременных женщин и в период грудного вскармливания.</t>
  </si>
  <si>
    <t>&lt;p&gt;Лекарственный препарат «Гам-КОВИД-Вак-Д Комбинированная векторная вакцина для профилактики коронавирусной инфекции, вызываемой вирусом SARS-CoV-2», предназначен только для детей. Нет данных о применении лекарственного препарата у беременных женщин и в период грудного вскармливания.&lt;/p&gt;</t>
  </si>
  <si>
    <r>
      <rPr>
        <rFont val="Arial"/>
        <color theme="1"/>
      </rPr>
      <t>&lt;p&gt;</t>
    </r>
    <r>
      <rPr>
        <rFont val="Arial"/>
        <i/>
        <color theme="1"/>
      </rPr>
      <t>&lt;i&gt;Данные о влиянии препарата на течение беременности и кормление грудью отсутствуют.</t>
    </r>
    <r>
      <rPr>
        <rFont val="Arial"/>
        <color theme="1"/>
      </rPr>
      <t>&lt;/i&gt;&lt;/p&gt;</t>
    </r>
  </si>
  <si>
    <t>Клинические исследования безопасности применения вакцины Энцепур взрослый для беременных и кормящих женщин не проводились.
Вакцинация беременных и кормящих женщин может быть осуществлена только после тщательного определения риска их возможного заражения вирусом КЭ.</t>
  </si>
  <si>
    <t>&lt;p&gt;Клинические исследования безопасности применения вакцины Энцепур&amp;nbsp;взрослый для беременных и кормящих женщин не проводились.&lt;br&gt;&lt;br&gt;
Вакцинация беременных и кормящих женщин может быть осуществлена только после тщательного определения риска их возможного заражения вирусом КЭ.&lt;/p&gt;</t>
  </si>
  <si>
    <t>Достаточные данные по применению вакцины во время беременности отсутствуют. В исследованиях на животных не было получено достаточных данных о влиянии препарата ПолиовакСин на беременность, развитие эмбриона и плода, роды и постнатальное развитие.
Клинические исследования безопасности применения вакцины ПолиовакСин для беременных и кормящих женщин не проводились. Потенциальный риск неизвестен.
Грудное вскармливание не является противопоказанием к вакцинации.
Вакцина должна назначаться беременным и кормящим женщинам только после тщательной оценки риска и пользы вакцинации.</t>
  </si>
  <si>
    <t>&lt;p&gt;Достаточные данные по применению вакцины во время беременности отсутствуют. В исследованиях на животных не было получено достаточных данных о влиянии препарата ПолиовакСин на беременность, развитие эмбриона и плода, роды и постнатальное развитие.&lt;br&gt;
Клинические исследования безопасности применения вакцины ПолиовакСин для беременных и кормящих женщин не проводились. Потенциальный риск неизвестен.&lt;br&gt;
Грудное вскармливание не является противопоказанием к вакцинации.&lt;br&gt;
Вакцина должна назначаться беременным и кормящим женщинам только после тщательной оценки риска и пользы вакцинации.&lt;/p&gt;</t>
  </si>
  <si>
    <t>Поскольку вакцина Акт-Хиб применяется для вакцинации детей, то данные о влиянии препарата на течение беременности и кормление грудью очень ограничены. Неизвестно, выделяется ли вакцина с грудным молоком.</t>
  </si>
  <si>
    <t>&lt;p&gt;Поскольку вакцина Акт-Хиб применяется для вакцинации детей, то данные о влиянии препарата на течение беременности и кормление грудью очень ограничены. Неизвестно, выделяется ли вакцина с грудным молоком.&lt;/p&gt;</t>
  </si>
  <si>
    <t>https://grls.rosminzdrav.ru/InstrImg/2020/4/29/1456610/%D0%9F_N013850_01[2014]_0.pdf</t>
  </si>
  <si>
    <r>
      <rPr>
        <rFont val="Arial"/>
        <i/>
        <color theme="1"/>
      </rPr>
      <t>Беременность</t>
    </r>
    <r>
      <rPr>
        <rFont val="Arial"/>
        <color theme="1"/>
      </rPr>
      <t xml:space="preserve">
Препарат предназначен для применения у детей.
Данные по применению вакцины у человека во время беременности отсутствуют, исследования влияния на репродуктивную функцию у животных не проводились.
</t>
    </r>
    <r>
      <rPr>
        <rFont val="Arial"/>
        <i/>
        <color theme="1"/>
      </rPr>
      <t>Период грудного вскармливания</t>
    </r>
    <r>
      <rPr>
        <rFont val="Arial"/>
        <color theme="1"/>
      </rPr>
      <t xml:space="preserve">
Препарат предназначен для применения у детей.
Данные по применению вакцины у человека в период грудного вскармливания отсутствуют, исследования влияния на репродуктивную функцию у животных не проводились.</t>
    </r>
  </si>
  <si>
    <r>
      <rPr>
        <rFont val="Arial"/>
        <i/>
        <color theme="1"/>
      </rPr>
      <t>&lt;p&gt;&lt;i&gt;Беременность</t>
    </r>
    <r>
      <rPr>
        <rFont val="Arial"/>
        <color theme="1"/>
      </rPr>
      <t xml:space="preserve">&lt;/i&gt;&lt;br&gt;
Препарат предназначен для применения у детей.&lt;br&gt;
Данные по применению вакцины у человека во время беременности отсутствуют, исследования влияния на репродуктивную функцию у животных не проводились.&lt;br&gt;&lt;br&gt;
</t>
    </r>
    <r>
      <rPr>
        <rFont val="Arial"/>
        <i/>
        <color theme="1"/>
      </rPr>
      <t>&lt;i&gt;Период грудного вскармливания</t>
    </r>
    <r>
      <rPr>
        <rFont val="Arial"/>
        <color theme="1"/>
      </rPr>
      <t>&lt;/i&gt;&lt;br&gt;
Препарат предназначен для применения у детей.&lt;br&gt;
Данные по применению вакцины у человека в период грудного вскармливания отсутствуют, исследования влияния на репродуктивную функцию у животных не проводились.&lt;/p&gt;</t>
    </r>
  </si>
  <si>
    <t>https://grls.rosminzdrav.ru/InstrImg/2020/12/15/1464278/%D0%9F_N015829_01[2016]_5.pdf</t>
  </si>
  <si>
    <t>Достоверные данные о применении препарата ФСМЕ-ИММУН® Джуниор (Вакцина клещевого энцефалита культуральная инактивированная очищенная сорбированная) беременными или кормящими женщинами отсутствуют. Неизвестно, экскретируется ли препарат в грудное молоко. Врач должен внимательно оценить возможность применения препарата на основании отношения вероятного риска к ожидаемой пользе и только по неотложным показаниям. Применение препарата ФСМЕ-ИММУН® Джуниор (Вакцина клещевого энцефалита культуральная инактивированная очищенная сорбированная) во время беременности или в период кормления грудью допускается только в случае необходимости срочной инициации иммунной защиты против клещевого энцефалита.</t>
  </si>
  <si>
    <t>&lt;p&gt;Достоверные данные о применении препарата ФСМЕ-ИММУН®&amp;nbsp;Джуниор (Вакцина клещевого энцефалита культуральная инактивированная очищенная сорбированная) беременными или кормящими женщинами отсутствуют. Неизвестно, экскретируется ли препарат в грудное молоко. Врач должен внимательно оценить возможность применения препарата на основании отношения вероятного риска к ожидаемой пользе и только по неотложным показаниям. Применение препарата ФСМЕ-ИММУН®&amp;nbsp;Джуниор (Вакцина клещевого энцефалита культуральная инактивированная очищенная сорбированная) во время беременности или в период кормления грудью допускается только в случае необходимости срочной инициации иммунной защиты против клещевого энцефалита.&lt;/p&gt;</t>
  </si>
  <si>
    <t>Достоверные данные о применении препарата ФСМЕ-ИММУН® беременными или кормящими женщинами отсутствуют. Неизвестно, экскретируется ли вакцина клещевого энцефалита в грудное молоко. Врач должен внимательно оценить возможность применения препарата на основании отношения вероятного риска к ожидаемой пользе и только по неотложным показаниям. Применение препарата ФСМЕ-ИММУН® во время беременности или в период кормления грудью допускается только в случае необходимости срочной инициации иммунной защиты против инфекции клещевого энцефалита.
Воздействие препарата ФСМЕ-ИММУН® на репродуктивную функцию не установлено.</t>
  </si>
  <si>
    <t>&lt;p&gt;Достоверные данные о применении препарата ФСМЕ-ИММУН® беременными или кормящими женщинами отсутствуют. Неизвестно, экскретируется ли вакцина клещевого энцефалита в грудное молоко. Врач должен внимательно оценить возможность применения препарата на основании отношения вероятного риска к ожидаемой пользе и только по неотложным показаниям. Применение препарата ФСМЕ-ИММУН® во время беременности или в период кормления грудью допускается только в случае необходимости срочной инициации иммунной защиты против инфекции клещевого энцефалита.&lt;br&gt;&lt;br&gt;
Воздействие препарата ФСМЕ-ИММУН® на репродуктивную функцию не установлено.&lt;/p&gt;</t>
  </si>
  <si>
    <r>
      <rPr>
        <rFont val="Arial"/>
        <i/>
        <color theme="1"/>
      </rPr>
      <t>Беременность</t>
    </r>
    <r>
      <rPr>
        <rFont val="Arial"/>
        <color theme="1"/>
      </rPr>
      <t xml:space="preserve">
Безопасность применения во время беременности не установлена. Влияние вакцины на плод и репродуктивную функцию не изучено. Данные о применении в период беременности отсутствуют.
Возможность вакцинации беременной женщины может быть рассмотрена только при крайне высоком риске инфицирования, в том случае, если ожидаемая польза для матери превышает потенциальный риск для плода.
</t>
    </r>
    <r>
      <rPr>
        <rFont val="Arial"/>
        <i/>
        <color theme="1"/>
      </rPr>
      <t>Период грудного вскармливания</t>
    </r>
    <r>
      <rPr>
        <rFont val="Arial"/>
        <color theme="1"/>
      </rPr>
      <t xml:space="preserve">
Данные по применению в период грудного вскармливания отсутствуют. Неизвестно, проникает ли вакцинный антиген или антитела в грудное молоко. Возможность вакцинации кормящей женщины может быть рассмотрена только при крайне высоком риске инфицирования. В этом случае по решению врача и с учетом пользы грудного вскармливания для ребенка и пользы вакцинации для матери следует либо прекратить грудное вскармливание, либо воздержаться от вакцинации.</t>
    </r>
  </si>
  <si>
    <r>
      <rPr>
        <rFont val="Arial"/>
        <i/>
        <color theme="1"/>
      </rPr>
      <t>&lt;p&gt;&lt;i&gt;Беременность</t>
    </r>
    <r>
      <rPr>
        <rFont val="Arial"/>
        <color theme="1"/>
      </rPr>
      <t xml:space="preserve">&lt;/i&gt;&lt;br&gt;
Безопасность применения во время беременности не установлена. Влияние вакцины на плод и репродуктивную функцию не изучено. Данные о применении в период беременности отсутствуют.&lt;br&gt;
Возможность вакцинации беременной женщины может быть рассмотрена только при крайне высоком риске инфицирования, в том случае, если ожидаемая польза для матери превышает потенциальный риск для плода.&lt;br&gt;&lt;br&gt;
</t>
    </r>
    <r>
      <rPr>
        <rFont val="Arial"/>
        <i/>
        <color theme="1"/>
      </rPr>
      <t>&lt;i&gt;Период грудного вскармливания&lt;/i&gt;&lt;br&gt;</t>
    </r>
    <r>
      <rPr>
        <rFont val="Arial"/>
        <color theme="1"/>
      </rPr>
      <t xml:space="preserve">
Данные по применению в период грудного вскармливания отсутствуют. Неизвестно, проникает ли вакцинный антиген или антитела в грудное молоко. Возможность вакцинации кормящей женщины может быть рассмотрена только при крайне высоком риске инфицирования. В этом случае по решению врача и с учетом пользы грудного вскармливания для ребенка и пользы вакцинации для матери следует либо прекратить грудное вскармливание, либо воздержаться от вакцинации.&lt;/p&gt;</t>
    </r>
  </si>
  <si>
    <t>Не применимо. Препарат применяется у детей в соответствии с Национальным календарем профилактических прививок Российской Федерации.</t>
  </si>
  <si>
    <t>&lt;p&gt;Не применимо. Препарат применяется у детей в соответствии с Национальным календарем профилактических прививок Российской Федерации.&lt;/p&gt;</t>
  </si>
  <si>
    <r>
      <rPr>
        <rFont val="Arial"/>
        <i/>
        <color theme="1"/>
      </rPr>
      <t>Беременность</t>
    </r>
    <r>
      <rPr>
        <rFont val="Arial"/>
        <color theme="1"/>
      </rPr>
      <t xml:space="preserve">
Данные по применению вакцины Шингрикс у беременных женщин отсутствуют. В рамках доклинических исследований вакцины Шингрикс у самок крыс не было выявлено каких-либо нежелательных эффектов в отношении беременности.
</t>
    </r>
    <r>
      <rPr>
        <rFont val="Arial"/>
        <i/>
        <color theme="1"/>
      </rPr>
      <t>Лактация</t>
    </r>
    <r>
      <rPr>
        <rFont val="Arial"/>
        <color theme="1"/>
      </rPr>
      <t xml:space="preserve">
Влияние вакцины Шингрикс на детей, находящихся на грудном вскармливании, при введении вакцины их матерям, не изучалось. Сведения о проникновении вакцины Шингрикс в грудное молоко человека отсутствуют.
</t>
    </r>
    <r>
      <rPr>
        <rFont val="Arial"/>
        <i/>
        <color theme="1"/>
      </rPr>
      <t>Фертильность</t>
    </r>
    <r>
      <rPr>
        <rFont val="Arial"/>
        <color theme="1"/>
      </rPr>
      <t xml:space="preserve">
В исследованиях на животных не было выявлено влияния вакцины Шингрикс на фертильность самцов или самок.</t>
    </r>
  </si>
  <si>
    <r>
      <rPr>
        <rFont val="Arial"/>
        <i/>
        <color theme="1"/>
      </rPr>
      <t>&lt;p&gt;&lt;i&gt;Беременность</t>
    </r>
    <r>
      <rPr>
        <rFont val="Arial"/>
        <color theme="1"/>
      </rPr>
      <t xml:space="preserve">&lt;/i&gt;&lt;br&gt;
Данные по применению вакцины Шингрикс у беременных женщин отсутствуют. В рамках доклинических исследований вакцины Шингрикс у самок крыс не было выявлено каких-либо нежелательных эффектов в отношении беременности.&lt;br&gt;&lt;br&gt;
</t>
    </r>
    <r>
      <rPr>
        <rFont val="Arial"/>
        <i/>
        <color theme="1"/>
      </rPr>
      <t>&lt;i&gt;Лактация&lt;/i&gt;&lt;br&gt;</t>
    </r>
    <r>
      <rPr>
        <rFont val="Arial"/>
        <color theme="1"/>
      </rPr>
      <t xml:space="preserve">
Влияние вакцины Шингрикс на детей, находящихся на грудном вскармливании, при введении вакцины их матерям, не изучалось. Сведения о проникновении вакцины Шингрикс в грудное молоко человека отсутствуют.&lt;br&gt;&lt;br&gt;
</t>
    </r>
    <r>
      <rPr>
        <rFont val="Arial"/>
        <i/>
        <color theme="1"/>
      </rPr>
      <t>&lt;i&gt;Фертильность&lt;/i&gt;&lt;br&gt;</t>
    </r>
    <r>
      <rPr>
        <rFont val="Arial"/>
        <color theme="1"/>
      </rPr>
      <t xml:space="preserve">
В исследованиях на животных не было выявлено влияния вакцины Шингрикс на фертильность самцов или самок.&lt;/p&gt;</t>
    </r>
  </si>
  <si>
    <r>
      <rPr>
        <rFont val="Arial"/>
        <i/>
        <color theme="1"/>
      </rPr>
      <t>Беременность</t>
    </r>
    <r>
      <rPr>
        <rFont val="Arial"/>
        <color theme="1"/>
      </rPr>
      <t xml:space="preserve">
Применение препарата во время беременности противопоказано из-за теоретически возможного, но ни разу не подтвержденного риска тератогенного действия. Женщинам, которые планируют беременность, следует рекомендовать отложить наступление беременности и использовать эффективную контрацепцию в течение 1 месяца после вакцинации. Случайная вакцинация беременной женщины или наступление беременности ранее, чем через 1 месяц после вакцинации, не являются показаниями к прерыванию беременности.
</t>
    </r>
    <r>
      <rPr>
        <rFont val="Arial"/>
        <i/>
        <color theme="1"/>
      </rPr>
      <t>Лактация</t>
    </r>
    <r>
      <rPr>
        <rFont val="Arial"/>
        <color theme="1"/>
      </rPr>
      <t xml:space="preserve">
Неизвестно, выделяются ли вакцинные вирусы кори и паротита с грудным молоком. При иммунизации живой аттенуированной вакциной против краснухи женщин в период лактации вирус краснухи может определяться в грудном молоке и передаваться новорожденным. Случаи тяжелого течения заболевания у новорожденных с серологическими признаками инфицирования краснухой не встречались, однако у одного ребенка развилась типичная краснуха в легкой форме. Следует соблюдать осторожность при введении вакцины ТРИВЭЙД кормящим женщинам.
</t>
    </r>
    <r>
      <rPr>
        <rFont val="Arial"/>
        <i/>
        <color theme="1"/>
      </rPr>
      <t>Фертильность</t>
    </r>
    <r>
      <rPr>
        <rFont val="Arial"/>
        <color theme="1"/>
      </rPr>
      <t xml:space="preserve">
Данные отсутствуют.</t>
    </r>
  </si>
  <si>
    <r>
      <rPr>
        <rFont val="Arial"/>
        <i/>
        <color theme="1"/>
      </rPr>
      <t>&lt;p&gt;&lt;i&gt;Беременность&lt;/i&gt;&lt;br&gt;</t>
    </r>
    <r>
      <rPr>
        <rFont val="Arial"/>
        <color theme="1"/>
      </rPr>
      <t xml:space="preserve">
Применение препарата во время беременности противопоказано из-за теоретически возможного, но ни разу не подтвержденного риска тератогенного действия. Женщинам, которые планируют беременность, следует рекомендовать отложить наступление беременности и использовать эффективную контрацепцию в течение 1&amp;nbsp;месяца после вакцинации. Случайная вакцинация беременной женщины или наступление беременности ранее, чем через 1&amp;nbsp;месяц после вакцинации, не являются показаниями к прерыванию беременности.&lt;br&gt;&lt;br&gt;
</t>
    </r>
    <r>
      <rPr>
        <rFont val="Arial"/>
        <i/>
        <color theme="1"/>
      </rPr>
      <t>&lt;i&gt;Лактация</t>
    </r>
    <r>
      <rPr>
        <rFont val="Arial"/>
        <color theme="1"/>
      </rPr>
      <t xml:space="preserve">&lt;/i&gt;&lt;br&gt;
Неизвестно, выделяются ли вакцинные вирусы кори и паротита с грудным молоком. При иммунизации живой аттенуированной вакциной против краснухи женщин в период лактации вирус краснухи может определяться в грудном молоке и передаваться новорожденным. Случаи тяжелого течения заболевания у новорожденных с серологическими признаками инфицирования краснухой не встречались, однако у одного ребенка развилась типичная краснуха в легкой форме. Следует соблюдать осторожность при введении вакцины ТРИВЭЙД кормящим женщинам.&lt;br&gt;&lt;br&gt;
</t>
    </r>
    <r>
      <rPr>
        <rFont val="Arial"/>
        <i/>
        <color theme="1"/>
      </rPr>
      <t>&lt;i&gt;Фертильность&lt;/i&gt;&lt;br&gt;</t>
    </r>
    <r>
      <rPr>
        <rFont val="Arial"/>
        <color theme="1"/>
      </rPr>
      <t xml:space="preserve">
Данные отсутствуют.&lt;/p&gt;</t>
    </r>
  </si>
  <si>
    <t>Препарат Бэби-Хиб не предназначен для взрослых. Данные о применении во время беременности и лактации у человека отсутствуют.</t>
  </si>
  <si>
    <t>&lt;p&gt;Препарат Бэби-Хиб не предназначен для взрослых. Данные о применении во время беременности и лактации у человека отсутствуют.&lt;/p&gt;</t>
  </si>
  <si>
    <t>При беременности и в период лактации АС-анатоксин для доноров не применяется.
Нет данных о влиянии лекарственного препарата на фертильность человека.</t>
  </si>
  <si>
    <t>&lt;p&gt;При беременности и в период лактации АС-анатоксин для доноров не применяется.&lt;br&gt;&lt;br&gt;
Нет данных о влиянии лекарственного препарата на фертильность человека.&lt;/p&gt;</t>
  </si>
  <si>
    <r>
      <rPr>
        <rFont val="Arial"/>
        <i/>
        <color theme="1"/>
      </rPr>
      <t>Беременность</t>
    </r>
    <r>
      <rPr>
        <rFont val="Arial"/>
        <color theme="1"/>
      </rPr>
      <t xml:space="preserve">
Применение при беременности противопоказано.
</t>
    </r>
    <r>
      <rPr>
        <rFont val="Arial"/>
        <i/>
        <color theme="1"/>
      </rPr>
      <t>Лактация</t>
    </r>
    <r>
      <rPr>
        <rFont val="Arial"/>
        <color theme="1"/>
      </rPr>
      <t xml:space="preserve">
Применение в период грудного вскармливания противопоказано.
</t>
    </r>
    <r>
      <rPr>
        <rFont val="Arial"/>
        <i/>
        <color theme="1"/>
      </rPr>
      <t>Фертильность</t>
    </r>
    <r>
      <rPr>
        <rFont val="Arial"/>
        <color theme="1"/>
      </rPr>
      <t xml:space="preserve">
Нет данных о влиянии лекарственного препарата Вакцина оспенная живая на фертильность человека.</t>
    </r>
  </si>
  <si>
    <r>
      <rPr>
        <rFont val="Arial"/>
        <i/>
        <color theme="1"/>
      </rPr>
      <t>&lt;p&gt;&lt;i&gt;Беременность&lt;/i&gt;&lt;br&gt;</t>
    </r>
    <r>
      <rPr>
        <rFont val="Arial"/>
        <color theme="1"/>
      </rPr>
      <t xml:space="preserve">
Применение при беременности противопоказано.&lt;br&gt;&lt;br&gt;
</t>
    </r>
    <r>
      <rPr>
        <rFont val="Arial"/>
        <i/>
        <color theme="1"/>
      </rPr>
      <t>&lt;i&gt;Лактация</t>
    </r>
    <r>
      <rPr>
        <rFont val="Arial"/>
        <color theme="1"/>
      </rPr>
      <t xml:space="preserve">&lt;/i&gt;&lt;br&gt;
Применение в период грудного вскармливания противопоказано.&lt;br&gt;&lt;br&gt;
</t>
    </r>
    <r>
      <rPr>
        <rFont val="Arial"/>
        <i/>
        <color theme="1"/>
      </rPr>
      <t>&lt;i&gt;Фертильность</t>
    </r>
    <r>
      <rPr>
        <rFont val="Arial"/>
        <color theme="1"/>
      </rPr>
      <t>&lt;/i&gt;&lt;br&gt;
Нет данных о влиянии лекарственного препарата Вакцина оспенная живая на фертильность человека.&lt;/p&gt;</t>
    </r>
  </si>
  <si>
    <t>Не применимо. Препарат используется для вакцинации детей.</t>
  </si>
  <si>
    <t>&lt;p&gt;Не применимо. Препарат используется для вакцинации детей.&lt;/p&gt;</t>
  </si>
  <si>
    <r>
      <rPr>
        <rFont val="Arial"/>
        <i/>
        <color theme="1"/>
      </rPr>
      <t>Беременность</t>
    </r>
    <r>
      <rPr>
        <rFont val="Arial"/>
        <color theme="1"/>
      </rPr>
      <t xml:space="preserve">
Применение при беременности противопоказано (в данном случае — это строгое противопоказание [...]).
</t>
    </r>
    <r>
      <rPr>
        <rFont val="Arial"/>
        <i/>
        <color theme="1"/>
      </rPr>
      <t>Лактация</t>
    </r>
    <r>
      <rPr>
        <rFont val="Arial"/>
        <color theme="1"/>
      </rPr>
      <t xml:space="preserve">
Применение в период грудного вскармливания противопоказано (в данном случае — это строгое противопоказание [...]).
</t>
    </r>
    <r>
      <rPr>
        <rFont val="Arial"/>
        <i/>
        <color theme="1"/>
      </rPr>
      <t>Фертильность</t>
    </r>
    <r>
      <rPr>
        <rFont val="Arial"/>
        <color theme="1"/>
      </rPr>
      <t xml:space="preserve">
Нет данных о влиянии лекарственного препарата Вакцина Е сыпнотифозная комбинированная живая (ЖКСВ-Е) на фертильность человека.</t>
    </r>
  </si>
  <si>
    <r>
      <rPr>
        <rFont val="Arial"/>
        <i/>
        <color theme="1"/>
      </rPr>
      <t>&lt;p&gt;&lt;i&gt;Беременность</t>
    </r>
    <r>
      <rPr>
        <rFont val="Arial"/>
        <color theme="1"/>
      </rPr>
      <t xml:space="preserve">&lt;/i&gt;&lt;br&gt;
Применение при беременности противопоказано (в данном случае — это строгое противопоказание [...]).&lt;br&gt;&lt;br&gt;
</t>
    </r>
    <r>
      <rPr>
        <rFont val="Arial"/>
        <i/>
        <color theme="1"/>
      </rPr>
      <t>&lt;i&gt;Лактация</t>
    </r>
    <r>
      <rPr>
        <rFont val="Arial"/>
        <color theme="1"/>
      </rPr>
      <t xml:space="preserve">&lt;/i&gt;&lt;br&gt;
Применение в период грудного вскармливания противопоказано (в данном случае — это строгое противопоказание [...]).&lt;br&gt;&lt;br&gt;
</t>
    </r>
    <r>
      <rPr>
        <rFont val="Arial"/>
        <i/>
        <color theme="1"/>
      </rPr>
      <t>&lt;i&gt;Фертильность</t>
    </r>
    <r>
      <rPr>
        <rFont val="Arial"/>
        <color theme="1"/>
      </rPr>
      <t>&lt;/i&gt;&lt;br&gt;
Нет данных о влиянии лекарственного препарата Вакцина Е сыпнотифозная комбинированная живая (ЖКСВ-Е) на фертильность человека.&lt;/p&gt;</t>
    </r>
  </si>
  <si>
    <r>
      <rPr>
        <rFont val="Arial"/>
        <i/>
        <color theme="1"/>
      </rPr>
      <t>Беременность</t>
    </r>
    <r>
      <rPr>
        <rFont val="Arial"/>
        <color theme="1"/>
      </rPr>
      <t xml:space="preserve">
Применение при беременности противопоказано.
</t>
    </r>
    <r>
      <rPr>
        <rFont val="Arial"/>
        <i/>
        <color theme="1"/>
      </rPr>
      <t>Лактация</t>
    </r>
    <r>
      <rPr>
        <rFont val="Arial"/>
        <color theme="1"/>
      </rPr>
      <t xml:space="preserve">
Применение в период грудного вскармливания противопоказано.
</t>
    </r>
    <r>
      <rPr>
        <rFont val="Arial"/>
        <i/>
        <color theme="1"/>
      </rPr>
      <t>Фертильность</t>
    </r>
    <r>
      <rPr>
        <rFont val="Arial"/>
        <color theme="1"/>
      </rPr>
      <t xml:space="preserve">
Нет данных о влиянии лекарственного препарата ОспаВир на фертильность человека.</t>
    </r>
  </si>
  <si>
    <r>
      <rPr>
        <rFont val="Arial"/>
        <i/>
        <color theme="1"/>
      </rPr>
      <t>&lt;p&gt;&lt;i&gt;Беременность</t>
    </r>
    <r>
      <rPr>
        <rFont val="Arial"/>
        <color theme="1"/>
      </rPr>
      <t xml:space="preserve">&lt;/i&gt;&lt;br&gt;
Применение при беременности противопоказано.&lt;br&gt;&lt;br&gt;
</t>
    </r>
    <r>
      <rPr>
        <rFont val="Arial"/>
        <i/>
        <color theme="1"/>
      </rPr>
      <t>&lt;i&gt;Лактация</t>
    </r>
    <r>
      <rPr>
        <rFont val="Arial"/>
        <color theme="1"/>
      </rPr>
      <t xml:space="preserve">&lt;/i&gt;&lt;br&gt;
Применение в период грудного вскармливания противопоказано.&lt;br&gt;&lt;br&gt;
</t>
    </r>
    <r>
      <rPr>
        <rFont val="Arial"/>
        <i/>
        <color theme="1"/>
      </rPr>
      <t>&lt;i&gt;Фертильность</t>
    </r>
    <r>
      <rPr>
        <rFont val="Arial"/>
        <color theme="1"/>
      </rPr>
      <t>&lt;/i&gt;&lt;br&gt;
Нет данных о влиянии лекарственного препарата ОспаВир на фертильность человека.&lt;/p&gt;</t>
    </r>
  </si>
  <si>
    <t>Безопасность применения препарата при беременности и в период грудного вскармливания в процессе контролируемых клинических испытаний не исследовалась.
Применение препарата при беременности и в период грудного вскармливания возможно только в тех случаях, если потенциальная польза для матери превышает потенциальный риск для плода или новорожденного.</t>
  </si>
  <si>
    <t>&lt;p&gt;Безопасность применения препарата при беременности и в период грудного вскармливания в процессе контролируемых клинических испытаний не исследовалась.&lt;br&gt;
Применение препарата при беременности и в период грудного вскармливания возможно только в тех случаях, если потенциальная польза для матери превышает потенциальный риск для плода или новорожденного.&lt;/p&gt;</t>
  </si>
  <si>
    <r>
      <rPr>
        <rFont val="Arial"/>
        <i/>
        <color theme="1"/>
      </rPr>
      <t>Беременность</t>
    </r>
    <r>
      <rPr>
        <rFont val="Arial"/>
        <color theme="1"/>
      </rPr>
      <t xml:space="preserve">
Введение вакцины противопоказано при беременности.
Данные о применении вакцины ОртопоксВак у беременных женщин отсутствуют.
</t>
    </r>
    <r>
      <rPr>
        <rFont val="Arial"/>
        <i/>
        <color theme="1"/>
      </rPr>
      <t>Грудное вскармливание</t>
    </r>
    <r>
      <rPr>
        <rFont val="Arial"/>
        <color theme="1"/>
      </rPr>
      <t xml:space="preserve">
Введение вакцины противопоказано в период грудного вскармливания.
Сведения о проникновении вакцины ОртопоксВак в грудное молоко человека отсутствуют.
</t>
    </r>
    <r>
      <rPr>
        <rFont val="Arial"/>
        <i/>
        <color theme="1"/>
      </rPr>
      <t>Фертильность</t>
    </r>
    <r>
      <rPr>
        <rFont val="Arial"/>
        <color theme="1"/>
      </rPr>
      <t xml:space="preserve">
Доклинические исследования показали, что длительное введение вакцины ОртопоксВак в течение 15 дней самкам крыс и 48 дней самцам крыс в дозе, составляющей ½ от дозы, рекомендованной для введения человеку, не приводило к снижению показателей фертильности самцов и самок. Исследования репродуктивной токсичности на животных свидетельствуют об отсутствии репродуктивной токсичности.</t>
    </r>
  </si>
  <si>
    <r>
      <rPr>
        <rFont val="Arial"/>
        <i/>
        <color theme="1"/>
      </rPr>
      <t>&lt;p&gt;&lt;i&gt;Беременность</t>
    </r>
    <r>
      <rPr>
        <rFont val="Arial"/>
        <color theme="1"/>
      </rPr>
      <t xml:space="preserve">&lt;/i&gt;&lt;br&gt;
Введение вакцины противопоказано при беременности.&lt;br&gt;
Данные о применении вакцины ОртопоксВак у беременных женщин отсутствуют.&lt;br&gt;&lt;br&gt;
</t>
    </r>
    <r>
      <rPr>
        <rFont val="Arial"/>
        <i/>
        <color theme="1"/>
      </rPr>
      <t>&lt;i&gt;Грудное вскармливание</t>
    </r>
    <r>
      <rPr>
        <rFont val="Arial"/>
        <color theme="1"/>
      </rPr>
      <t xml:space="preserve">&lt;/i&gt;&lt;br&gt;
Введение вакцины противопоказано в период грудного вскармливания.&lt;br&gt;
Сведения о проникновении вакцины ОртопоксВак в грудное молоко человека отсутствуют.&lt;br&gt;&lt;br&gt;
</t>
    </r>
    <r>
      <rPr>
        <rFont val="Arial"/>
        <i/>
        <color theme="1"/>
      </rPr>
      <t>&lt;i&gt;Фертильность</t>
    </r>
    <r>
      <rPr>
        <rFont val="Arial"/>
        <color theme="1"/>
      </rPr>
      <t>&lt;/i&gt;&lt;br&gt;
Доклинические исследования показали, что длительное введение вакцины ОртопоксВак в течение 15&amp;nbsp;дней самкам крыс и 48&amp;nbsp;дней самцам крыс в дозе, составляющей ½ от дозы, рекомендованной для введения человеку, не приводило к снижению показателей фертильности самцов и самок. Исследования репродуктивной токсичности на животных свидетельствуют об отсутствии репродуктивной токсичности.&lt;/p&gt;</t>
    </r>
  </si>
  <si>
    <t>Препарат ФЛЕКСВАК противопоказан к применению при беременности и лактации.
Подобно другим инактивированным вакцинам, при непреднамеренной вакцинации беременной женщины вред для плода не ожидается.</t>
  </si>
  <si>
    <t>&lt;p&gt;Препарат ФЛЕКСВАК противопоказан к применению при беременности и лактации.&lt;br&gt;
Подобно другим инактивированным вакцинам, при непреднамеренной вакцинации беременной женщины вред для плода не ожидается.&lt;/p&gt;</t>
  </si>
  <si>
    <t>Применение вакцины желтой лихорадки противопоказано при беременности и в период грудного вскармливания.</t>
  </si>
  <si>
    <t>&lt;p&gt;Применение вакцины желтой лихорадки противопоказано при беременности и в период грудного вскармливания.&lt;/p&gt;</t>
  </si>
  <si>
    <t>Вакцину не следует вводить во время беременности.
Применение в период грудного вскармливания не изучено, клинических исследований не проводилось.</t>
  </si>
  <si>
    <t>&lt;p&gt;Вакцину не следует вводить во время беременности.&lt;br&gt;
Применение в период грудного вскармливания не изучено, клинических исследований не проводилось.&lt;/p&gt;</t>
  </si>
  <si>
    <r>
      <rPr>
        <rFont val="Arial"/>
        <i/>
        <color theme="1"/>
      </rPr>
      <t>Беременность</t>
    </r>
    <r>
      <rPr>
        <rFont val="Arial"/>
        <color theme="1"/>
      </rPr>
      <t xml:space="preserve">
Клинические исследования не проводилось.
</t>
    </r>
    <r>
      <rPr>
        <rFont val="Arial"/>
        <i/>
        <color theme="1"/>
      </rPr>
      <t>Лактация</t>
    </r>
    <r>
      <rPr>
        <rFont val="Arial"/>
        <color theme="1"/>
      </rPr>
      <t xml:space="preserve">
Клинические данные по применению лекарственного препарата ГамЭвак-Комби у женщин, кормящих грудью, и младенцев отсутствуют. В настоящее время неизвестно, способны ли действующие вещества, входящие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t>
    </r>
  </si>
  <si>
    <r>
      <rPr>
        <rFont val="Arial"/>
        <i/>
        <color theme="1"/>
      </rPr>
      <t>&lt;p&gt;&lt;i&gt;Беременность&lt;/i&gt;&lt;br&gt;</t>
    </r>
    <r>
      <rPr>
        <rFont val="Arial"/>
        <color theme="1"/>
      </rPr>
      <t xml:space="preserve">
Клинические исследования не проводилось.&lt;br&gt;&lt;br&gt;
</t>
    </r>
    <r>
      <rPr>
        <rFont val="Arial"/>
        <i/>
        <color theme="1"/>
      </rPr>
      <t>&lt;i&gt;Лактация&lt;/i&gt;&lt;br&gt;</t>
    </r>
    <r>
      <rPr>
        <rFont val="Arial"/>
        <color theme="1"/>
      </rPr>
      <t xml:space="preserve">
Клинические данные по применению лекарственного препарата ГамЭвак-Комби у женщин, кормящих грудью, и младенцев отсутствуют. В настоящее время неизвестно, способны ли действующие вещества, входящие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вакцинации.&lt;/p&gt;</t>
    </r>
  </si>
  <si>
    <t>Противопоказано проводить вакцинацию во время беременности и в период грудного вскармливания.</t>
  </si>
  <si>
    <t>&lt;p&gt;Противопоказано проводить вакцинацию во время беременности и в период грудного вскармливания.&lt;/p&gt;</t>
  </si>
  <si>
    <t>Применение препарата противопоказано при беременности и в период кормления грудью.</t>
  </si>
  <si>
    <t>&lt;p&gt;Применение препарата противопоказано при беременности и в период кормления грудью.&lt;/p&gt;</t>
  </si>
  <si>
    <t>Безопасность применения данного медицинского препарата при беременности и в период грудного вскармливания в процессе контролируемых клинических испытаний не исследовалась.</t>
  </si>
  <si>
    <t>&lt;p&gt;Безопасность применения данного медицинского препарата при беременности и в период грудного вскармливания в процессе контролируемых клинических испытаний не исследовалась.&lt;/p&gt;</t>
  </si>
  <si>
    <r>
      <rPr>
        <rFont val="Arial"/>
        <i/>
        <color theme="1"/>
      </rPr>
      <t>Беременность</t>
    </r>
    <r>
      <rPr>
        <rFont val="Arial"/>
        <color theme="1"/>
      </rPr>
      <t xml:space="preserve">
Достаточные данные по применению Вакцины гепатита В рекомбинантной (рДНК)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гепатита В рекомбинантной (рДНК) возможно, если предполагаемая польза для матери превышает потенциальный риск для плода.
</t>
    </r>
    <r>
      <rPr>
        <rFont val="Arial"/>
        <i/>
        <color theme="1"/>
      </rPr>
      <t>Лактация</t>
    </r>
    <r>
      <rPr>
        <rFont val="Arial"/>
        <color theme="1"/>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гепатита В рекомбинантную (рДНК) в период грудного вскармливания возможно применять, только если предполагаемая польза для матери превышает потенциальный риск для ребенка.</t>
    </r>
  </si>
  <si>
    <r>
      <rPr>
        <rFont val="Arial"/>
        <i/>
        <color theme="1"/>
      </rPr>
      <t>&lt;p&gt;&lt;i&gt;Беременность&lt;/i&gt;&lt;br&gt;</t>
    </r>
    <r>
      <rPr>
        <rFont val="Arial"/>
        <color theme="1"/>
      </rPr>
      <t xml:space="preserve">
Достаточные данные по применению Вакцины гепатита В рекомбинантной (рДНК)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гепатита В рекомбинантной (рДНК) возможно, если предполагаемая польза для матери превышает потенциальный риск для плода.&lt;br&gt;&lt;br&gt;
</t>
    </r>
    <r>
      <rPr>
        <rFont val="Arial"/>
        <i/>
        <color theme="1"/>
      </rPr>
      <t>&lt;i&gt;Лактация&lt;/i&gt;&lt;br&gt;</t>
    </r>
    <r>
      <rPr>
        <rFont val="Arial"/>
        <color theme="1"/>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гепатита В рекомбинантную (рДНК) в период грудного вскармливания возможно применять, только если предполагаемая польза для матери превышает потенциальный риск для ребенка.&lt;/p&gt;</t>
    </r>
  </si>
  <si>
    <t>Применение при беременности противопоказано.
Возможность и особенности вакцинации женщин в период грудного вскармливания не изучали.</t>
  </si>
  <si>
    <t>&lt;p&gt;Применение при беременности противопоказано.&lt;br&gt;
Возможность и особенности вакцинации женщин в период грудного вскармливания не изучали.&lt;/p&gt;</t>
  </si>
  <si>
    <t xml:space="preserve">Применение при беременности противопоказано. </t>
  </si>
  <si>
    <t>&lt;p&gt;Применение при беременности противопоказано.&lt;/p&gt;</t>
  </si>
  <si>
    <r>
      <rPr>
        <rFont val="Arial"/>
        <i/>
        <color theme="1"/>
      </rPr>
      <t>Беременность</t>
    </r>
    <r>
      <rPr>
        <rFont val="Arial"/>
        <color theme="1"/>
      </rPr>
      <t xml:space="preserve">
Отсутствуют достаточные данные о применении Уро-БЦЖ медак у беременных женщин.
Лечение препаратом Уро-БЦЖ медак противопоказано беременным.
</t>
    </r>
    <r>
      <rPr>
        <rFont val="Arial"/>
        <i/>
        <color theme="1"/>
      </rPr>
      <t>Период грудного вскармливания</t>
    </r>
    <r>
      <rPr>
        <rFont val="Arial"/>
        <color theme="1"/>
      </rPr>
      <t xml:space="preserve">
Отсутствуют достаточные данные о том, проникают ли БЦЖ бактерии в грудное молоко.
Перед применением препарата грудное вскармливание необходимо прекратить.
</t>
    </r>
    <r>
      <rPr>
        <rFont val="Arial"/>
        <i/>
        <color theme="1"/>
      </rPr>
      <t>Фертильность</t>
    </r>
    <r>
      <rPr>
        <rFont val="Arial"/>
        <color theme="1"/>
      </rPr>
      <t xml:space="preserve">
Сообщалось о том, что внутрипузырная БЦЖ терапия оказывает влияние на сперматогенез и может вызвать олигоспермию или азооспермию. Исследованиях на животных дали основание полагать, что данные эффекты могут быть транзиторными и обратимыми. Однако, мужчинам перед началом терапии препаратом следует проконсультироваться со специалистом по вопросу консервации спермы.</t>
    </r>
  </si>
  <si>
    <r>
      <rPr>
        <rFont val="Arial"/>
        <i/>
        <color theme="1"/>
      </rPr>
      <t>&lt;p&gt;&lt;i&gt;Беременность</t>
    </r>
    <r>
      <rPr>
        <rFont val="Arial"/>
        <color theme="1"/>
      </rPr>
      <t xml:space="preserve">&lt;/i&gt;&lt;br&gt;
Отсутствуют достаточные данные о применении Уро-БЦЖ медак у беременных женщин.&lt;br&gt;
Лечение препаратом Уро-БЦЖ медак противопоказано беременным.&lt;br&gt;&lt;br&gt;
</t>
    </r>
    <r>
      <rPr>
        <rFont val="Arial"/>
        <i/>
        <color theme="1"/>
      </rPr>
      <t>&lt;i&gt;Период грудного вскармливания</t>
    </r>
    <r>
      <rPr>
        <rFont val="Arial"/>
        <color theme="1"/>
      </rPr>
      <t>&lt;/i&gt;&lt;br&gt;
Отсутствуют достаточные данные о том, проникают ли БЦЖ бактерии в грудное молоко.&lt;br&gt;
Перед применением препарата грудное вскармливание необходимо прекратить.&lt;br&gt;&lt;br&gt;
&lt;i&gt;Фертильность&lt;/i&gt;&lt;br&gt;
Сообщалось о том, что внутрипузырная БЦЖ терапия оказывает влияние на сперматогенез и может вызвать олигоспермию или азооспермию. Исследованиях на животных дали основание полагать, что данные эффекты могут быть транзиторными и обратимыми. Однако, мужчинам перед началом терапии препаратом следует проконсультироваться со специалистом по вопросу консервации спермы.&lt;/p&gt;</t>
    </r>
  </si>
  <si>
    <t>Применение противопоказано.</t>
  </si>
  <si>
    <t>&lt;p&gt;Применение противопоказано.&lt;/p&gt;</t>
  </si>
  <si>
    <t>Опыт применения гриппозных инактивированных вакцин показывает, что вакцинация не оказывает тератогенного или токсического действия на плод. Решение о вакцинации беременных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
Кормление грудью не является противопоказанием для вакцинации.</t>
  </si>
  <si>
    <t>&lt;p&gt;Опыт применения гриппозных инактивированных вакцин показывает, что вакцинация не оказывает тератогенного или токсического действия на плод. Решение о вакцинации беременных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триместрах.&lt;br&gt;&lt;br&gt;
Кормление грудью не является противопоказанием для вакцинации.&lt;/p&gt;</t>
  </si>
  <si>
    <t>https://grls.rosminzdrav.ru/InstrImg/2020/11/25/146561/742bfd83-5da9-4e9c-bbb5-b9de800c21fa.pdf</t>
  </si>
  <si>
    <t>Применение вакцины у беременных и в период грудного вскармливания противопоказано.</t>
  </si>
  <si>
    <t>&lt;p&gt;Применение вакцины у беременных и в период грудного вскармливания противопоказано.&lt;/p&gt;</t>
  </si>
  <si>
    <r>
      <rPr>
        <rFont val="Arial"/>
        <i/>
        <color theme="1"/>
      </rPr>
      <t>Беременность</t>
    </r>
    <r>
      <rPr>
        <rFont val="Arial"/>
        <color theme="1"/>
      </rPr>
      <t xml:space="preserve">
Применение препарата при беременности противопоказано.
</t>
    </r>
    <r>
      <rPr>
        <rFont val="Arial"/>
        <i/>
        <color theme="1"/>
      </rPr>
      <t>Лактация</t>
    </r>
    <r>
      <rPr>
        <rFont val="Arial"/>
        <color theme="1"/>
      </rPr>
      <t xml:space="preserve">
Применение препарата в период грудного вскармливания противопоказано.</t>
    </r>
  </si>
  <si>
    <r>
      <rPr>
        <rFont val="Arial"/>
        <i/>
        <color theme="1"/>
      </rPr>
      <t>&lt;p&gt;&lt;i&gt;Беременность</t>
    </r>
    <r>
      <rPr>
        <rFont val="Arial"/>
        <color theme="1"/>
      </rPr>
      <t xml:space="preserve">&lt;/i&gt;&lt;br&gt;
Применение препарата при беременности противопоказано.&lt;br&gt;&lt;br&gt;
</t>
    </r>
    <r>
      <rPr>
        <rFont val="Arial"/>
        <i/>
        <color theme="1"/>
      </rPr>
      <t>&lt;i&gt;Лактация&lt;/i&gt;&lt;br&gt;</t>
    </r>
    <r>
      <rPr>
        <rFont val="Arial"/>
        <color theme="1"/>
      </rPr>
      <t xml:space="preserve">
Применение препарата в период грудного вскармливания противопоказано.&lt;/p&gt;</t>
    </r>
  </si>
  <si>
    <t>Опыт применения гриппозных инактивированных вакцин показывает, что вакцинация не оказывает тератогенного или токсического действия на плод. Решение о вакцинации беременных должно приниматься врачом индивидуально с учетом риска заражения гриппом и возможных осложнений гриппозной инфекцией. Наиболее безопасна вакцинация во втором и третьем триместрах.
Кормление грудью не является противопоказанием для вакцинации.</t>
  </si>
  <si>
    <t>&lt;p&gt;Опыт применения гриппозных инактивированных вакцин показывает, что вакцинация не оказывает тератогенного или токсического действия на плод. Решение о вакцинации беременных должно приниматься врачом индивидуально с учетом риска заражения гриппом и возможных осложнений гриппозной инфекцией. Наиболее безопасна вакцинация во втором и третьем триместрах.&lt;br&gt;&lt;br&gt;
Кормление грудью не является противопоказанием для вакцинации.&lt;/p&gt;</t>
  </si>
  <si>
    <t>https://grls.rosminzdrav.ru/InstrImg/2020/11/25/140879/f4484511-f351-42f9-8a7a-85a995f31517.pdf</t>
  </si>
  <si>
    <r>
      <rPr>
        <rFont val="Arial"/>
        <i/>
        <color theme="1"/>
      </rPr>
      <t>Беременность</t>
    </r>
    <r>
      <rPr>
        <rFont val="Arial"/>
        <color theme="1"/>
      </rPr>
      <t xml:space="preserve">
Применение препарата при беременности противопоказано.
</t>
    </r>
    <r>
      <rPr>
        <rFont val="Arial"/>
        <i/>
        <color theme="1"/>
      </rPr>
      <t>Лактация</t>
    </r>
    <r>
      <rPr>
        <rFont val="Arial"/>
        <color theme="1"/>
      </rPr>
      <t xml:space="preserve">
Применение препарата в период грудного вскармливания противопоказано.
</t>
    </r>
    <r>
      <rPr>
        <rFont val="Arial"/>
        <i/>
        <color theme="1"/>
      </rPr>
      <t>Фертильность</t>
    </r>
    <r>
      <rPr>
        <rFont val="Arial"/>
        <color theme="1"/>
      </rPr>
      <t xml:space="preserve">
Нет данных о влиянии препарата на фертильность человека.</t>
    </r>
  </si>
  <si>
    <r>
      <rPr>
        <rFont val="Arial"/>
        <i/>
        <color theme="1"/>
      </rPr>
      <t>&lt;p&gt;&lt;i&gt;Беременность&lt;/i&gt;&lt;br&gt;</t>
    </r>
    <r>
      <rPr>
        <rFont val="Arial"/>
        <color theme="1"/>
      </rPr>
      <t xml:space="preserve">
Применение препарата при беременности противопоказано.&lt;br&gt;&lt;br&gt;
</t>
    </r>
    <r>
      <rPr>
        <rFont val="Arial"/>
        <i/>
        <color theme="1"/>
      </rPr>
      <t>&lt;i&gt;Лактация&lt;/i&gt;&lt;br&gt;</t>
    </r>
    <r>
      <rPr>
        <rFont val="Arial"/>
        <color theme="1"/>
      </rPr>
      <t xml:space="preserve">
Применение препарата в период грудного вскармливания противопоказано.&lt;br&gt;&lt;br&gt;
</t>
    </r>
    <r>
      <rPr>
        <rFont val="Arial"/>
        <i/>
        <color theme="1"/>
      </rPr>
      <t>&lt;i&gt;Фертильность&lt;/i&gt;&lt;br&gt;</t>
    </r>
    <r>
      <rPr>
        <rFont val="Arial"/>
        <color theme="1"/>
      </rPr>
      <t xml:space="preserve">
Нет данных о влиянии препарата на фертильность человека.&lt;/p&gt;</t>
    </r>
  </si>
  <si>
    <t>Противопоказано применение при беременности. Исследования по изучению влияния вакцины ГЕРПОВАКС® Вакцина герпетическая культуральная инактивированная в период грудного вскармливания не проводились.</t>
  </si>
  <si>
    <t>&lt;p&gt;Противопоказано применение при беременности. Исследования по изучению влияния вакцины ГЕРПОВАКС® Вакцина герпетическая культуральная инактивированная в период грудного вскармливания не проводились.&lt;/p&gt;</t>
  </si>
  <si>
    <r>
      <rPr>
        <rFont val="Arial"/>
        <i/>
        <color theme="1"/>
      </rPr>
      <t>Беременность</t>
    </r>
    <r>
      <rPr>
        <rFont val="Arial"/>
        <color theme="1"/>
      </rPr>
      <t xml:space="preserve">
Применение препарата при беременности противопоказано.
</t>
    </r>
    <r>
      <rPr>
        <rFont val="Arial"/>
        <i/>
        <color theme="1"/>
      </rPr>
      <t>Лактация</t>
    </r>
    <r>
      <rPr>
        <rFont val="Arial"/>
        <color theme="1"/>
      </rPr>
      <t xml:space="preserve">
Применение препарата в период грудного вскармливания противопоказано.</t>
    </r>
  </si>
  <si>
    <r>
      <rPr>
        <rFont val="Arial"/>
        <i/>
        <color theme="1"/>
      </rPr>
      <t>&lt;p&gt;&lt;i&gt;Беременность&lt;/i&gt;&lt;br&gt;</t>
    </r>
    <r>
      <rPr>
        <rFont val="Arial"/>
        <color theme="1"/>
      </rPr>
      <t xml:space="preserve">
Применение препарата при беременности противопоказано.&lt;br&gt;&lt;br&gt;
</t>
    </r>
    <r>
      <rPr>
        <rFont val="Arial"/>
        <i/>
        <color theme="1"/>
      </rPr>
      <t>&lt;i&gt;Лактация&lt;/i&gt;&lt;br&gt;</t>
    </r>
    <r>
      <rPr>
        <rFont val="Arial"/>
        <color theme="1"/>
      </rPr>
      <t xml:space="preserve">
Применение препарата в период грудного вскармливания противопоказано.&lt;/p&gt;</t>
    </r>
  </si>
  <si>
    <r>
      <rPr>
        <rFont val="Arial"/>
        <i/>
        <color theme="1"/>
      </rPr>
      <t>Беременность</t>
    </r>
    <r>
      <rPr>
        <rFont val="Arial"/>
        <color theme="1"/>
      </rPr>
      <t xml:space="preserve">
Применение препарата при беременности противопоказано.</t>
    </r>
    <r>
      <rPr>
        <rFont val="Arial"/>
        <i/>
        <color theme="1"/>
      </rPr>
      <t xml:space="preserve">
Лактация</t>
    </r>
    <r>
      <rPr>
        <rFont val="Arial"/>
        <color theme="1"/>
      </rPr>
      <t xml:space="preserve">
Применение препарата в период грудного вскармливания противопоказано.</t>
    </r>
  </si>
  <si>
    <r>
      <rPr>
        <rFont val="Arial"/>
        <i/>
        <color theme="1"/>
      </rPr>
      <t>&lt;p&gt;&lt;i&gt;Беременность&lt;/i&gt;&lt;br&gt;</t>
    </r>
    <r>
      <rPr>
        <rFont val="Arial"/>
        <color theme="1"/>
      </rPr>
      <t xml:space="preserve">
Применение препарата при беременности противопоказано.&lt;br&gt;&lt;br&gt;</t>
    </r>
    <r>
      <rPr>
        <rFont val="Arial"/>
        <i/>
        <color theme="1"/>
      </rPr>
      <t xml:space="preserve">
&lt;i&gt;Лактация&lt;/i&gt;&lt;br&gt;</t>
    </r>
    <r>
      <rPr>
        <rFont val="Arial"/>
        <color theme="1"/>
      </rPr>
      <t xml:space="preserve">
Применение препарата в период грудного вскармливания противопоказано.&lt;/p&gt;</t>
    </r>
  </si>
  <si>
    <t>Противопоказано.
В связи с персистированием вакцинного вируса в организме, женщины детородного возраста должны быть предупреждены о необходимости предохранения от беременности в течение 3 месяцев после прививки.</t>
  </si>
  <si>
    <t>&lt;p&gt;Противопоказано.&lt;br&gt;
В связи с персистированием вакцинного вируса в организме, женщины детородного возраста должны быть предупреждены о необходимости предохранения от беременности в течение 3&amp;nbsp;месяцев после прививки.&lt;/p&gt;</t>
  </si>
  <si>
    <r>
      <rPr>
        <rFont val="Arial"/>
        <i/>
        <color theme="1"/>
      </rPr>
      <t>Беременность</t>
    </r>
    <r>
      <rPr>
        <rFont val="Arial"/>
        <color theme="1"/>
      </rPr>
      <t xml:space="preserve">
Применение препарата при беременности противопоказано.
</t>
    </r>
    <r>
      <rPr>
        <rFont val="Arial"/>
        <i/>
        <color theme="1"/>
      </rPr>
      <t>Лактация</t>
    </r>
    <r>
      <rPr>
        <rFont val="Arial"/>
        <color theme="1"/>
      </rPr>
      <t xml:space="preserve">
Применение препарата в период грудного вскармливания противопоказано.</t>
    </r>
  </si>
  <si>
    <r>
      <rPr>
        <rFont val="Arial"/>
        <i/>
        <color theme="1"/>
      </rPr>
      <t>&lt;p&gt;&lt;i&gt;Беременность</t>
    </r>
    <r>
      <rPr>
        <rFont val="Arial"/>
        <color theme="1"/>
      </rPr>
      <t xml:space="preserve">&lt;/i&gt;&lt;br&gt;
Применение препарата при беременности противопоказано.&lt;br&gt;&lt;br&gt;
</t>
    </r>
    <r>
      <rPr>
        <rFont val="Arial"/>
        <i/>
        <color theme="1"/>
      </rPr>
      <t>&lt;i&gt;Лактация</t>
    </r>
    <r>
      <rPr>
        <rFont val="Arial"/>
        <color theme="1"/>
      </rPr>
      <t>&lt;/i&gt;&lt;br&gt;
Применение препарата в период грудного вскармливания противопоказано.&lt;/p&gt;</t>
    </r>
  </si>
  <si>
    <r>
      <rPr>
        <rFont val="Arial"/>
        <i/>
        <color theme="1"/>
      </rPr>
      <t>Беременность</t>
    </r>
    <r>
      <rPr>
        <rFont val="Arial"/>
        <color theme="1"/>
      </rPr>
      <t xml:space="preserve">
Клинические данные по применению лекарственного препарата у беременных женщин отсутствуют, поэтому применение лекарственного препарата при беременности противопоказано.
</t>
    </r>
    <r>
      <rPr>
        <rFont val="Arial"/>
        <i/>
        <color theme="1"/>
      </rPr>
      <t>Лактация</t>
    </r>
    <r>
      <rPr>
        <rFont val="Arial"/>
        <color theme="1"/>
      </rPr>
      <t xml:space="preserve">
Клинические данные по применению лекарственного препарата у кормящих женщин и младенцев, находящихся на грудном вскармливании отсутствуют, поэтому применение лекарственного препарата в период грудного вскармливания противопоказано.
</t>
    </r>
    <r>
      <rPr>
        <rFont val="Arial"/>
        <i/>
        <color theme="1"/>
      </rPr>
      <t>Фертильность</t>
    </r>
    <r>
      <rPr>
        <rFont val="Arial"/>
        <color theme="1"/>
      </rPr>
      <t xml:space="preserve">
Сведения о влиянии на фертильность при приеме лекарственного препарата отсутствуют.</t>
    </r>
  </si>
  <si>
    <r>
      <rPr>
        <rFont val="Arial"/>
        <i/>
        <color theme="1"/>
      </rPr>
      <t>&lt;p&gt;&lt;i&gt;Беременность&lt;/i&gt;&lt;br&gt;</t>
    </r>
    <r>
      <rPr>
        <rFont val="Arial"/>
        <color theme="1"/>
      </rPr>
      <t xml:space="preserve">
Клинические данные по применению лекарственного препарата у беременных женщин отсутствуют, поэтому применение лекарственного препарата при беременности противопоказано.&lt;br&gt;&lt;br&gt;
</t>
    </r>
    <r>
      <rPr>
        <rFont val="Arial"/>
        <i/>
        <color theme="1"/>
      </rPr>
      <t>&lt;i&gt;Лактация&lt;/i&gt;&lt;br&gt;</t>
    </r>
    <r>
      <rPr>
        <rFont val="Arial"/>
        <color theme="1"/>
      </rPr>
      <t xml:space="preserve">
Клинические данные по применению лекарственного препарата у кормящих женщин и младенцев, находящихся на грудном вскармливании отсутствуют, поэтому применение лекарственного препарата в период грудного вскармливания противопоказано.&lt;br&gt;&lt;br&gt;
</t>
    </r>
    <r>
      <rPr>
        <rFont val="Arial"/>
        <i/>
        <color theme="1"/>
      </rPr>
      <t>&lt;i&gt;Фертильность</t>
    </r>
    <r>
      <rPr>
        <rFont val="Arial"/>
        <color theme="1"/>
      </rPr>
      <t>&lt;/i&gt;&lt;br&gt;
Сведения о влиянии на фертильность при приеме лекарственного препарата отсутствуют.&lt;/p&gt;</t>
    </r>
  </si>
  <si>
    <r>
      <rPr>
        <rFont val="Arial"/>
        <i/>
        <color theme="1"/>
      </rPr>
      <t>Беременность</t>
    </r>
    <r>
      <rPr>
        <rFont val="Arial"/>
        <color theme="1"/>
      </rPr>
      <t xml:space="preserve">
При беременности применение лекарственного препарата не рекомендовано (клинические исследования не проводились).
</t>
    </r>
    <r>
      <rPr>
        <rFont val="Arial"/>
        <i/>
        <color theme="1"/>
      </rPr>
      <t>Лактация</t>
    </r>
    <r>
      <rPr>
        <rFont val="Arial"/>
        <color theme="1"/>
      </rPr>
      <t xml:space="preserve">
В период грудного вскармливания применение лекарственного препарата не рекомендовано (клинические исследования не проводились).
</t>
    </r>
    <r>
      <rPr>
        <rFont val="Arial"/>
        <i/>
        <color theme="1"/>
      </rPr>
      <t>Фертильность</t>
    </r>
    <r>
      <rPr>
        <rFont val="Arial"/>
        <color theme="1"/>
      </rPr>
      <t xml:space="preserve">
Сведения о влиянии на фертильность при приеме лекарственного препарата отсутствуют.</t>
    </r>
  </si>
  <si>
    <r>
      <rPr>
        <rFont val="Arial"/>
        <i/>
        <color theme="1"/>
      </rPr>
      <t>&lt;p&gt;&lt;i&gt;Беременность&lt;/i&gt;&lt;br&gt;</t>
    </r>
    <r>
      <rPr>
        <rFont val="Arial"/>
        <color theme="1"/>
      </rPr>
      <t xml:space="preserve">
При беременности применение лекарственного препарата не рекомендовано (клинические исследования не проводились).&lt;br&gt;&lt;br&gt;
</t>
    </r>
    <r>
      <rPr>
        <rFont val="Arial"/>
        <i/>
        <color theme="1"/>
      </rPr>
      <t>&lt;i&gt;Лактация&lt;/i&gt;&lt;br&gt;</t>
    </r>
    <r>
      <rPr>
        <rFont val="Arial"/>
        <color theme="1"/>
      </rPr>
      <t xml:space="preserve">
В период грудного вскармливания применение лекарственного препарата не рекомендовано (клинические исследования не проводились).&lt;br&gt;&lt;br&gt;
</t>
    </r>
    <r>
      <rPr>
        <rFont val="Arial"/>
        <i/>
        <color theme="1"/>
      </rPr>
      <t>&lt;i&gt;Фертильность&lt;/i&gt;&lt;br&gt;</t>
    </r>
    <r>
      <rPr>
        <rFont val="Arial"/>
        <color theme="1"/>
      </rPr>
      <t xml:space="preserve">
Сведения о влиянии на фертильность при приеме лекарственного препарата отсутствуют.&lt;/p&gt;</t>
    </r>
  </si>
  <si>
    <r>
      <rPr>
        <rFont val="Arial"/>
        <i/>
        <color theme="1"/>
      </rPr>
      <t>Беременность</t>
    </r>
    <r>
      <rPr>
        <rFont val="Arial"/>
        <color theme="1"/>
      </rPr>
      <t xml:space="preserve">
Данные о применении лекарственного препарата у беременных женщин отсутствуют.
Женщины с детородным потенциалом должны использовать надежные методы контрацепции во время лечения.
</t>
    </r>
    <r>
      <rPr>
        <rFont val="Arial"/>
        <i/>
        <color theme="1"/>
      </rPr>
      <t>Лактация</t>
    </r>
    <r>
      <rPr>
        <rFont val="Arial"/>
        <color theme="1"/>
      </rPr>
      <t xml:space="preserve">
Сведения о проникновении лекарственного препарата в грудное молоко человека отсутствуют.
</t>
    </r>
    <r>
      <rPr>
        <rFont val="Arial"/>
        <i/>
        <color theme="1"/>
      </rPr>
      <t>Фертильность</t>
    </r>
    <r>
      <rPr>
        <rFont val="Arial"/>
        <color theme="1"/>
      </rPr>
      <t xml:space="preserve">
Сведения о влиянии на фертильность при приеме лекарственного препарата отсутствуют.</t>
    </r>
  </si>
  <si>
    <r>
      <rPr>
        <rFont val="Arial"/>
        <i/>
        <color theme="1"/>
      </rPr>
      <t>&lt;p&gt;&lt;i&gt;Беременность&lt;/i&gt;&lt;br&gt;</t>
    </r>
    <r>
      <rPr>
        <rFont val="Arial"/>
        <color theme="1"/>
      </rPr>
      <t xml:space="preserve">
Данные о применении лекарственного препарата у беременных женщин отсутствуют.&lt;br&gt;
Женщины с детородным потенциалом должны использовать надежные методы контрацепции во время лечения.&lt;br&gt;&lt;br&gt;
</t>
    </r>
    <r>
      <rPr>
        <rFont val="Arial"/>
        <i/>
        <color theme="1"/>
      </rPr>
      <t>&lt;i&gt;Лактация&lt;/i&gt;&lt;br&gt;</t>
    </r>
    <r>
      <rPr>
        <rFont val="Arial"/>
        <color theme="1"/>
      </rPr>
      <t xml:space="preserve">
Сведения о проникновении лекарственного препарата в грудное молоко человека отсутствуют.&lt;br&gt;&lt;br&gt;
</t>
    </r>
    <r>
      <rPr>
        <rFont val="Arial"/>
        <i/>
        <color theme="1"/>
      </rPr>
      <t>&lt;i&gt;Фертильность&lt;/i&gt;&lt;br&gt;</t>
    </r>
    <r>
      <rPr>
        <rFont val="Arial"/>
        <color theme="1"/>
      </rPr>
      <t xml:space="preserve">
Сведения о влиянии на фертильность при приеме лекарственного препарата отсутствуют.&lt;/p&gt;</t>
    </r>
  </si>
  <si>
    <r>
      <rPr>
        <rFont val="Arial"/>
        <i/>
        <color theme="1"/>
      </rPr>
      <t>Беременность</t>
    </r>
    <r>
      <rPr>
        <rFont val="Arial"/>
        <color theme="1"/>
      </rPr>
      <t xml:space="preserve">
Достаточные данные по применению Вакцины гепатита В рекомбинантной (рДНК)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гепатита В рекомбинантной (рДНК) возможно, если предполагаемая польза для матери превышает потенциальный риск для плода.
</t>
    </r>
    <r>
      <rPr>
        <rFont val="Arial"/>
        <i/>
        <color theme="1"/>
      </rPr>
      <t>Лактация</t>
    </r>
    <r>
      <rPr>
        <rFont val="Arial"/>
        <color theme="1"/>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гепатита В рекомбинантную (рДНК) в период грудного вскармливания возможно применять, только если предполагаемая польза для матери превышает потенциальный риск для ребенка.</t>
    </r>
  </si>
  <si>
    <r>
      <rPr>
        <rFont val="Arial"/>
        <i/>
        <color theme="1"/>
      </rPr>
      <t>&lt;p&gt;&lt;i&gt;Беременность&lt;/i&gt;&lt;br&gt;</t>
    </r>
    <r>
      <rPr>
        <rFont val="Arial"/>
        <color theme="1"/>
      </rPr>
      <t xml:space="preserve">
Достаточные данные по применению Вакцины гепатита В рекомбинантной (рДНК)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гепатита В рекомбинантной (рДНК) возможно, если предполагаемая польза для матери превышает потенциальный риск для плода.&lt;br&gt;&lt;br&gt;
</t>
    </r>
    <r>
      <rPr>
        <rFont val="Arial"/>
        <i/>
        <color theme="1"/>
      </rPr>
      <t>&lt;i&gt;Лактация&lt;/i&gt;&lt;br&gt;</t>
    </r>
    <r>
      <rPr>
        <rFont val="Arial"/>
        <color theme="1"/>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гепатита В рекомбинантную (рДНК) в период грудного вскармливания возможно применять, только если предполагаемая польза для матери превышает потенциальный риск для ребенка.&lt;/p&gt;</t>
    </r>
  </si>
  <si>
    <t>Вакцина Гексаксим не предназначена для взрослых.</t>
  </si>
  <si>
    <t>&lt;p&gt;Вакцина Гексаксим не предназначена для взрослых.&lt;/p&gt;</t>
  </si>
  <si>
    <t>По результатам доклинических исследований на животных (крысах), лекарственный препарат не оказывает негативного эффекта на репродуктивную функцию самок.
Клинические данные по применению лекарственного препарата Гам-VLР-мультивак у беременных женщин отсутствуют. Применение лекарственного препарата во время беременности противопоказано.
Клинические данные по применению лекарственного препарата Гам-VLР-мультивак у кормящих женщин и младенцев, находящихся на грудном вскармливании, отсутствуют. В настоящее время неизвестно, способны ли действующие вещества, входящие в состав лекарственного препарата, проникать в грудное молоко, поэтому применение лекарственного препарата Гам-VLР-мультивак во время периода лактации противопоказано.</t>
  </si>
  <si>
    <t>&lt;p&gt;По результатам доклинических исследований на животных (крысах), лекарственный препарат не оказывает негативного эффекта на репродуктивную функцию самок.&lt;br&gt;
Клинические данные по применению лекарственного препарата Гам-VLР-мультивак у беременных женщин отсутствуют. Применение лекарственного препарата во время беременности противопоказано.&lt;br&gt;
Клинические данные по применению лекарственного препарата Гам-VLР-мультивак у кормящих женщин и младенцев, находящихся на грудном вскармливании, отсутствуют. В настоящее время неизвестно, способны ли действующие вещества, входящие в состав лекарственного препарата, проникать в грудное молоко, поэтому применение лекарственного препарата Гам-VLР-мультивак во время периода лактации противопоказано.&lt;/p&gt;</t>
  </si>
  <si>
    <t>По результатам доклинических исследований на животных (крысах), лекарственный препарат не оказывает негативного эффекта на репродуктивную функцию самок.
Клинические данные по применению лекарственного препарата Гам-VLР-мультивак-н у беременных женщин отсутствуют. Применение лекарственного препарата во время беременности противопоказано.
Клинические данные по применению лекарственного препарата Гам-VLР-мультивак-н у кормящих женщин и младенцев, находящихся на грудном вскармливании, отсутствуют. В настоящее время неизвестно, способны ли действующие вещества, входящие в состав лекарственного препарата, проникать в грудное молоко, поэтому применение лекарственного препарата Гам-VLР-мультивак-н во время периода лактации противопоказано.</t>
  </si>
  <si>
    <t>&lt;p&gt;По результатам доклинических исследований на животных (крысах), лекарственный препарат не оказывает негативного эффекта на репродуктивную функцию самок.&lt;br&gt;
Клинические данные по применению лекарственного препарата Гам-VLР-мультивак-н у беременных женщин отсутствуют. Применение лекарственного препарата во время беременности противопоказано.&lt;br&gt;
Клинические данные по применению лекарственного препарата Гам-VLР-мультивак-н у кормящих женщин и младенцев, находящихся на грудном вскармливании, отсутствуют. В настоящее время неизвестно, способны ли действующие вещества, входящие в состав лекарственного препарата, проникать в грудное молоко, поэтому применение лекарственного препарата Гам-VLР-мультивак-н во время периода лактации противопоказано.&lt;/p&gt;</t>
  </si>
  <si>
    <r>
      <rPr>
        <rFont val="Arial"/>
        <i/>
        <color theme="1"/>
      </rPr>
      <t>Беременность</t>
    </r>
    <r>
      <rPr>
        <rFont val="Arial"/>
        <color theme="1"/>
      </rPr>
      <t xml:space="preserve">
Данные о применении вакцины Цегардекс у беременных женщин ограничены.
Исследования у животных не выявили прямого или опосредованного отрицательного влияния вакцины Цегардекс на репродуктивную функцию.
Вакцинируемых женщин следует предупредить о необходимости предохранения от беременности в течение курса вакцинации, а при наступлении беременности вакцинацию следует отложить до ее завершения.
Случайная вакцинация беременной не является показанием для прерывания беременности. Завершение курса вакцинации следует отложить до окончания беременности.</t>
    </r>
    <r>
      <rPr>
        <rFont val="Arial"/>
        <i/>
        <color theme="1"/>
      </rPr>
      <t xml:space="preserve">
Лактация</t>
    </r>
    <r>
      <rPr>
        <rFont val="Arial"/>
        <color theme="1"/>
      </rPr>
      <t xml:space="preserve">
Данные о возможном проникновении компонентов вакцины Цегардекс в грудное молоко отсутствуют. Влияние на детей, находящихся на грудном вскармливании, при введении вакцины Цегардекс их матерям, не изучалось.
Вакцину Цегардекс следует применять в период грудного вскармливания, если ожидаемая польза вакцинации превышает потенциальные риски.
</t>
    </r>
    <r>
      <rPr>
        <rFont val="Arial"/>
        <i/>
        <color theme="1"/>
      </rPr>
      <t>Фертильность</t>
    </r>
    <r>
      <rPr>
        <rFont val="Arial"/>
        <color theme="1"/>
      </rPr>
      <t xml:space="preserve">
В проведенном исследовании репродуктивной токсичности влияния вакцины Цегардекс на развитие плода у крыс не было получено данных об отрицательном влиянии вакцины на фертильность самок крыс или их способность к спариванию. Исследований влияния вакцины на самцов крыс не проводилось.</t>
    </r>
  </si>
  <si>
    <r>
      <rPr>
        <rFont val="Arial"/>
        <i/>
        <color theme="1"/>
      </rPr>
      <t>&lt;p&gt;&lt;i&gt;Беременность&lt;/i&gt;&lt;br&gt;</t>
    </r>
    <r>
      <rPr>
        <rFont val="Arial"/>
        <color theme="1"/>
      </rPr>
      <t xml:space="preserve">
Данные о применении вакцины Цегардекс у беременных женщин ограничены.&lt;br&gt;
Исследования у животных не выявили прямого или опосредованного отрицательного влияния вакцины Цегардекс на репродуктивную функцию.&lt;br&gt;
Вакцинируемых женщин следует предупредить о необходимости предохранения от беременности в течение курса вакцинации, а при наступлении беременности вакцинацию следует отложить до ее завершения.&lt;br&gt;
Случайная вакцинация беременной не является показанием для прерывания беременности. Завершение курса вакцинации следует отложить до окончания беременности</t>
    </r>
    <r>
      <rPr>
        <rFont val="Arial"/>
        <i/>
        <color theme="1"/>
      </rPr>
      <t>.&lt;br&gt;&lt;br&gt;
&lt;i&gt;Лактация</t>
    </r>
    <r>
      <rPr>
        <rFont val="Arial"/>
        <color theme="1"/>
      </rPr>
      <t xml:space="preserve">&lt;/i&gt;&lt;br&gt;
Данные о возможном проникновении компонентов вакцины Цегардекс в грудное молоко отсутствуют. Влияние на детей, находящихся на грудном вскармливании, при введении вакцины Цегардекс их матерям, не изучалось.&lt;br&gt;
Вакцину Цегардекс следует применять в период грудного вскармливания, если ожидаемая польза вакцинации превышает потенциальные риски.&lt;br&gt;&lt;br&gt;
</t>
    </r>
    <r>
      <rPr>
        <rFont val="Arial"/>
        <i/>
        <color theme="1"/>
      </rPr>
      <t>&lt;i&gt;Фертильность</t>
    </r>
    <r>
      <rPr>
        <rFont val="Arial"/>
        <color theme="1"/>
      </rPr>
      <t>&lt;/i&gt;&lt;br&gt;
В проведенном исследовании репродуктивной токсичности влияния вакцины Цегардекс на развитие плода у крыс не было получено данных об отрицательном влиянии вакцины на фертильность самок крыс или их способность к спариванию. Исследований влияния вакцины на самцов крыс не проводилось.&lt;/p&gt;</t>
    </r>
  </si>
  <si>
    <r>
      <rPr>
        <rFont val="Arial"/>
        <i/>
        <color theme="1"/>
      </rPr>
      <t>Беременность</t>
    </r>
    <r>
      <rPr>
        <rFont val="Arial"/>
        <color theme="1"/>
      </rPr>
      <t xml:space="preserve">
Данные о применении вакцины МЕНВЭЙД во время беременности отсутствуют.
Исследования на животных не выявили прямого или опосредованного отрицательного влияния вакцины МЕНВЭЙД на течение беременности и развитие эмбриона и плода, процесс родов и постнатальное развитие.
В связи с тем, что исследований у беременных женщин не проводилось, введение вакцины беременным женщинам рекомендуется только в случае крайней необходимости, например, во время вспышки менингококковой инфекции, перед поездкой в эндемичный район, и только после оценки соотношения пользы и риска вакцинации.
Случайная вакцинация беременной не является показанием для прерывания беременности.
</t>
    </r>
    <r>
      <rPr>
        <rFont val="Arial"/>
        <i/>
        <color theme="1"/>
      </rPr>
      <t>Лактация</t>
    </r>
    <r>
      <rPr>
        <rFont val="Arial"/>
        <color theme="1"/>
      </rPr>
      <t xml:space="preserve">
В настоящее время неизвестно, способны ли действующие вещества, входящие в состав вакцины, проникать в грудное молоко. Влияние на детей, находящихся на грудном вскармливании, при введении вакцины МЕНВЭЙД их матерям, не изучалось.
Вакцину МЕНВЭЙД следует применять в период грудного вскармливания, если ожидаемая польза вакцинации превышает потенциальные риски.
</t>
    </r>
    <r>
      <rPr>
        <rFont val="Arial"/>
        <i/>
        <color theme="1"/>
      </rPr>
      <t>Фертильность</t>
    </r>
    <r>
      <rPr>
        <rFont val="Arial"/>
        <color theme="1"/>
      </rPr>
      <t xml:space="preserve">
Исследования на животных не выявили прямого или опосредованного отрицательного влияния вакцины МЕНВЭЙД на фертильность самок крыс.</t>
    </r>
  </si>
  <si>
    <r>
      <rPr>
        <rFont val="Arial"/>
        <i/>
        <color theme="1"/>
      </rPr>
      <t>&lt;p&gt;&lt;i&gt;Беременность&lt;/i&gt;&lt;br&gt;</t>
    </r>
    <r>
      <rPr>
        <rFont val="Arial"/>
        <color theme="1"/>
      </rPr>
      <t xml:space="preserve">
Данные о применении вакцины МЕНВЭЙД во время беременности отсутствуют.&lt;br&gt;
Исследования на животных не выявили прямого или опосредованного отрицательного влияния вакцины МЕНВЭЙД на течение беременности и развитие эмбриона и плода, процесс родов и постнатальное развитие.&lt;br&gt;
В связи с тем, что исследований у беременных женщин не проводилось, введение вакцины беременным женщинам рекомендуется только в случае крайней необходимости, например, во время вспышки менингококковой инфекции, перед поездкой в эндемичный район, и только после оценки соотношения пользы и риска вакцинации.&lt;br&gt;
Случайная вакцинация беременной не является показанием для прерывания беременности.&lt;br&gt;&lt;br&gt;
</t>
    </r>
    <r>
      <rPr>
        <rFont val="Arial"/>
        <i/>
        <color theme="1"/>
      </rPr>
      <t>&lt;i&gt;Лактация</t>
    </r>
    <r>
      <rPr>
        <rFont val="Arial"/>
        <color theme="1"/>
      </rPr>
      <t xml:space="preserve">&lt;/i&gt;&lt;br&gt;
В настоящее время неизвестно, способны ли действующие вещества, входящие в состав вакцины, проникать в грудное молоко. Влияние на детей, находящихся на грудном вскармливании, при введении вакцины МЕНВЭЙД их матерям, не изучалось.&lt;br&gt;
Вакцину МЕНВЭЙД следует применять в период грудного вскармливания, если ожидаемая польза вакцинации превышает потенциальные риски.&lt;br&gt;&lt;br&gt;
</t>
    </r>
    <r>
      <rPr>
        <rFont val="Arial"/>
        <i/>
        <color theme="1"/>
      </rPr>
      <t>&lt;i&gt;Фертильность&lt;/i&gt;&lt;br&gt;</t>
    </r>
    <r>
      <rPr>
        <rFont val="Arial"/>
        <color theme="1"/>
      </rPr>
      <t xml:space="preserve">
Исследования на животных не выявили прямого или опосредованного отрицательного влияния вакцины МЕНВЭЙД на фертильность самок крыс.&lt;/p&gt;</t>
    </r>
  </si>
  <si>
    <r>
      <rPr>
        <rFont val="Arial"/>
        <i/>
        <color theme="1"/>
      </rPr>
      <t>Беременность</t>
    </r>
    <r>
      <rPr>
        <rFont val="Arial"/>
        <color theme="1"/>
      </rPr>
      <t xml:space="preserve">
Случаев нанесения вреда, отнесенных к использованию данной вакцины у беременных женщин, не зафиксировано.
Беременность не является противопоказанием для постэкспозиционной иммунизации.
</t>
    </r>
    <r>
      <rPr>
        <rFont val="Arial"/>
        <i/>
        <color theme="1"/>
      </rPr>
      <t>Период грудного вскармливания</t>
    </r>
    <r>
      <rPr>
        <rFont val="Arial"/>
        <color theme="1"/>
      </rPr>
      <t xml:space="preserve">
Поскольку сведения о проникновении вакцины Хирораб в грудное молоко отсутствуют, не выявлено рисков применения вакцины Хирораб в период грудного вскармливания. Вакцина Хирораб может быть использована кормящими женщинами при необходимости постэкспозиционной профилактики.</t>
    </r>
  </si>
  <si>
    <r>
      <rPr>
        <rFont val="Arial"/>
        <i/>
        <color theme="1"/>
      </rPr>
      <t>&lt;p&gt;&lt;i&gt;Беременность</t>
    </r>
    <r>
      <rPr>
        <rFont val="Arial"/>
        <color theme="1"/>
      </rPr>
      <t xml:space="preserve">&lt;/i&gt;&lt;br&gt;
Случаев нанесения вреда, отнесенных к использованию данной вакцины у беременных женщин, не зафиксировано.&lt;br&gt;
Беременность не является противопоказанием для постэкспозиционной иммунизации.&lt;br&gt;&lt;br&gt;
</t>
    </r>
    <r>
      <rPr>
        <rFont val="Arial"/>
        <i/>
        <color theme="1"/>
      </rPr>
      <t>&lt;i&gt;Период грудного вскармливания</t>
    </r>
    <r>
      <rPr>
        <rFont val="Arial"/>
        <color theme="1"/>
      </rPr>
      <t>&lt;/i&gt;&lt;br&gt;
Поскольку сведения о проникновении вакцины Хирораб в грудное молоко отсутствуют, не выявлено рисков применения вакцины Хирораб в период грудного вскармливания. Вакцина Хирораб может быть использована кормящими женщинами при необходимости постэкспозиционной профилактики.&lt;/p&gt;</t>
    </r>
  </si>
  <si>
    <r>
      <rPr>
        <rFont val="Arial"/>
        <i/>
        <color theme="1"/>
      </rPr>
      <t>Беременность</t>
    </r>
    <r>
      <rPr>
        <rFont val="Arial"/>
        <color theme="1"/>
      </rPr>
      <t xml:space="preserve">
Данные о применении препарата Превенар 20 у беременных женщин отсутствуют.
Исследования на животных свидетельствуют об отсутствии прямых и косвенных неблагоприятных токсических эффектов в отношении репродуктивной функции.
Введение препарата Превенар 20 во время беременности следует рассматривать только в тех случаях, когда потенциальная польза перевешивает любые потенциальные риски для матери и плода.
</t>
    </r>
    <r>
      <rPr>
        <rFont val="Arial"/>
        <i/>
        <color theme="1"/>
      </rPr>
      <t>Лактация</t>
    </r>
    <r>
      <rPr>
        <rFont val="Arial"/>
        <color theme="1"/>
      </rPr>
      <t xml:space="preserve">
Отсутствуют данные о выделении антигенов вакцины или поствакцинальных антител в грудное молоко человека. В качестве меры предосторожности предпочтительно избегать применения препарата в период грудного вскармливания; при принятии решения следует учитывать пользу для матери и пользу от грудного вскармливания для ребенка.
</t>
    </r>
    <r>
      <rPr>
        <rFont val="Arial"/>
        <i/>
        <color theme="1"/>
      </rPr>
      <t>Фертильность</t>
    </r>
    <r>
      <rPr>
        <rFont val="Arial"/>
        <color theme="1"/>
      </rPr>
      <t xml:space="preserve">
Данные о влиянии препарата Превенар 20 на репродуктивную функцию у человека отсутствуют. Исследования на животных свидетельствуют об отсутствии прямых или косвенных неблагоприятных эффектов на репродуктивную функцию.</t>
    </r>
  </si>
  <si>
    <r>
      <rPr>
        <rFont val="Arial"/>
        <i/>
        <color theme="1"/>
      </rPr>
      <t>&lt;p&gt;&lt;i&gt;Беременность&lt;/i&gt;&lt;br&gt;</t>
    </r>
    <r>
      <rPr>
        <rFont val="Arial"/>
        <color theme="1"/>
      </rPr>
      <t xml:space="preserve">
Данные о применении препарата Превенар&amp;nbsp;20 у беременных женщин отсутствуют.&lt;br&gt;
Исследования на животных свидетельствуют об отсутствии прямых и косвенных неблагоприятных токсических эффектов в отношении репродуктивной функции.&lt;br&gt;
Введение препарата Превенар&amp;nbsp;20 во время беременности следует рассматривать только в тех случаях, когда потенциальная польза перевешивает любые потенциальные риски для матери и плода.&lt;br&gt;&lt;br&gt;
</t>
    </r>
    <r>
      <rPr>
        <rFont val="Arial"/>
        <i/>
        <color theme="1"/>
      </rPr>
      <t>&lt;i&gt;Лактация&lt;/i&gt;&lt;br&gt;</t>
    </r>
    <r>
      <rPr>
        <rFont val="Arial"/>
        <color theme="1"/>
      </rPr>
      <t xml:space="preserve">
Отсутствуют данные о выделении антигенов вакцины или поствакцинальных антител в грудное молоко человека. В качестве меры предосторожности предпочтительно избегать применения препарата в период грудного вскармливания; при принятии решения следует учитывать пользу для матери и пользу от грудного вскармливания для ребенка.&lt;br&gt;&lt;br&gt;
</t>
    </r>
    <r>
      <rPr>
        <rFont val="Arial"/>
        <i/>
        <color theme="1"/>
      </rPr>
      <t>&lt;i&gt;Фертильность&lt;/i&gt;&lt;br&gt;</t>
    </r>
    <r>
      <rPr>
        <rFont val="Arial"/>
        <color theme="1"/>
      </rPr>
      <t xml:space="preserve">
Данные о влиянии препарата Превенар 20 на репродуктивную функцию у человека отсутствуют. Исследования на животных свидетельствуют об отсутствии прямых или косвенных неблагоприятных эффектов на репродуктивную функцию.&lt;/p&gt;</t>
    </r>
  </si>
  <si>
    <r>
      <rPr>
        <rFont val="Arial"/>
        <i/>
        <color theme="1"/>
      </rPr>
      <t>Беременность</t>
    </r>
    <r>
      <rPr>
        <rFont val="Arial"/>
        <color theme="1"/>
      </rPr>
      <t xml:space="preserve">
Данные о применении вакцины аАКДС-М у беременных женщин отсутствуют. Подобно другим инактивированным вакцинам, вред для плода не ожидается. Однако вакцину аАКДС-М следует применять во время беременности только при явном риске инфицирования.
</t>
    </r>
    <r>
      <rPr>
        <rFont val="Arial"/>
        <i/>
        <color theme="1"/>
      </rPr>
      <t>Лактация</t>
    </r>
    <r>
      <rPr>
        <rFont val="Arial"/>
        <color theme="1"/>
      </rPr>
      <t xml:space="preserve">
Влияние на детей, находящихся на грудном вскармливании, при введении вакцины аАКДС-М их матерям, не изучалось. Поскольку вакцина аАКДС-М представляет собой инактивированную вакцину, любой риск для матери или младенца маловероятен. Прежде чем принимать решение о вакцинации кормящей женщины, следует оценить риски и пользу от вакцинации.</t>
    </r>
  </si>
  <si>
    <r>
      <rPr>
        <rFont val="Arial"/>
        <i/>
        <color theme="1"/>
      </rPr>
      <t>&lt;p&gt;&lt;i&gt;Беременность&lt;/i&gt;&lt;br&gt;</t>
    </r>
    <r>
      <rPr>
        <rFont val="Arial"/>
        <color theme="1"/>
      </rPr>
      <t xml:space="preserve">
Данные о применении вакцины аАКДС-М у беременных женщин отсутствуют. Подобно другим инактивированным вакцинам, вред для плода не ожидается. Однако вакцину аАКДС-М следует применять во время беременности только при явном риске инфицирования.&lt;br&gt;&lt;br&gt;
</t>
    </r>
    <r>
      <rPr>
        <rFont val="Arial"/>
        <i/>
        <color theme="1"/>
      </rPr>
      <t>&lt;i&gt;Лактация&lt;/i&gt;&lt;br&gt;</t>
    </r>
    <r>
      <rPr>
        <rFont val="Arial"/>
        <color theme="1"/>
      </rPr>
      <t xml:space="preserve">
Влияние на детей, находящихся на грудном вскармливании, при введении вакцины аАКДС-М их матерям, не изучалось. Поскольку вакцина аАКДС-М представляет собой инактивированную вакцину, любой риск для матери или младенца маловероятен. Прежде чем принимать решение о вакцинации кормящей женщины, следует оценить риски и пользу от вакцинации.&lt;/p&gt;</t>
    </r>
  </si>
  <si>
    <r>
      <rPr>
        <rFont val="Arial"/>
        <i/>
        <color theme="1"/>
      </rPr>
      <t>Беременность</t>
    </r>
    <r>
      <rPr>
        <rFont val="Arial"/>
        <color theme="1"/>
      </rPr>
      <t xml:space="preserve">
Опыт применения препарата Нименрикс у беременных женщин ограничен.
Исследования препарата на животных свидетельствуют об отсутствии прямых или косвенных неблагоприятных эффектов в отношении беременности, эмбрионального развития, родов или постнатального периода.
Препарат Нименрикс следует применять во время беременности только при очевидной необходимости, когда возможная польза превышает потенциальные риски для плода.
</t>
    </r>
    <r>
      <rPr>
        <rFont val="Arial"/>
        <i/>
        <color theme="1"/>
      </rPr>
      <t>Кормление грудью</t>
    </r>
    <r>
      <rPr>
        <rFont val="Arial"/>
        <color theme="1"/>
      </rPr>
      <t xml:space="preserve">
Неизвестно, выделяется ли препарат Нименрикс с женским грудным молоком.
Препарат Нимедрикс следует применять у кормящих грудью женщин, только когда возможная польза превышает потенциальные риски.
</t>
    </r>
    <r>
      <rPr>
        <rFont val="Arial"/>
        <i/>
        <color theme="1"/>
      </rPr>
      <t>Фертильность</t>
    </r>
    <r>
      <rPr>
        <rFont val="Arial"/>
        <color theme="1"/>
      </rPr>
      <t xml:space="preserve">
Исследования на животных свидетельствуют об отсутствии прямых и косвенных неблагоприятных токсических эффектов в отношении репродуктивной функции.</t>
    </r>
  </si>
  <si>
    <r>
      <rPr>
        <rFont val="Arial"/>
        <i/>
        <color theme="1"/>
      </rPr>
      <t>&lt;p&gt;&lt;i&gt;Беременность&lt;/i&gt;&lt;br&gt;</t>
    </r>
    <r>
      <rPr>
        <rFont val="Arial"/>
        <color theme="1"/>
      </rPr>
      <t xml:space="preserve">
Опыт применения препарата Нименрикс у беременных женщин ограничен.&lt;br&gt;
Исследования препарата на животных свидетельствуют об отсутствии прямых или косвенных неблагоприятных эффектов в отношении беременности, эмбрионального развития, родов или постнатального периода.&lt;br&gt;
Препарат Нименрикс следует применять во время беременности только при очевидной необходимости, когда возможная польза превышает потенциальные риски для плода.&lt;br&gt;&lt;br&gt;
</t>
    </r>
    <r>
      <rPr>
        <rFont val="Arial"/>
        <i/>
        <color theme="1"/>
      </rPr>
      <t>&lt;i&gt;Кормление грудью&lt;/i&gt;&lt;br&gt;</t>
    </r>
    <r>
      <rPr>
        <rFont val="Arial"/>
        <color theme="1"/>
      </rPr>
      <t xml:space="preserve">
Неизвестно, выделяется ли препарат Нименрикс с женским грудным молоком.&lt;br&gt;
Препарат Нимедрикс следует применять у кормящих грудью женщин, только когда возможная польза превышает потенциальные риски.&lt;br&gt;&lt;br&gt;
</t>
    </r>
    <r>
      <rPr>
        <rFont val="Arial"/>
        <i/>
        <color theme="1"/>
      </rPr>
      <t>&lt;i&gt;Фертильность&lt;/i&gt;&lt;br&gt;</t>
    </r>
    <r>
      <rPr>
        <rFont val="Arial"/>
        <color theme="1"/>
      </rPr>
      <t xml:space="preserve">
Исследования на животных свидетельствуют об отсутствии прямых и косвенных неблагоприятных токсических эффектов в отношении репродуктивной функции.&lt;/p&gt;</t>
    </r>
  </si>
  <si>
    <t>interaction_text_w/o_html</t>
  </si>
  <si>
    <t>interaction_text_html</t>
  </si>
  <si>
    <t>interaction_date</t>
  </si>
  <si>
    <t>interaction_view_number</t>
  </si>
  <si>
    <t>interaction_version</t>
  </si>
  <si>
    <t>interaction_version_link</t>
  </si>
  <si>
    <t>Вакцину не следует смешивать с другими лекарственными препаратами в одном шприце, так как исследования совместимости не проводились.</t>
  </si>
  <si>
    <t>&lt;p&gt;Вакцину не следует смешивать с другими лекарственными препаратами в одном шприце, так как исследования совместимости не проводились.&lt;/p&gt;</t>
  </si>
  <si>
    <t xml:space="preserve">Инструкция не содержит указаний по взаимодействию с лекарственными препаратами. </t>
  </si>
  <si>
    <t>&lt;p&gt;&lt;i&gt;Инструкция не содержит указаний по взаимодействию с лекарственными препаратами.&lt;/i&gt;&lt;/p&gt;</t>
  </si>
  <si>
    <t>Вакцина Бубо®-Кок может вводиться с противоаллергическими препаратами. Взаимодействие с другими лекарственными средствами не установлено.</t>
  </si>
  <si>
    <t>&lt;p&gt;Вакцина Бубо®-Кок может вводиться с противоаллергическими препаратами. Взаимодействие с другими лекарственными средствами не установлено.&lt;/p&gt;</t>
  </si>
  <si>
    <t>Случаи значимого клинического взаимодействия с другими лекарственными средствами или биологическими препаратами (в том числе вакцинами) не зарегистрированы, за исключением иммунодепрессантов.
Если вакцина вводится лицам с нарушением образования антител вследствие генетического дефекта, заболевания, сопровождающегося иммунодефицитом, или иммунодепрессивной терапии, ожидаемый иммунный ответ может быть не получен. 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безрецептурного).</t>
  </si>
  <si>
    <t>&lt;p&gt;Случаи значимого клинического взаимодействия с другими лекарственными средствами или биологическими препаратами (в том числе вакцинами) не зарегистрированы, за исключением иммунодепрессантов.&lt;br&gt;&lt;br&gt;
Если вакцина вводится лицам с нарушением образования антител вследствие генетического дефекта, заболевания, сопровождающегося иммунодефицитом, или иммунодепрессивной терапии, ожидаемый иммунный ответ может быть не получен. 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безрецептурного).&lt;/p&gt;</t>
  </si>
  <si>
    <t>Как и в отношении других вакцин, можно ожидать, что у пациентов, получающих иммуносупрессивную терапию, адекватный иммунный ответ может не достигаться.</t>
  </si>
  <si>
    <t>&lt;p&gt;Как и в отношении других вакцин, можно ожидать, что у пациентов, получающих иммуносупрессивную терапию, адекватный иммунный ответ может не достигаться.&lt;/p&gt;</t>
  </si>
  <si>
    <t>У пациентов, получающих иммунодепрессивную терапию, и пациентов с иммунодефицитом может не развиться достаточный иммунный ответ.</t>
  </si>
  <si>
    <t>&lt;p&gt;У пациентов, получающих иммунодепрессивную терапию, и пациентов с иммунодефицитом может не развиться достаточный иммунный ответ.&lt;/p&gt;</t>
  </si>
  <si>
    <t>АД-М-анатоксин запрещено смешивать в одном шприце с любыми препаратами для парентерального введения.
АД-М-анатоксин можно вводить в любые сроки до или после введения иммуноглобулина.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
Поддерживающая курсовая терапия, в том числе психофармацевтическими препаратами, не является противопоказанием к введению АД-М-анатоксина.</t>
  </si>
  <si>
    <t>&lt;p&gt;АД-М-анатоксин запрещено смешивать в одном шприце с любыми препаратами для парентерального введения.&lt;br&gt;&lt;br&gt;
АД-М-анатоксин можно вводить в любые сроки до или после введения иммуноглобулина.&lt;br&gt;&lt;br&gt;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прививке.&lt;br&gt;&lt;br&gt;
Поддерживающая курсовая терапия, в том числе психофармацевтическими препаратами, не является противопоказанием к введению АД-М-анатоксина.&lt;/p&gt;</t>
  </si>
  <si>
    <t>АДС-анатоксин запрещено смешивать в одном шприце с любыми препаратами для парентерального введения.
АДС-анатоксин можно вводить в любые сроки до или после введения иммуноглобулина.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
Поддерживающая курсовая терапия, в том числе психофармацевтическими препаратами, не является противопоказанием к введению АДС-анатоксина.</t>
  </si>
  <si>
    <t>&lt;p&gt;АДС-анатоксин запрещено смешивать в одном шприце с любыми препаратами для парентерального введения.&lt;br&gt;&lt;br&gt;
АДС-анатоксин можно вводить в любые сроки до или после введения иммуноглобулина.&lt;br&gt;&lt;br&gt;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прививке.&lt;br&gt;&lt;br&gt;
Поддерживающая курсовая терапия, в том числе психофармацевтическими препаратами, не является противопоказанием к введению АДС-анатоксина.&lt;/p&gt;</t>
  </si>
  <si>
    <t>АДС-М-анатоксин запрещено смешивать в одном шприце с любыми препаратами для парентерального введения.
АДС-М-анатоксин можно вводить в любые сроки до или после введения иммуноглобулина.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
Поддерживающая курсовая терапия, в том числе психофармацевтическими препаратами, не является противопоказанием к введению АДС-М-анатоксина.</t>
  </si>
  <si>
    <t>&lt;p&gt;АДС-М-анатоксин запрещено смешивать в одном шприце с любыми препаратами для парентерального введения.&lt;br&gt;&lt;br&gt;
АДС-М-анатоксин можно вводить в любые сроки до или после введения иммуноглобулина.&lt;br&gt;&lt;br&gt;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прививке.&lt;br&gt;&lt;br&gt;
Поддерживающая курсовая терапия, в том числе психофармацевтическими препаратами, не является противопоказанием к введению АДС-М-анатоксина.&lt;/p&gt;</t>
  </si>
  <si>
    <t>Иммуносупрессивные средства при одновременном применении с вакциной могут оказывать влияние на формирование иммунного ответа. Иммунносупрессивная терапия, включая лучевую терапию, применение антиметаболитов, алкилирующих препаратов, цитотоксических препаратов и глюкокортикостероидов (в дозах выше терапевтических), может снижать иммунный ответ на вакцину.
Вакцину Адасель запрещено смешивать в одном шприце с любыми препаратами, предназначенными для парентерального введения.</t>
  </si>
  <si>
    <t>&lt;p&gt;Иммуносупрессивные средства при одновременном применении с вакциной могут оказывать влияние на формирование иммунного ответа. Иммунносупрессивная терапия, включая лучевую терапию, применение антиметаболитов, алкилирующих препаратов, цитотоксических препаратов и глюкокортикостероидов (в дозах выше терапевтических), может снижать иммунный ответ на вакцину.&lt;/p&gt;
&lt;p&gt;Вакцину Адасель запрещено смешивать в одном шприце с любыми препаратами, предназначенными для парентерального введения.&lt;/p&gt;</t>
  </si>
  <si>
    <t>У лиц, проходящих лечение иммуностимуляторами или иммунодепрессантами, и ВИЧ-инфицированных может наблюдаться слабый иммунный ответ на введение вакцины.</t>
  </si>
  <si>
    <t>&lt;p&gt;У лиц, проходящих лечение иммуностимуляторами или иммунодепрессантами, и ВИЧ-инфицированных может наблюдаться слабый иммунный ответ на введение вакцины.&lt;/p&gt;</t>
  </si>
  <si>
    <t>При одновременном введении с иммуноглобулинами человека защитное действие вакцины не снижается.
Если возникает необходимость ввести вакцину Хаврикс с иммуноглобулинами, то препараты вводят с использованием отдельных шприцев и игл в разные участки тела.
В связи с отсутствием исследований совместимости, вакцину Хаврикс не следует смешивать с другими лекарственными препаратами.</t>
  </si>
  <si>
    <t>&lt;p&gt;При одновременном введении с иммуноглобулинами человека защитное действие вакцины не снижается.&lt;br&gt;
Если возникает необходимость ввести вакцину Хаврикс с иммуноглобулинами, то препараты вводят с использованием отдельных шприцев и игл в разные участки тела.&lt;br&gt;&lt;br&gt;
В связи с отсутствием исследований совместимости, вакцину Хаврикс не следует смешивать с другими лекарственными препаратами.&lt;/p&gt;</t>
  </si>
  <si>
    <t>Вакцина Аваксим 80 (вакцина для профилактики гепатита А инактивированная, адсорбированная) может вводиться одновременно с иммуноглобулином в разные участки тела. Это не влияет на частоту сероконверсии, но может приводить к выработке более низких титров антител.</t>
  </si>
  <si>
    <t>&lt;p&gt;Вакцина Аваксим&amp;nbsp;80 (вакцина для профилактики гепатита А инактивированная, адсорбированная) может вводиться одновременно с иммуноглобулином в разные участки тела. Это не влияет на частоту сероконверсии, но может приводить к выработке более низких титров антител.&lt;/p&gt;</t>
  </si>
  <si>
    <t>Вакцина Аваксим 160 может вводиться одновременно с иммуноглобулином против гепатита А, в разные участки тела. Это не влияет на частоту сероконверсии, но может приводить к выработке более низких титров антител. При использовании вакцины Аваксим 160 для постэкспозиционной профилактики при вспышках гепатита А возможно введение вакцины без применения иммуноглобулина.</t>
  </si>
  <si>
    <t>&lt;p&gt;Вакцина Аваксим 160 может вводиться одновременно с иммуноглобулином против гепатита А, в разные участки тела. Это не влияет на частоту сероконверсии, но может приводить к выработке более низких титров антител. При использовании вакцины Аваксим 160 для постэкспозиционной профилактики при вспышках гепатита А возможно введение вакцины без применения иммуноглобулина.&lt;/p&gt;</t>
  </si>
  <si>
    <t>Вакцина против гепатита В может вводиться с противоаллергическими препаратами.
Взаимодействие с другими лекарственными средствами не установлено.
В связи с отсутствием исследований совместимости, данный лекарственный препарат не следует смешивать с другими лекарственными препаратами.</t>
  </si>
  <si>
    <t>&lt;p&gt;Вакцина против гепатита В может вводиться с противоаллергическими препаратами.&lt;br&gt;
Взаимодействие с другими лекарственными средствами не установлено.&lt;br&gt;
В связи с отсутствием исследований совместимости, данный лекарственный препарат не следует смешивать с другими лекарственными препаратами.&lt;/p&gt;</t>
  </si>
  <si>
    <t>В связи с отсутствием исследований совместимости данный лекарственный препарат не следует смешивать с другими лекарственными препаратами.</t>
  </si>
  <si>
    <t>&lt;p&gt;В связи с отсутствием исследований совместимости данный лекарственный препарат не следует смешивать с другими лекарственными препаратами.&lt;/p&gt;</t>
  </si>
  <si>
    <t>Вакцину Эувакс В нельзя смешивать в одном шприце с другими жидкими лекарственными препаратами [...].</t>
  </si>
  <si>
    <t>&lt;p&gt;Вакцину Эувакс&amp;nbsp;В нельзя смешивать в одном шприце с другими жидкими лекарственными препаратами [...].&lt;/p&gt;</t>
  </si>
  <si>
    <t>Вакцину Эувакс В нельзя смешивать в одном шприце с другими жидкими лекарственными препаратами.</t>
  </si>
  <si>
    <t>&lt;p&gt;Вакцину Эувакс&amp;nbsp;В нельзя смешивать в одном шприце с другими жидкими лекарственными препаратами.&lt;/p&gt;</t>
  </si>
  <si>
    <r>
      <rPr>
        <rFont val="Arial"/>
        <color theme="1"/>
      </rPr>
      <t xml:space="preserve">Не допускается смешивать вакцину с другими препаратами в одном шприце!
</t>
    </r>
    <r>
      <rPr>
        <rFont val="Arial"/>
        <i/>
        <color theme="1"/>
      </rPr>
      <t>Пероральные контрацептивы</t>
    </r>
    <r>
      <rPr>
        <rFont val="Arial"/>
        <color theme="1"/>
      </rPr>
      <t xml:space="preserve">
В ходе клинических исследований было установлено, что примерно 60% женщин, получавших вакцину Церварикс, применяли пероральные контрацептивы (ПОК). Данные об отрицательном влиянии ПОК на эффективность вакцины Церварикс отсутствуют.
</t>
    </r>
    <r>
      <rPr>
        <rFont val="Arial"/>
        <i/>
        <color theme="1"/>
      </rPr>
      <t>Иммунодепрессанты</t>
    </r>
    <r>
      <rPr>
        <rFont val="Arial"/>
        <color theme="1"/>
      </rPr>
      <t xml:space="preserve">
Как и для любой другой вакцины предполагается, что у пациентов, получающих иммунодепрессанты, адекватный иммунный ответ может быть не достигнут.</t>
    </r>
  </si>
  <si>
    <r>
      <rPr>
        <rFont val="Arial"/>
        <color theme="1"/>
      </rPr>
      <t xml:space="preserve">&lt;p&gt;Не допускается смешивать вакцину с другими препаратами в одном шприце!&lt;br&gt;&lt;br&gt;
</t>
    </r>
    <r>
      <rPr>
        <rFont val="Arial"/>
        <i/>
        <color theme="1"/>
      </rPr>
      <t>&lt;i&gt;Пероральные контрацептивы</t>
    </r>
    <r>
      <rPr>
        <rFont val="Arial"/>
        <color theme="1"/>
      </rPr>
      <t xml:space="preserve">&lt;/i&gt;&lt;br&gt;
В ходе клинических исследований было установлено, что примерно 60% женщин, получавших вакцину Церварикс, применяли пероральные контрацептивы (ПОК). Данные об отрицательном влиянии ПОК на эффективность вакцины Церварикс отсутствуют.&lt;br&gt;&lt;br&gt;
</t>
    </r>
    <r>
      <rPr>
        <rFont val="Arial"/>
        <i/>
        <color theme="1"/>
      </rPr>
      <t>&lt;i&gt;Иммунодепрессанты</t>
    </r>
    <r>
      <rPr>
        <rFont val="Arial"/>
        <color theme="1"/>
      </rPr>
      <t>&lt;/i&gt;&lt;br&gt;
Как и для любой другой вакцины предполагается, что у пациентов, получающих иммунодепрессанты, адекватный иммунный ответ может быть не достигнут.&lt;/p&gt;</t>
    </r>
  </si>
  <si>
    <r>
      <rPr>
        <rFont val="Arial"/>
        <color theme="1"/>
      </rPr>
      <t xml:space="preserve">Из всех клинических исследований были исключены лица, получавшие иммуноглобулин или препараты крови в течение 6 месяцев до введения первой дозы вакцины.
</t>
    </r>
    <r>
      <rPr>
        <rFont val="Arial"/>
        <i/>
        <color theme="1"/>
      </rPr>
      <t>Применение с распространенными лекарствами</t>
    </r>
    <r>
      <rPr>
        <rFont val="Arial"/>
        <color theme="1"/>
      </rPr>
      <t xml:space="preserve">
Применение анальгетиков, противовоспалительных препаратов, антибиотиков и витаминных препаратов не влияло на эффективность, иммуногенность и безопасность вакцины.
</t>
    </r>
    <r>
      <rPr>
        <rFont val="Arial"/>
        <i/>
        <color theme="1"/>
      </rPr>
      <t>Применение с гормональными контрацептивами</t>
    </r>
    <r>
      <rPr>
        <rFont val="Arial"/>
        <color theme="1"/>
      </rPr>
      <t xml:space="preserve">
Применение гормональных контрацептивов не влияло на эффективность, иммуногенность и безопасность вакцины Гардасил.
</t>
    </r>
    <r>
      <rPr>
        <rFont val="Arial"/>
        <i/>
        <color theme="1"/>
      </rPr>
      <t>Применение со стероидами</t>
    </r>
    <r>
      <rPr>
        <rFont val="Arial"/>
        <color theme="1"/>
      </rPr>
      <t xml:space="preserve">
Ингаляционные, местные и парентеральные иммуносупрессанты не влияли на иммуногенность и безопасность вакцины Гардасил.
</t>
    </r>
    <r>
      <rPr>
        <rFont val="Arial"/>
        <i/>
        <color theme="1"/>
      </rPr>
      <t>Применение с системными иммуносупрессантами</t>
    </r>
    <r>
      <rPr>
        <rFont val="Arial"/>
        <color theme="1"/>
      </rPr>
      <t xml:space="preserve">
Данные об одновременном применении системных иммуносупрессантов и вакцины Гардасил отсутствуют. У лиц, принимающих иммуносупрессанты (системные кортикостероиды, антиметаболиты, алкилирующие препараты, цитотоксичные препараты), защитный эффект может быть снижен.
Вакцину не следует смешивать с другими лекарственными препаратами, поскольку
исследования совместимости не проводились.</t>
    </r>
  </si>
  <si>
    <r>
      <rPr>
        <rFont val="Arial"/>
        <color theme="1"/>
      </rPr>
      <t xml:space="preserve">&lt;p&gt;Из всех клинических исследований были исключены лица, получавшие иммуноглобулин или препараты крови в течение 6&amp;nbsp;месяцев до введения первой дозы вакцины.&lt;/p&gt;
</t>
    </r>
    <r>
      <rPr>
        <rFont val="Arial"/>
        <i/>
        <color theme="1"/>
      </rPr>
      <t>&lt;p&gt;&lt;i&gt;Применение с распространенными лекарствами</t>
    </r>
    <r>
      <rPr>
        <rFont val="Arial"/>
        <color theme="1"/>
      </rPr>
      <t xml:space="preserve">&lt;/i&gt;&lt;br&gt;
Применение анальгетиков, противовоспалительных препаратов, антибиотиков и витаминных препаратов не влияло на эффективность, иммуногенность и безопасность вакцины.&lt;br&gt;&lt;br&gt;
</t>
    </r>
    <r>
      <rPr>
        <rFont val="Arial"/>
        <i/>
        <color theme="1"/>
      </rPr>
      <t>&lt;i&gt;Применение с гормональными контрацептивами</t>
    </r>
    <r>
      <rPr>
        <rFont val="Arial"/>
        <color theme="1"/>
      </rPr>
      <t xml:space="preserve">&lt;/i&gt;&lt;br&gt;
Применение гормональных контрацептивов не влияло на эффективность, иммуногенность и безопасность вакцины Гардасил.&lt;br&gt;&lt;br&gt;
</t>
    </r>
    <r>
      <rPr>
        <rFont val="Arial"/>
        <i/>
        <color theme="1"/>
      </rPr>
      <t>&lt;i&gt;Применение со стероидами</t>
    </r>
    <r>
      <rPr>
        <rFont val="Arial"/>
        <color theme="1"/>
      </rPr>
      <t xml:space="preserve">&lt;/i&gt;&lt;br&gt;
Ингаляционные, местные и парентеральные иммуносупрессанты не влияли на иммуногенность и безопасность вакцины Гардасил.&lt;br&gt;&lt;br&gt;
</t>
    </r>
    <r>
      <rPr>
        <rFont val="Arial"/>
        <i/>
        <color theme="1"/>
      </rPr>
      <t>&lt;i&gt;Применение с системными иммуносупрессантами</t>
    </r>
    <r>
      <rPr>
        <rFont val="Arial"/>
        <color theme="1"/>
      </rPr>
      <t>&lt;/i&gt;&lt;br&gt;
Данные об одновременном применении системных иммуносупрессантов и вакцины Гардасил отсутствуют. У лиц, принимающих иммуносупрессанты (системные кортикостероиды, антиметаболиты, алкилирующие препараты, цитотоксичные препараты), защитный эффект может быть снижен.&lt;/p&gt;
&lt;p&gt;Вакцину не следует смешивать с другими лекарственными препаратами, поскольку
исследования совместимости не проводились.&lt;/p&gt;</t>
    </r>
  </si>
  <si>
    <t>Специальных исследований лекарственных взаимодействий не проводилось.
В связи с отсутствием исследований совместимости, данный лекарственный препарат не следует смешивать с другими лекарственными препаратами в одном шприце.
У пациентов, получающих иммуносупрессивную терапию, и пациентов с иммунодефицитом может не развиться достаточный иммунный ответ. Применение иммуносупрессивной терапии (лекарственные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t>
  </si>
  <si>
    <t>&lt;p&gt;Специальных исследований лекарственных взаимодействий не проводилось.&lt;br&gt;
В связи с отсутствием исследований совместимости, данный лекарственный препарат не следует смешивать с другими лекарственными препаратами в одном шприце.&lt;br&gt;
У пациентов, получающих иммуносупрессивную терапию, и пациентов с иммунодефицитом может не развиться достаточный иммунный ответ. Применение иммуносупрессивной терапии (лекарственные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вакцинацию.&lt;/p&gt;</t>
  </si>
  <si>
    <t>Взаимодействие с другими лекарственными средствами не изучалось.</t>
  </si>
  <si>
    <t>&lt;p&gt;Взаимодействие с другими лекарственными средствами не изучалось.&lt;/p&gt;</t>
  </si>
  <si>
    <t>Вакцина может вводиться на фоне базисной терапии основного заболевания. Вакцинация пациентов, получающих иммуносупрессивную терапию, может быть менее эффективной.</t>
  </si>
  <si>
    <t>&lt;p&gt;Вакцина может вводиться на фоне базисной терапии основного заболевания. Вакцинация пациентов, получающих иммуносупрессивную терапию, может быть менее эффективной.&lt;/p&gt;</t>
  </si>
  <si>
    <t>Вакцина может вводиться на фоне базисной терапии основного заболевания. У пациентов, получающих иммуносупрессивную терапию (кортикостероиды, цитотоксические препараты, радиотерапия) и пациентов с иммунодефицитом может не развиться достаточный иммунный ответ.
В отсутствии результатов исследований совместимости вакцину не следует смешивать с другими лекарственными препаратами.</t>
  </si>
  <si>
    <t>&lt;p&gt;Вакцина может вводиться на фоне базисной терапии основного заболевания. У пациентов, получающих иммуносупрессивную терапию (кортикостероиды, цитотоксические препараты, радиотерапия) и пациентов с иммунодефицитом может не развиться достаточный иммунный ответ.&lt;br&gt;&lt;br&gt;
В отсутствии результатов исследований совместимости вакцину не следует смешивать с другими лекарственными препаратами.&lt;/p&gt;</t>
  </si>
  <si>
    <t>Специальные исследования лекарственных взаимодействий с препаратом СОВИГРИПП не проводились.
Вакцина может вводиться на фоне базисной терапии основного заболевания. Вакцинация лиц, получающих иммуносупрессивную терапию, может быть менее эффективной.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t>
  </si>
  <si>
    <t>&lt;p&gt;Специальные исследования лекарственных взаимодействий с препаратом СОВИГРИПП не проводились.&lt;br&gt;
Вакцина может вводиться на фоне базисной терапии основного заболевания. Вакцинация лиц, получающих иммуносупрессивную терапию, может быть менее эффективной.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t>
  </si>
  <si>
    <t>Вакцинация пациентов, получающих иммуносупрессивную терапию, может быть менее эффективной.
В связи с отсутствием исследований совместимости, данный лекарственный препарат не следует смешивать с другими лекарственными препаратами.</t>
  </si>
  <si>
    <t>&lt;p&gt;Вакцинация пациентов, получающих иммуносупрессивную терапию, может быть менее эффективной.&lt;br&gt;&lt;br&gt;
В связи с отсутствием исследований совместимости, данный лекарственный препарат не следует смешивать с другими лекарственными препаратами.&lt;/p&gt;</t>
  </si>
  <si>
    <t>Вакцинация пациентов, получающих иммуносупрессивную терапию (кортикостероиды, цитотоксические и радиоактивные препараты), может быть менее эффективной.</t>
  </si>
  <si>
    <t>&lt;p&gt;Вакцинация пациентов, получающих иммуносупрессивную терапию (кортикостероиды, цитотоксические и радиоактивные препараты), может быть менее эффективной.&lt;/p&gt;</t>
  </si>
  <si>
    <t>Вакцину нельзя смешивать с каким-либо другим лекарственным препаратом в одном шприце.
После вакцинации против гриппа отмечалось ингибирование печеночного клиренса фенитоина, теофиллина и варфарина, однако в рамках последующих исследований возникновения нежелательных эффектов в связи с этим феноменом обнаружено не было.
При введении вакцины Ваксигрип® лицам, проходящим иммуносупрессивную терапию, иммунный ответ после вакцинации может быть сниженным.</t>
  </si>
  <si>
    <t>&lt;p&gt;Вакцину нельзя смешивать с каким-либо другим лекарственным препаратом в одном шприце.&lt;/p&gt;
&lt;p&gt;После вакцинации против гриппа отмечалось ингибирование печеночного клиренса фенитоина, теофиллина и варфарина, однако в рамках последующих исследований возникновения нежелательных эффектов в связи с этим феноменом обнаружено не было.&lt;/p&gt;
&lt;p&gt;При введении вакцины Ваксигрип® лицам, проходящим иммуносупрессивную терапию, иммунный ответ после вакцинации может быть сниженным.&lt;/p&gt;</t>
  </si>
  <si>
    <t>У пациентов, получающих иммуносупрессивную терапию, иммунный ответ на вакцинацию может быть снижен.
После вакцинации возможно появление ложноположительных результатов серологических тестов, основанных на методе ELISA, при определении антител против ВИЧ (HIV1), гепатита С, Т-клеточного лимфотропного вируса человека (HTLV1). Лабораторная диагностика методом Вестерн-Блоттинга позволяет исключить ложноположительные результаты тестов, основанных на методе ELISA.
Преходящие ложноположительные результаты могут быть обусловлены выработкой IgM после вакцинации.</t>
  </si>
  <si>
    <t>&lt;p&gt;У пациентов, получающих иммуносупрессивную терапию, иммунный ответ на вакцинацию может быть снижен.&lt;br&gt;&lt;br&gt;
После вакцинации возможно появление ложноположительных результатов серологических тестов, основанных на методе ELISA, при определении антител против ВИЧ (HIV1), гепатита С, Т-клеточного лимфотропного вируса человека (HTLV1). Лабораторная диагностика методом Вестерн-Блоттинга позволяет исключить ложноположительные результаты тестов, основанных на методе ELISA.&lt;br&gt;&lt;br&gt;
Преходящие ложноположительные результаты могут быть обусловлены выработкой IgM после вакцинации.&lt;/p&gt;</t>
  </si>
  <si>
    <t>Вакцина Ультрикс® Квадри может вводиться на фоне базисной терапии основного заболевания. Вакцинация пациентов, получивших иммуносупрессивную терапию (глюкокортикостероиды, цитотоксические препараты, радиотерапия), может быть менее эффективной.</t>
  </si>
  <si>
    <t>&lt;p&gt;Вакцина Ультрикс® Квадри может вводиться на фоне базисной терапии основного заболевания. Вакцинация пациентов, получивших иммуносупрессивную терапию (глюкокортикостероиды, цитотоксические препараты, радиотерапия), может быть менее эффективной.&lt;/p&gt;</t>
  </si>
  <si>
    <t>&lt;p&gt;Вакцина может вводиться на фоне базисной терапии основного заболевания. У пациентов, получающих иммуносупрессивную терапию (кортикостероиды, цитотоксические препараты, радиотерапия) и пациентов с иммунодефицитом может не развиться достаточный иммунный ответ.&lt;br&gt;
В отсутствии результатов исследований совместимости вакцину не следует смешивать с другими лекарственными препаратами.&lt;/p&gt;</t>
  </si>
  <si>
    <t>После введения препаратов иммуноглобулина человека прививки против кори проводят не ранее, чем через 3 мес. После введения коревой вакцины препараты иммуноглобулина можно вводить не ранее, чем через 2 нед.; в случае необходимости применения иммуноглобулина ранее этого срока вакцинацию против кори следует повторить.
После проведения иммуносупрессивной терапии вакцинацию против кори можно проводить через 3-6 мес. после окончания лечения.
Вакцину не следует смешивать с другими лекарственными препаратами в одном шприце.</t>
  </si>
  <si>
    <t>&lt;p&gt;После введения препаратов иммуноглобулина человека прививки против кори проводят не ранее, чем через 3&amp;nbsp;мес. После введения коревой вакцины препараты иммуноглобулина можно вводить не ранее, чем через 2&amp;nbsp;нед.; в случае необходимости применения иммуноглобулина ранее этого срока вакцинацию против кори следует повторить.&lt;br&gt;&lt;br&gt;
После проведения иммуносупрессивной терапии вакцинацию против кори можно проводить через 3-6&amp;nbsp;мес. после окончания лечения.&lt;br&gt;&lt;br&gt;
Вакцину не следует смешивать с другими лекарственными препаратами в одном шприце.&lt;/p&gt;</t>
  </si>
  <si>
    <r>
      <rPr>
        <rFont val="Arial"/>
        <color theme="1"/>
      </rPr>
      <t xml:space="preserve">После введения коревой вакцины препараты иммуноглобулина можно вводить не ранее, чем через 2 недели. В случае необходимости применения иммуноглобулина ранее этого срока вакцинацию против кори следует повторить.
</t>
    </r>
    <r>
      <rPr>
        <rFont val="Arial"/>
        <i/>
        <color theme="1"/>
      </rPr>
      <t>Туберкулинодиагностика</t>
    </r>
    <r>
      <rPr>
        <rFont val="Arial"/>
        <color theme="1"/>
      </rPr>
      <t xml:space="preserve">
При необходимости постановки туберкулиновой пробы (пробы Манту) или Диаскинтеста они должны быть проведены не ранее, чем через 4 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реакцию к туберкулину).
</t>
    </r>
    <r>
      <rPr>
        <rFont val="Arial"/>
        <i/>
        <color theme="1"/>
      </rPr>
      <t>Препараты крови</t>
    </r>
    <r>
      <rPr>
        <rFont val="Arial"/>
        <color theme="1"/>
      </rPr>
      <t xml:space="preserve">
После введения препаратов крови человека (иммуноглобулины, плазма и др.) вакцину против кори следует применять не ранее, чем через 3 мес. После иммунизации вакциной против кори препараты крови следует вводить не ранее, чем через 2 недели. В случае необходимости их применения ранее этого срока вакцинацию следует повторить через 3 мес.</t>
    </r>
  </si>
  <si>
    <r>
      <rPr>
        <rFont val="Arial"/>
        <color theme="1"/>
      </rPr>
      <t xml:space="preserve">&lt;p&gt;После введения коревой вакцины препараты иммуноглобулина можно вводить не ранее, чем через 2&amp;nbspнедели. В случае необходимости применения иммуноглобулина ранее этого срока вакцинацию против кори следует повторить.&lt;br&gt;&lt;br&gt;
</t>
    </r>
    <r>
      <rPr>
        <rFont val="Arial"/>
        <i/>
        <color theme="1"/>
      </rPr>
      <t>&lt;i&gt;Туберкулинодиагностика&lt;/i&gt;&lt;br&gt;</t>
    </r>
    <r>
      <rPr>
        <rFont val="Arial"/>
        <color theme="1"/>
      </rPr>
      <t xml:space="preserve">
При необходимости постановки туберкулиновой пробы (пробы Манту) или Диаскинтеста они должны быть проведены не ранее, чем через 4&amp;nbspнедели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реакцию к туберкулину).&lt;br&gt;&lt;br&gt;
</t>
    </r>
    <r>
      <rPr>
        <rFont val="Arial"/>
        <i/>
        <color theme="1"/>
      </rPr>
      <t>&lt;i&gt;Препараты крови&lt;/i&gt;&lt;br&gt;</t>
    </r>
    <r>
      <rPr>
        <rFont val="Arial"/>
        <color theme="1"/>
      </rPr>
      <t xml:space="preserve">
После введения препаратов крови человека (иммуноглобулины, плазма и др.) вакцину против кори следует применять не ранее, чем через 3&amp;nbspмес. После иммунизации вакциной против кори препараты крови следует вводить не ранее, чем через 2&amp;nbspнедели. В случае необходимости их применения ранее этого срока вакцинацию следует повторить через 3&amp;nbspмес.&lt;/p&gt;</t>
    </r>
  </si>
  <si>
    <t>После введения препаратов иммуноглобулина человека прививки против кори проводятся не ранее чем через 2 мес. После введения коревой вакцины препараты иммуноглобулина можно вводить не ранее чем через 2 недели; в случае необходимости применения иммуноглобулина ранее этого срока вакцинацию против кори следует повторить.</t>
  </si>
  <si>
    <t>&lt;p&gt;После введения препаратов иммуноглобулина человека прививки против кори проводятся не ранее чем через 2&amp;nbsp;мес. После введения коревой вакцины препараты иммуноглобулина можно вводить не ранее чем через 2&amp;nbsp;недели; в случае необходимости применения иммуноглобулина ранее этого срока вакцинацию против кори следует повторить.&lt;/p&gt;</t>
  </si>
  <si>
    <t>При необходимости постановки туберкулиновой пробы она должна быть проведена или одновременно с вакцинацией или через 6 недель после нее, поскольку коревой (а возможно и паротитный) вакцинальный процесс может вызвать временное снижение чувствительности кожи к туберкулину, что послужит причиной ложного отрицательного результата.
После введения препаратов иммуноглобулина человека прививки проводить не ранее, чем через 2 мес. После введения паротитно-коревой вакцины препараты иммуноглобулина можно вводить не ранее, чем через 2 недели; в случае необходимости применения иммуноглобулина ранее этого срока вакцинацию против паротита и кори следует повторить.
Вакцину не следует смешивать с другими лекарственными препаратами в одном шприце.</t>
  </si>
  <si>
    <t>&lt;p&gt;При необходимости постановки туберкулиновой пробы она должна быть проведена или одновременно с вакцинацией или через 6&amp;nbsp;недель после нее, поскольку коревой (а возможно и паротитный) вакцинальный процесс может вызвать временное снижение чувствительности кожи к туберкулину, что послужит причиной ложного отрицательного результата.&lt;br&gt;&lt;br&gt;
После введения препаратов иммуноглобулина человека прививки проводить не ранее, чем через 2&amp;nbsp;мес. После введения паротитно-коревой вакцины препараты иммуноглобулина можно вводить не ранее, чем через 2&amp;nbsp;недели; в случае необходимости применения иммуноглобулина ранее этого срока вакцинацию против паротита и кори следует повторить.&lt;br&gt;&lt;br&gt;
Вакцину не следует смешивать с другими лекарственными препаратами в одном шприце.&lt;/p&gt;</t>
  </si>
  <si>
    <r>
      <rPr>
        <rFont val="Arial"/>
        <i/>
        <color theme="1"/>
      </rPr>
      <t xml:space="preserve">Препараты крови
</t>
    </r>
    <r>
      <rPr>
        <rFont val="Arial"/>
        <color theme="1"/>
      </rPr>
      <t xml:space="preserve">После введения препаратов крови (иммуноглобулины, плазма и др.) вакцину против кори, краснухи и паротита следует применять не ранее чем через 3 месяца. После иммунизации вакциной против кори, краснухи и паротита препараты крови можно вводить не ранее чем через 2 недели. В случае необходимости их применения ранее этого срока вакцинацию следует повторить через 3 мес.
</t>
    </r>
    <r>
      <rPr>
        <rFont val="Arial"/>
        <i/>
        <color theme="1"/>
      </rPr>
      <t>Туберкулиндиагностика</t>
    </r>
    <r>
      <rPr>
        <rFont val="Arial"/>
        <color theme="1"/>
      </rPr>
      <t xml:space="preserve">
При необходимости постановки туберкулиновой пробы (пробы Манту) или Диаскинтеста, они должны быть проведены не ранее, чем через 4 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туберкулин).</t>
    </r>
  </si>
  <si>
    <r>
      <rPr>
        <rFont val="Arial"/>
        <i/>
        <color theme="1"/>
      </rPr>
      <t xml:space="preserve">&lt;p&gt;&lt;i&gt;Препараты крови&lt;/i&gt;&lt;br&gt;
</t>
    </r>
    <r>
      <rPr>
        <rFont val="Arial"/>
        <color theme="1"/>
      </rPr>
      <t xml:space="preserve">После введения препаратов крови (иммуноглобулины, плазма и др.) вакцину против кори, краснухи и паротита следует применять не ранее чем через 3&amp;nbsp;месяца. После иммунизации вакциной против кори, краснухи и паротита препараты крови можно вводить не ранее чем через 2&amp;nbsp;недели. В случае необходимости их применения ранее этого срока вакцинацию следует повторить через 3&amp;nbsp;мес.&lt;br&gt;&lt;br&gt;
</t>
    </r>
    <r>
      <rPr>
        <rFont val="Arial"/>
        <i/>
        <color theme="1"/>
      </rPr>
      <t>&lt;i&gt;Туберкулиндиагностика&lt;/i&gt;&lt;br&gt;</t>
    </r>
    <r>
      <rPr>
        <rFont val="Arial"/>
        <color theme="1"/>
      </rPr>
      <t xml:space="preserve">
При необходимости постановки туберкулиновой пробы (пробы Манту) или Диаскинтеста, они должны быть проведены не ранее, чем через 4&amp;nbsp;недели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туберкулин).&lt;/p&gt;</t>
    </r>
  </si>
  <si>
    <t>Введение иммуноглобулинов совместно с вакциной М-М-Р II® может нарушить ожидаемый иммунный ответ. Вакцинацию следует отложить на 3 месяца или провести за 4 недели до введения иммуноглобулинов человека, а также переливания крови или плазмы.</t>
  </si>
  <si>
    <t>&lt;p&gt;Введение иммуноглобулинов совместно с вакциной М-М-Р&amp;nbsp;II® может нарушить ожидаемый иммунный ответ. Вакцинацию следует отложить на 3&amp;nbsp;месяца или провести за 4&amp;nbsp;недели до введения иммуноглобулинов человека, а также переливания крови или плазмы.&lt;/p&gt;</t>
  </si>
  <si>
    <t>https://grls.rosminzdrav.ru/InstrImg/2022/09/20/1485497/d454a4ed-f278-470c-9ca3-82a7d582e3aa.pdf</t>
  </si>
  <si>
    <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
Вакцину не следует смешивать с другими лекарственными препаратами в одном
шприце, так как исследования совместимости не проводились.</t>
  </si>
  <si>
    <t>&lt;p&gt;До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
&lt;p&gt;Вакцину не следует смешивать с другими лекарственными препаратами в одном
шприце, так как исследования совместимости не проводились.&lt;/p&gt;</t>
  </si>
  <si>
    <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могут снижать иммунный ответ на вакцинацию, но не приводят к повышению вероятности нежелательных явлений.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
Вакцину не следует смешивать с другими лекарственными препаратами в одном шприце, так как исследования совместимости не проводились.</t>
  </si>
  <si>
    <t>&lt;p&gt;До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
&lt;p&gt;Применение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могут снижать иммунный ответ на вакцинацию, но не приводят к повышению вероятности нежелательных явлений.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
&lt;p&gt;Вакцину не следует смешивать с другими лекарственными препаратами в одном шприце, так как исследования совместимости не проводились.&lt;/p&gt;</t>
  </si>
  <si>
    <r>
      <rPr>
        <rFont val="Arial"/>
        <color theme="1"/>
      </rPr>
      <t xml:space="preserve">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
</t>
    </r>
    <r>
      <rPr>
        <rFont val="Arial"/>
        <i/>
        <color theme="1"/>
      </rPr>
      <t>Совместное применение с общими иммуносупрессивными препаратами:</t>
    </r>
    <r>
      <rPr>
        <rFont val="Arial"/>
        <color theme="1"/>
      </rPr>
      <t xml:space="preserve">
У лиц, проходящих иммуносупрессивную терапию, иммунный ответ после вакцинации может быть снижен.
Вакцину не следует смешивать с другими лекарственными препаратами в одном шприце.</t>
    </r>
  </si>
  <si>
    <t>&lt;p&gt;До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препарата.&lt;br&gt;&lt;br&gt;
&lt;i&gt;Совместное применение с общими иммуносупрессивными препаратами:&lt;/i&gt;&lt;br&gt;
У лиц, проходящих иммуносупрессивную терапию, иммунный ответ после вакцинации может быть снижен.&lt;br&gt;&lt;br&gt;
Вакцину не следует смешивать с другими лекарственными препаратами в одном шприце.&lt;/p&gt;</t>
  </si>
  <si>
    <t>После введения препаратов иммуноглобулина человека прививки против паротита проводятся не ранее чем через 2 мес. После введения паротитной вакцины препараты иммуноглобулина можно вводить не ранее чем через 2 недели; в случае необходимости применения иммуноглобулина ранее этого срока вакцинацию против паротита следует повторить.
Вакцину не следует смешивать с другими лекарственными препаратами в одном шприце. Вакцину не следует восстанавливать другими лекарственными препаратами, кроме воды для инъекций.</t>
  </si>
  <si>
    <t>&lt;p&gt;После введения препаратов иммуноглобулина человека прививки против паротита проводятся не ранее чем через 2&amp;nbsp;мес. После введения паротитной вакцины препараты иммуноглобулина можно вводить не ранее чем через 2&amp;nbsp;недели; в случае необходимости применения иммуноглобулина ранее этого срока вакцинацию против паротита следует повторить.&lt;/p&gt;
&lt;p&gt;Вакцину не следует смешивать с другими лекарственными препаратами в одном шприце. Вакцину не следует восстанавливать другими лекарственными препаратами, кроме воды для инъекций.&lt;/p&gt;</t>
  </si>
  <si>
    <r>
      <rPr>
        <rFont val="Arial"/>
        <color theme="1"/>
      </rPr>
      <t xml:space="preserve">В связи с отсутствием исследований совместимости, данный лекарственный препарат не следует смешивать с другими лекарственными препаратами.
</t>
    </r>
    <r>
      <rPr>
        <rFont val="Arial"/>
        <i/>
        <color theme="1"/>
      </rPr>
      <t>Младенцы и дети в возрасте от 6 недель до 5 лет</t>
    </r>
    <r>
      <rPr>
        <rFont val="Arial"/>
        <color theme="1"/>
      </rPr>
      <t xml:space="preserve">
Данные пострегистрационного клинического исследования, оценивавшего влияние жаропонижающих средств (ибупрофена и парацетамола) при профилактическом приеме на иммунный ответ на препарат Превенар 13, позволяют предположить, что прием парацетамола при вакцинации или в день вакцинации может снижать иммунный ответ на Превенар 13 после серии иммунизаций в младенческом возрасте. Влияние на ответ на бустерную дозу, введенную в возрасте 12 месяцев, отсутствовало. Клиническая значимость этого наблюдения неизвестна.</t>
    </r>
  </si>
  <si>
    <r>
      <rPr>
        <rFont val="Arial"/>
        <color theme="1"/>
      </rPr>
      <t xml:space="preserve">&lt;p&gt;В связи с отсутствием исследований совместимости, данный лекарственный препарат не следует смешивать с другими лекарственными препаратами.&lt;/p&gt;
</t>
    </r>
    <r>
      <rPr>
        <rFont val="Arial"/>
        <i/>
        <color theme="1"/>
      </rPr>
      <t>&lt;p&gt;&lt;i&gt;Младенцы и дети в возрасте от 6&amp;nbsp;недель до 5&amp;nbsp;лет</t>
    </r>
    <r>
      <rPr>
        <rFont val="Arial"/>
        <color theme="1"/>
      </rPr>
      <t>&lt;/i&gt;&lt;br&gt;
Данные пострегистрационного клинического исследования, оценивавшего влияние жаропонижающих средств (ибупрофена и парацетамола) при профилактическом приеме на иммунный ответ на препарат Превенар&amp;nbsp;13, позволяют предположить, что прием парацетамола при вакцинации или в день вакцинации может снижать иммунный ответ на Превенар&amp;nbsp;13 после серии иммунизаций в младенческом возрасте. Влияние на ответ на бустерную дозу, введенную в возрасте 12&amp;nbsp;месяцев, отсутствовало. Клиническая значимость этого наблюдения неизвестна.&lt;/p&gt;</t>
    </r>
  </si>
  <si>
    <r>
      <rPr>
        <rFont val="Arial"/>
        <color theme="1"/>
      </rPr>
      <t xml:space="preserve">Не смешивать вакцину с другими препаратами в одном шприце!
</t>
    </r>
    <r>
      <rPr>
        <rFont val="Arial"/>
        <i/>
        <color theme="1"/>
      </rPr>
      <t>Применение с иммуносупрессивными препаратами системного действия.</t>
    </r>
    <r>
      <rPr>
        <rFont val="Arial"/>
        <color theme="1"/>
      </rPr>
      <t xml:space="preserve">
У пациентов, получающих иммуносупрессивную терапию, Синфлорикс (как и другие вакцины в аналогичном случае) может не вызвать адекватный иммунный ответ.
</t>
    </r>
    <r>
      <rPr>
        <rFont val="Arial"/>
        <i/>
        <color theme="1"/>
      </rPr>
      <t>Применение с жаропонижающими средствами</t>
    </r>
    <r>
      <rPr>
        <rFont val="Arial"/>
        <color theme="1"/>
      </rPr>
      <t xml:space="preserve">
Профилактическое применение парацетамола в качестве жаропонижающего средства может снизить иммунный ответ на введение пневмококковых вакцин. Клиническое значение этого наблюдения остается неизвестным.</t>
    </r>
  </si>
  <si>
    <r>
      <rPr>
        <rFont val="Arial"/>
        <color theme="1"/>
      </rPr>
      <t xml:space="preserve">&lt;p&gt;Не смешивать вакцину с другими препаратами в одном шприце!&lt;/p&gt;
</t>
    </r>
    <r>
      <rPr>
        <rFont val="Arial"/>
        <i/>
        <color theme="1"/>
      </rPr>
      <t>&lt;p&gt;&lt;i&gt;Применение с иммуносупрессивными препаратами системного действия.</t>
    </r>
    <r>
      <rPr>
        <rFont val="Arial"/>
        <color theme="1"/>
      </rPr>
      <t xml:space="preserve">&lt;/i&gt;&lt;br&gt;
У пациентов, получающих иммуносупрессивную терапию, Синфлорикс (как и другие вакцины в аналогичном случае) может не вызвать адекватный иммунный ответ.&lt;/p&gt;
</t>
    </r>
    <r>
      <rPr>
        <rFont val="Arial"/>
        <i/>
        <color theme="1"/>
      </rPr>
      <t>&lt;p&gt;&lt;i&gt;Применение с жаропонижающими средствами</t>
    </r>
    <r>
      <rPr>
        <rFont val="Arial"/>
        <color theme="1"/>
      </rPr>
      <t>&lt;/i&gt;&lt;br&gt;
Профилактическое применение парацетамола в качестве жаропонижающего средства может снизить иммунный ответ на введение пневмококковых вакцин. Клиническое значение этого наблюдения остается неизвестным.&lt;/p&gt;</t>
    </r>
  </si>
  <si>
    <t>Вакцину не следует смешивать с другими лекарственными препаратами, поскольку исследования совместимости не проводились.</t>
  </si>
  <si>
    <t>&lt;p&gt;Вакцину не следует смешивать с другими лекарственными препаратами, поскольку исследования совместимости не проводились.&lt;/p&gt;</t>
  </si>
  <si>
    <t>Иммуносупрессоры могут уменьшить иммунный ответ на вакцинацию пероральной полиомиелитной вакциной, способствовать размножению вакцинных вирусов и увеличить время выделения вакцинных вирусов с калом.</t>
  </si>
  <si>
    <t>&lt;p&gt;Иммуносупрессоры могут уменьшить иммунный ответ на вакцинацию пероральной полиомиелитной вакциной, способствовать размножению вакцинных вирусов и увеличить время выделения вакцинных вирусов с калом.&lt;/p&gt;</t>
  </si>
  <si>
    <t>Вакцину нельзя смешивать в одном шприце с другими лекарственными препаратами.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t>
  </si>
  <si>
    <t>&lt;p&gt;Вакцину нельзя смешивать в одном шприце с другими лекарственными препаратами.&lt;br&gt;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вакцинацию.&lt;br&gt;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t>
  </si>
  <si>
    <t>Во время курса лечебно-профилактической иммунизации назначение иммунодепрессантов и кортикостероидов осуществляется только по жизненным показаниям. 
Глюкокортикостероиды и иммунодепрессанты могут привести к неэффективности вакцинотерапии. Поэтому в случаях проведения вакцинации на фоне приема кортикостероидов и иммунодепрессантов определение титра вируснейтрализующих антител является обязательным. При отсутствии вируснейтрализующих антител проводится дополнительный курс введения вакцины по схеме 0, 7 и 30 дней.</t>
  </si>
  <si>
    <t>&lt;p&gt;Во время курса лечебно-профилактической иммунизации назначение иммунодепрессантов и кортикостероидов осуществляется только по жизненным показаниям. &lt;/p&gt;
&lt;p&gt;Глюкокортикостероиды и иммунодепрессанты могут привести к неэффективности вакцинотерапии. Поэтому в случаях проведения вакцинации на фоне приема кортикостероидов и иммунодепрессантов определение титра вируснейтрализующих антител является обязательным. При отсутствии вируснейтрализующих антител проводится дополнительный курс введения вакцины по схеме 0, 7 и 30&amp;nbsp;дней.&lt;/p&gt;</t>
  </si>
  <si>
    <t>Кортикостероиды и иммунодепрессанты могут привести к неудачам вакцинотерапии. Поэтому в случаях проведения вакцинации на фоне приема кортикостероидов и иммунодепрессантов, определение уровня вируснейтрализующих антител является обязательным. При отсутствии вируснейтрализующих антител или при уровне антител ниже защитного (0,5 МЕ/мл), необходим дополнительный курс введения вакцины по схеме 0, 7 и 30 дней.</t>
  </si>
  <si>
    <t>&lt;p&gt;Кортикостероиды и иммунодепрессанты могут привести к неудачам вакцинотерапии. Поэтому в случаях проведения вакцинации на фоне приема кортикостероидов и иммунодепрессантов, определение уровня вируснейтрализующих антител является обязательным. При отсутствии вируснейтрализующих антител или при уровне антител ниже защитного (0,5&amp;nbsp;МЕ/мл), необходим дополнительный курс введения вакцины по схеме 0, 7 и 30&amp;nbsp;дней.&lt;/p&gt;</t>
  </si>
  <si>
    <t>Во время курса лечебно-профилактической иммунизации назначение иммунодепрессантов и глюкокортикостероидов производится только по жизненным показаниям.</t>
  </si>
  <si>
    <t>&lt;p&gt;Во время курса лечебно-профилактической иммунизации назначение иммунодепрессантов и глюкокортикостероидов производится только по жизненным показаниям.&lt;/p&gt;</t>
  </si>
  <si>
    <t>https://grls.rosminzdrav.ru/InstrImg/2022/11/25/1488637/081df120-9112-42bd-a1fc-c7b9aa3e2987.pdf</t>
  </si>
  <si>
    <t>После введения препаратов крови человека (иммуноглобулин, плазма и др.) вакцину вводят не ранее, чем через 3 месяца. После введения вакцины против краснухи препараты крови можно вводить не ранее, чем через 2 недели; в случае необходимости применения иммуноглобулина ранее этого срока вакцинацию против краснухи следует повторить через 3 месяца. При наличии антител к вирусу краснухи в сыворотке крови повторную вакцинацию не проводят.
Туберкулиновые пробы рекомендуется проводить до или через 4-6 недель после введения вакцины против краснухи.
После назначения иммунодепрессантов и лучевой терапии вакцинацию проводят не ранее, чем через 12 месяцев после окончания лечения.
Вакцину не следует смешивать с другими лекарственными препаратами в одном шприце.</t>
  </si>
  <si>
    <t>&lt;p&gt;После введения препаратов крови человека (иммуноглобулин, плазма и др.) вакцину вводят не ранее, чем через 3&amp;nbsp;месяца. После введения вакцины против краснухи препараты крови можно вводить не ранее, чем через 2&amp;nbsp;недели; в случае необходимости применения иммуноглобулина ранее этого срока вакцинацию против краснухи следует повторить через 3&amp;nbsp;месяца. При наличии антител к вирусу краснухи в сыворотке крови повторную вакцинацию не проводят.&lt;br&gt;&lt;br&gt;
Туберкулиновые пробы рекомендуется проводить до или через 4-6&amp;nbsp;недель после введения вакцины против краснухи.&lt;br&gt;&lt;br&gt;
После назначения иммунодепрессантов и лучевой терапии вакцинацию проводят не ранее, чем через 12&amp;nbsp;месяцев после окончания лечения.&lt;br&gt;&lt;br&gt;
Вакцину не следует смешивать с другими лекарственными препаратами в одном шприце.&lt;/p&gt;</t>
  </si>
  <si>
    <t>После введения препаратов крови человека (иммуноглобулины, плазма и др.) вакцину против краснухи следует применять не ранее чем через 3 мес. После иммунизации вакциной против краснухи препараты крови следует вводить не ранее чем через 2 недели. В случае необходимости их применения ранее этого срока вакцинацию против краснухи следует повторить через 3 мес.
Туберкулиновые пробы рекомендуется проводить до или через 4-6 недель после введения вакцины против краснухи.</t>
  </si>
  <si>
    <t>&lt;p&gt;После введения препаратов крови человека (иммуноглобулины, плазма и др.) вакцину против краснухи следует применять не ранее чем через 3&amp;nbsp;мес. После иммунизации вакциной против краснухи препараты крови следует вводить не ранее чем через 2&amp;nbsp;недели. В случае необходимости их применения ранее этого срока вакцинацию против краснухи следует повторить через 3&amp;nbsp;мес.&lt;/p&gt;
&lt;p&gt;Туберкулиновые пробы рекомендуется проводить до или через 4-6&amp;nbsp;недель после введения вакцины против краснухи.&lt;/p&gt;</t>
  </si>
  <si>
    <t>АС-анатоксин можно вводить в любые сроки до или после введения иммуноглобулина.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
Поддерживающая курсовая терапия, в том числе психофармацевтическими препаратами, не является противопоказанием к плановой вакцинации, которую проводят через 12 мес. после окончания лечения.</t>
  </si>
  <si>
    <t>&lt;p&gt;AC-анатоксин можно вводить в любые сроки до или после введения иммуноглобулина.&lt;br&gt;&lt;br&gt;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прививке.&lt;br&gt;&lt;br&gt;
Поддерживающая курсовая терапия, в том числе психофармацевтическими препаратами, не является противопоказанием к плановой вакцинации, которую проводят через 12&amp;nbsp;мес. после окончания лечения.&lt;/p&gt;</t>
  </si>
  <si>
    <t>Взаимодействия с другими лекарственными средствами не установлено.</t>
  </si>
  <si>
    <t>&lt;p&gt;Взаимодействия с другими лекарственными средствами не установлено.&lt;/p&gt;</t>
  </si>
  <si>
    <t>Применение с иммуноглобулином человека.
В случае профилактики гепатита А после контакта с возбудителем заболевания либо при необходимости быстрой и долговременной профилактики, например, у лиц, срочно выезжающих в эндемичные районы, вакцина ВАКТА® может вводиться одновременно с иммуноглобулином (дозу иммуноглобулина следует уточнить в инструкции по применению компании-производителя) отдельными шприцами в разные участки тела.</t>
  </si>
  <si>
    <t>&lt;p&gt;Применение с иммуноглобулином человека.&lt;br&gt;
В случае профилактики гепатита А после контакта с возбудителем заболевания либо при необходимости быстрой и долговременной профилактики, например, у лиц, срочно выезжающих в эндемичные районы, вакцина ВАКТА® может вводиться одновременно с иммуноглобулином (дозу иммуноглобулина следует уточнить в инструкции по применению компании-производителя) отдельными шприцами в разные участки тела.&lt;/p&gt;</t>
  </si>
  <si>
    <t>Клинические исследования взаимодействия с другими лекарственными средствами не проводились.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могут снижать иммунный ответ на вакцинацию, но не приводят к повышению вероятности нежелательных явлений.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
После введения иммуноглобулина против клещевого энцефалита иммунизацию против клещевого энцефалита следует проводить не ранее, чем 4 недели.</t>
  </si>
  <si>
    <t>&lt;p&gt;Клинические исследования взаимодействия с другими лекарственными средствами не проводились.&lt;br&gt;&lt;br&gt;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могут снижать иммунный ответ на вакцинацию, но не приводят к повышению вероятности нежелательных явлений.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лечения.&lt;br&gt;&lt;br&gt;
После введения иммуноглобулина против клещевого энцефалита иммунизацию против клещевого энцефалита следует проводить не ранее, чем 4&amp;nbsp;недели.&lt;/p&gt;</t>
  </si>
  <si>
    <t>Специальные исследования лекарственных взаимодействий с препаратом ЭнцеВир не проводились.
После введения иммуноглобулина против клещевого энцефалита иммунизацию следует проводить не ранее чем через 4 недели.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t>
  </si>
  <si>
    <t>&lt;p&gt;Специальные исследования лекарственных взаимодействий с препаратом ЭнцеВир не проводились.&lt;br&gt;&lt;br&gt;
После введения иммуноглобулина против клещевого энцефалита иммунизацию следует проводить не ранее чем через 4&amp;nbsp;недели.&lt;br&gt;&lt;br&gt;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t>
  </si>
  <si>
    <t>Специальные исследования лекарственных взаимодействий с препаратом ЭнцеВир Нео детский не проводились.
После введения иммуноглобулина против клещевого энцефалита иммунизацию следует проводить не ранее, чем через 4 недели.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t>
  </si>
  <si>
    <t>&lt;p&gt;Специальные исследования лекарственных взаимодействий с препаратом ЭнцеВир Нео детский не проводились.&lt;br&gt;&lt;br&gt;
После введения иммуноглобулина против клещевого энцефалита иммунизацию следует проводить не ранее, чем через 4&amp;nbsp;недели.&lt;br&gt;&lt;br&gt;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t>
  </si>
  <si>
    <r>
      <rPr>
        <rFont val="Arial"/>
        <color theme="1"/>
      </rPr>
      <t xml:space="preserve">В связи с отсутствием исследований совместимости, вакцину Варилрикс не следует смешивать с другими лекарственными препаратами.
</t>
    </r>
    <r>
      <rPr>
        <rFont val="Arial"/>
        <i/>
        <color theme="1"/>
      </rPr>
      <t>Туберкулинодиагностика</t>
    </r>
    <r>
      <rPr>
        <rFont val="Arial"/>
        <color theme="1"/>
      </rPr>
      <t xml:space="preserve">
При необходимости постановки туберкулиновой пробы она должна быть проведена до вакцинации, поскольку по имеющимся данным живые вирусные вакцины могут вызывать временное снижение чувствительности кожи к туберкулину. В связи с тем, что подобное снижение чувствительности может сохраняться до 6 недель, не следует осуществлять туберкулинодиагностику в течение указанного периода времени после вакцинации во избежание получения ложноотрицательных результатов.
</t>
    </r>
    <r>
      <rPr>
        <rFont val="Arial"/>
        <i/>
        <color theme="1"/>
      </rPr>
      <t>Иммуноглобулины и переливание крови</t>
    </r>
    <r>
      <rPr>
        <rFont val="Arial"/>
        <color theme="1"/>
      </rPr>
      <t xml:space="preserve">
Лицам, получившим иммуноглобулины или перенесшим переливание крови, вакцинацию следует отложить не менее чем на 3 месяца по причине возможной неэффективности вакцинации вследствие пассивно приобретенных антител.
</t>
    </r>
    <r>
      <rPr>
        <rFont val="Arial"/>
        <i/>
        <color theme="1"/>
      </rPr>
      <t>Салицилаты</t>
    </r>
    <r>
      <rPr>
        <rFont val="Arial"/>
        <color theme="1"/>
      </rPr>
      <t xml:space="preserve">
В течение 6 недель после каждой вакцинации следует избегать применения производных салициловой кислоты, поскольку имеются сообщения о развитии синдрома Рейе при использовании производных салициловой кислоты на фоне инфекции, вызванной диким штаммом вируса ветряной оспы.</t>
    </r>
  </si>
  <si>
    <r>
      <rPr>
        <rFont val="Arial"/>
        <color theme="1"/>
      </rPr>
      <t xml:space="preserve">&lt;p&gt;В связи с отсутствием исследований совместимости, вакцину Варилрикс не следует смешивать с другими лекарственными препаратами.&lt;/p&gt;
</t>
    </r>
    <r>
      <rPr>
        <rFont val="Arial"/>
        <i/>
        <color theme="1"/>
      </rPr>
      <t>&lt;p&gt;&lt;i&gt;Туберкулинодиагностика</t>
    </r>
    <r>
      <rPr>
        <rFont val="Arial"/>
        <color theme="1"/>
      </rPr>
      <t xml:space="preserve">&lt;/i&gt;&lt;br&gt;
При необходимости постановки туберкулиновой пробы она должна быть проведена до вакцинации, поскольку по имеющимся данным живые вирусные вакцины могут вызывать временное снижение чувствительности кожи к туберкулину. В связи с тем, что подобное снижение чувствительности может сохраняться до 6&amp;nbsp;недель, не следует осуществлять туберкулинодиагностику в течение указанного периода времени после вакцинации во избежание получения ложноотрицательных результатов.&lt;/p&gt;
</t>
    </r>
    <r>
      <rPr>
        <rFont val="Arial"/>
        <i/>
        <color theme="1"/>
      </rPr>
      <t>&lt;p&gt;&lt;i&gt;Иммуноглобулины и переливание крови</t>
    </r>
    <r>
      <rPr>
        <rFont val="Arial"/>
        <color theme="1"/>
      </rPr>
      <t xml:space="preserve">&lt;/i&gt;&lt;br&gt;
Лицам, получившим иммуноглобулины или перенесшим переливание крови, вакцинацию следует отложить не менее чем на 3&amp;nbsp;месяца по причине возможной неэффективности вакцинации вследствие пассивно приобретенных антител.&lt;/p&gt;
</t>
    </r>
    <r>
      <rPr>
        <rFont val="Arial"/>
        <i/>
        <color theme="1"/>
      </rPr>
      <t>&lt;p&gt;&lt;i&gt;Салицилаты</t>
    </r>
    <r>
      <rPr>
        <rFont val="Arial"/>
        <color theme="1"/>
      </rPr>
      <t>&lt;/i&gt;&lt;br&gt;
В течение 6&amp;nbsp;недель после каждой вакцинации следует избегать применения производных салициловой кислоты, поскольку имеются сообщения о развитии синдрома Рейе при использовании производных салициловой кислоты на фоне инфекции, вызванной диким штаммом вируса ветряной оспы.&lt;/p&gt;</t>
    </r>
  </si>
  <si>
    <t>https://grls.rosminzdrav.ru/InstrImg/2024/01/11/1500686/a4e8c4ef-1a75-4265-b493-987635facdbe.pdf</t>
  </si>
  <si>
    <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
Вакцину не следует смешивать с другими лекарственными препаратами в одном шприце, так как исследования совместимости не проводились.</t>
  </si>
  <si>
    <t>&lt;p&gt;До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препарата.&lt;br&gt;
Вакцину не следует смешивать с другими лекарственными препаратами в одном шприце, так как исследования совместимости не проводились.&lt;/p&gt;</t>
  </si>
  <si>
    <t>Допускается одновременное введение вакцины ВЧMM с доксициклином в дозе до 200 мг в сутки. Взаимодействие с другими лекарственными средствами не изучалось.</t>
  </si>
  <si>
    <t>&lt;p&gt;Допускается одновременное введение вакцины ВЧMM с доксициклином в дозе до 200&amp;nbsp;мг в сутки. Взаимодействие с другими лекарственными средствами не изучалось.&lt;/p&gt;</t>
  </si>
  <si>
    <t>Не допускается введение вакцины чумной живой в сочетании с применением антибиотиков стрептомицинового, тетрациклинового ряда и сульфаниламидов в терапевтических дозах одновременно и ранее, чем через 14 дней после вакцинации.</t>
  </si>
  <si>
    <t>&lt;p&gt;Не допускается введение вакцины чумной живой в сочетании с применением антибиотиков стрептомицинового, тетрациклинового ряда и сульфаниламидов в терапевтических дозах одновременно и ранее, чем через 14&amp;nbsp;дней после вакцинации.&lt;/p&gt;</t>
  </si>
  <si>
    <t>Вакцина чувствительна к антибиотикам, в связи с чем иммунизация на фоне применения антибиотиков, не допускается.</t>
  </si>
  <si>
    <t>&lt;p&gt;Вакцина чувствительна к антибиотикам, в связи с чем иммунизация на фоне применения антибиотиков, не допускается.&lt;/p&gt;</t>
  </si>
  <si>
    <t>Не допускается применение антибиотиков стрептомицинового, тетрациклинового ряда и сульфаниламидов в терапевтических дозах одновременно с введением вакцины чумной живой и в течение 14 дней после иммунизации.</t>
  </si>
  <si>
    <t>&lt;p&gt;Не допускается применение антибиотиков стрептомицинового, тетрациклинового ряда и сульфаниламидов в терапевтических дозах одновременно с введением вакцины чумной живой и в течение 14&amp;nbsp;дней после иммунизации.&lt;/p&gt;</t>
  </si>
  <si>
    <t xml:space="preserve">Допустимо использование вакцины одновременно с проведением курса антибиотикотерапии. </t>
  </si>
  <si>
    <t>&lt;p&gt;Допустимо использование вакцины одновременно с проведением курса антибиотикотерапии.&lt;/p&gt;</t>
  </si>
  <si>
    <t>До проведения вакцинации врач (фельдшер)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t>
  </si>
  <si>
    <t>&lt;p&gt;До проведения вакцинации врач (фельдшер)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t>
  </si>
  <si>
    <t>Вакцина чувствительна к антибиотикам, в связи с чем иммунизация на фоне приема антибиотиков не допускается.</t>
  </si>
  <si>
    <t>&lt;p&gt;Вакцина чувствительна к антибиотикам, в связи с чем иммунизация на фоне приема антибиотиков не допускается.&lt;/p.</t>
  </si>
  <si>
    <t>Вакцина чувствительна к антибиотикам, в связи с чем иммунизация на фоне применения антибиотиков не допускается.</t>
  </si>
  <si>
    <t>&lt;p&gt;Вакцина чувствительна к антибиотикам, в связи с чем иммунизация на фоне применения антибиотиков не допускается.&lt;/p&gt;</t>
  </si>
  <si>
    <t>Во время курса постэкспозиционной вакцинации рекомендуется воздерживаться от одновременного приема иммуносупрессивных препаратов и противомалярийных лекарственных средств.
У пациентов, получающих иммуносупрессивную терапию, а также у лиц с первичными или вторичными иммунодефицитами вакцинация может быть недостаточно эффективной для выработки необходимого иммунного ответа.
Антирабический иммуноглобулин должен применяться в строго установленных количествах. Не следует превышать или уменьшать дозу, равно как и вводить ее повторно в связи с опасностью снизить эффективность одновременно проводимой вакцинации.</t>
  </si>
  <si>
    <t>&lt;p&gt;Во время курса постэкспозиционной вакцинации рекомендуется воздерживаться от одновременного приема иммуносупрессивных препаратов и противомалярийных лекарственных средств.&lt;br&gt;
У пациентов, получающих иммуносупрессивную терапию, а также у лиц с первичными или вторичными иммунодефицитами вакцинация может быть недостаточно эффективной для выработки необходимого иммунного ответа.&lt;br&gt;
Антирабический иммуноглобулин должен применяться в строго установленных количествах. Не следует превышать или уменьшать дозу, равно как и вводить ее повторно в связи с опасностью снизить эффективность одновременно проводимой вакцинации.&lt;/p&gt;</t>
  </si>
  <si>
    <t>Взаимодействие с другими лекарственными средствами не установлено.</t>
  </si>
  <si>
    <t>&lt;p&gt;Взаимодействие с другими лекарственными средствами не установлено.&lt;/p.</t>
  </si>
  <si>
    <t>При отсутствии результатов исследований совместимости вакцину не следует смешивать с другими лекарственными препаратами.</t>
  </si>
  <si>
    <t>&lt;p&gt;При отсутствии результатов исследований совместимости вакцину не следует смешивать с другими лекарственными препаратами.&lt;/p&gt;</t>
  </si>
  <si>
    <t>Не изучалось.
Ввиду отсутствия данных исследований совместимости, вакцину КовиВак (Вакцина коронавирусная инактивированная цельновирионная концентрированная очищенная) нельзя смешивать с другими лекарственными средствами в одном шприце.</t>
  </si>
  <si>
    <t>&lt;p&gt;Не изучалось.&lt;br&gt;
Ввиду отсутствия данных исследований совместимости, вакцину КовиВак (Вакцина коронавирусная инактивированная цельновирионная концентрированная очищенная) нельзя смешивать с другими лекарственными средствами в одном шприце.&lt;/p&gt;</t>
  </si>
  <si>
    <t>Специальных исследований лекарственных взаимодействий не проводилось.
В связи с отсутствием исследований по совместимости, данный лекарственный препарат не следует смешивать с другими лекарственными препаратами в одном шприце.</t>
  </si>
  <si>
    <t>&lt;p&gt;Специальных исследований лекарственных взаимодействий не проводилось.&lt;br&gt;
В связи с отсутствием исследований по совместимости, данный лекарственный препарат не следует смешивать с другими лекарственными препаратами в одном шприце.&lt;/p&gt;</t>
  </si>
  <si>
    <t>Не изучалось. Ввиду отсутствия данных исследований совместимости, вакцину Гам-КОВИД-Вак-М (Комбинированная векторная вакцина для профилактики коронавирусной инфекции, вызываемой вирусом SARS-CoV-2) нельзя смешивать с другими лекарственными средствами в одном шприце.</t>
  </si>
  <si>
    <t>&lt;p&gt;Не изучалось. Ввиду отсутствия данных исследований совместимости, вакцину Гам-КОВИД-Вак-М (Комбинированная векторная вакцина для профилактики коронавирусной инфекции, вызываемой вирусом SARS-CoV-2) нельзя смешивать с другими лекарственными средствами в одном шприце.&lt;/p&gt;</t>
  </si>
  <si>
    <t>Специальных исследований лекарственных взаимодействий не проводилось.</t>
  </si>
  <si>
    <t>&lt;p&gt;Специальных исследований лекарственных взаимодействий не проводилось.&lt;/p&gt;</t>
  </si>
  <si>
    <t>Не изучалось.</t>
  </si>
  <si>
    <t>&lt;p&gt;Не изучалось.&lt;/p&gt;</t>
  </si>
  <si>
    <r>
      <rPr>
        <rFont val="Arial"/>
        <i/>
        <color theme="1"/>
      </rPr>
      <t>Совместное применение с распространенными препаратами</t>
    </r>
    <r>
      <rPr>
        <rFont val="Arial"/>
        <color theme="1"/>
      </rPr>
      <t xml:space="preserve">
Исследования взаимодействия вакцины Рота-V-Эйд с другими лекарственными средствами у детей не проводились.
</t>
    </r>
    <r>
      <rPr>
        <rFont val="Arial"/>
        <i/>
        <color theme="1"/>
      </rPr>
      <t>Совместное применение с системными иммунодепрессантами</t>
    </r>
    <r>
      <rPr>
        <rFont val="Arial"/>
        <color theme="1"/>
      </rPr>
      <t xml:space="preserve">
Данные об одновременном применении системных иммунодепрессантов и вакцины Рота-V-Эйд отсутствуют. Иммуносупрессивная терапия, включая облучение, антиметаболиты, алкилирующие средства, цитотоксические средства и кортикостероиды (используемые в дозах больших, чем минимальные), могут снижать иммунный ответ на вакцинацию.</t>
    </r>
  </si>
  <si>
    <r>
      <rPr>
        <rFont val="Arial"/>
        <i/>
        <color theme="1"/>
      </rPr>
      <t>&lt;p&gt;&lt;i&gt;Совместное применение с распространенными препаратами</t>
    </r>
    <r>
      <rPr>
        <rFont val="Arial"/>
        <color theme="1"/>
      </rPr>
      <t xml:space="preserve">&lt;/i&gt;&lt;br&gt;
Исследования взаимодействия вакцины Рота-V-Эйд с другими лекарственными средствами у детей не проводились.&lt;br&gt;&lt;br&gt;
</t>
    </r>
    <r>
      <rPr>
        <rFont val="Arial"/>
        <i/>
        <color theme="1"/>
      </rPr>
      <t>&lt;i&gt;Совместное применение с системными иммунодепрессантами&lt;/i&gt;&lt;br&gt;</t>
    </r>
    <r>
      <rPr>
        <rFont val="Arial"/>
        <color theme="1"/>
      </rPr>
      <t xml:space="preserve">
Данные об одновременном применении системных иммунодепрессантов и вакцины Рота-V-Эйд отсутствуют. Иммуносупрессивная терапия, включая облучение, антиметаболиты, алкилирующие средства, цитотоксические средства и кортикостероиды (используемые в дозах больших, чем минимальные), могут снижать иммунный ответ на вакцинацию.&lt;/p&gt;</t>
    </r>
  </si>
  <si>
    <r>
      <rPr>
        <rFont val="Arial"/>
        <i/>
        <color theme="1"/>
      </rPr>
      <t>Туберкулинодиагностика</t>
    </r>
    <r>
      <rPr>
        <rFont val="Arial"/>
        <color theme="1"/>
      </rPr>
      <t xml:space="preserve">
При необходимости постановки туберкулиновой пробы она должна быть проведена до или одновременно с вакцинацией, поскольку по имеющимся данным комбинированные вакцины для профилактики кори, краснухи и паротита могут вызывать временное снижение чувствительности кожи к туберкулину. В связи с тем, что подобное снижение чувствительности может сохраняться до 6 недель, не следует осуществлять туберкулинодиагностику в течение указанного периода времени после вакцинации во избежание получения ложноотрицательных результатов.
</t>
    </r>
    <r>
      <rPr>
        <rFont val="Arial"/>
        <i/>
        <color theme="1"/>
      </rPr>
      <t>Гамма-глобулины и переливание крови</t>
    </r>
    <r>
      <rPr>
        <rFont val="Arial"/>
        <color theme="1"/>
      </rPr>
      <t xml:space="preserve">
Лицам, получившим гамма-глобулин человека или перенесшим переливание крови, вакцинацию следует отложить не менее чем на 3 месяца по причине возможной неэффективности вакцинации вследствие пассивно приобретенных антител.
</t>
    </r>
    <r>
      <rPr>
        <rFont val="Arial"/>
        <i/>
        <color theme="1"/>
      </rPr>
      <t>Салицилаты</t>
    </r>
    <r>
      <rPr>
        <rFont val="Arial"/>
        <color theme="1"/>
      </rPr>
      <t xml:space="preserve">
В течение 6 недель после каждой вакцинации следует избегать применения производных салициловой кислоты, поскольку имеются сообщения о развитии синдрома Рейе при использовании производных салициловой кислоты на фоне инфекции, вызванной диким штаммом вируса ветряной оспы.</t>
    </r>
  </si>
  <si>
    <r>
      <rPr>
        <rFont val="Arial"/>
        <i/>
        <color theme="1"/>
      </rPr>
      <t>&lt;p&gt;&lt;i&gt;Туберкулинодиагностика</t>
    </r>
    <r>
      <rPr>
        <rFont val="Arial"/>
        <color theme="1"/>
      </rPr>
      <t xml:space="preserve">&lt;/i&gt;&lt;br&gt;
При необходимости постановки туберкулиновой пробы она должна быть проведена до или одновременно с вакцинацией, поскольку по имеющимся данным комбинированные вакцины для профилактики кори, краснухи и паротита могут вызывать временное снижение чувствительности кожи к туберкулину. В связи с тем, что подобное снижение чувствительности может сохраняться до 6&amp;nbsp;недель, не следует осуществлять туберкулинодиагностику в течение указанного периода времени после вакцинации во избежание получения ложноотрицательных результатов.&lt;br&gt;&lt;br&gt;
</t>
    </r>
    <r>
      <rPr>
        <rFont val="Arial"/>
        <i/>
        <color theme="1"/>
      </rPr>
      <t>&lt;i&gt;Гамма-глобулины и переливание крови</t>
    </r>
    <r>
      <rPr>
        <rFont val="Arial"/>
        <color theme="1"/>
      </rPr>
      <t xml:space="preserve">&lt;/i&gt;&lt;br&gt;
Лицам, получившим гамма-глобулин человека или перенесшим переливание крови, вакцинацию следует отложить не менее чем на 3&amp;nbsp;месяца по причине возможной неэффективности вакцинации вследствие пассивно приобретенных антител.&lt;br&gt;&lt;br&gt;
</t>
    </r>
    <r>
      <rPr>
        <rFont val="Arial"/>
        <i/>
        <color theme="1"/>
      </rPr>
      <t>&lt;i&gt;Салицилаты</t>
    </r>
    <r>
      <rPr>
        <rFont val="Arial"/>
        <color theme="1"/>
      </rPr>
      <t>&lt;/i&gt;&lt;br&gt;
В течение 6&amp;nbsp;недель после каждой вакцинации следует избегать применения производных салициловой кислоты, поскольку имеются сообщения о развитии синдрома Рейе при использовании производных салициловой кислоты на фоне инфекции, вызванной диким штаммом вируса ветряной оспы.&lt;/p&gt;</t>
    </r>
  </si>
  <si>
    <t>Если вакцинируемый получает иммунодепрессанты, иммунный ответ может быть снижен.</t>
  </si>
  <si>
    <t>&lt;p&gt;Если вакцинируемый получает иммунодепрессанты, иммунный ответ может быть снижен.&lt;/p&gt;</t>
  </si>
  <si>
    <t>https://grls.rosminzdrav.ru/InstrImg/2023/04/13/1492490/163b41fd-d4cb-4d41-b651-49a0c6b9110f.pdf</t>
  </si>
  <si>
    <r>
      <rPr>
        <rFont val="Arial"/>
        <color theme="1"/>
      </rPr>
      <t xml:space="preserve">Исследований лекарственного взаимодействия с вакциной ВаксигрипТетра не проводилось.
У лиц, проходящих иммуносупрессивную терапию, иммунный ответ после вакцинации может быть снижен.
</t>
    </r>
    <r>
      <rPr>
        <rFont val="Arial"/>
        <i/>
        <color theme="1"/>
      </rPr>
      <t>Влияние на лабораторное и диагностическое тестирование</t>
    </r>
    <r>
      <rPr>
        <rFont val="Arial"/>
        <color theme="1"/>
      </rPr>
      <t xml:space="preserve">
После вакцинации против гриппа наблюдались ложноположительные результаты серологических исследований с использованием метода ИФА для выявления антител к ВИЧ-1, гепатиту С и особенно Т-лимфотропному вирусу человека I типа (HTLV1). Для опровержения ложноположительного результата ИФА может быть использован метод Вестерн-блоттинга. Транзиторные ложноположительные результаты при использовании метода ИФА могут быть обусловлены IgM-ответом, вызванным вакциной.
В отсутствие результатов исследований совместимости вакцину не следует смешивать с другими лекарственными препаратами в одном шприце.</t>
    </r>
  </si>
  <si>
    <r>
      <rPr>
        <rFont val="Arial"/>
        <color theme="1"/>
      </rPr>
      <t xml:space="preserve">&lt;p&gt;Исследований лекарственного взаимодействия с вакциной ВаксигрипТетра не проводилось.&lt;br&gt;&lt;br&gt;
У лиц, проходящих иммуносупрессивную терапию, иммунный ответ после вакцинации может быть снижен.&lt;br&gt;&lt;br&gt;
</t>
    </r>
    <r>
      <rPr>
        <rFont val="Arial"/>
        <i/>
        <color theme="1"/>
      </rPr>
      <t>&lt;i&gt;Влияние на лабораторное и диагностическое тестирование</t>
    </r>
    <r>
      <rPr>
        <rFont val="Arial"/>
        <color theme="1"/>
      </rPr>
      <t>&lt;/i&gt;&lt;br&gt;
После вакцинации против гриппа наблюдались ложноположительные результаты серологических исследований с использованием метода ИФА для выявления антител к ВИЧ-1, гепатиту С и особенно Т-лимфотропному вирусу человека I&amp;nbsp;типа (HTLV1). Для опровержения ложноположительного результата ИФА может быть использован метод Вестерн-блоттинга. Транзиторные ложноположительные результаты при использовании метода ИФА могут быть обусловлены IgM-ответом, вызванным вакциной.&lt;br&gt;&lt;br&gt;
В отсутствие результатов исследований совместимости вакцину не следует смешивать с другими лекарственными препаратами в одном шприце.&lt;/p&gt;</t>
    </r>
  </si>
  <si>
    <r>
      <rPr>
        <rFont val="Arial"/>
        <i/>
        <color theme="1"/>
      </rPr>
      <t>Переливание компонентов крови и ведение иммуноглобулинов</t>
    </r>
    <r>
      <rPr>
        <rFont val="Arial"/>
        <color theme="1"/>
      </rPr>
      <t xml:space="preserve">
Вакцина может быть неэффективной у пациентов, получающих переливания компонентов крови или препараты иммуноглобулина, поскольку вакцинный вирус может быть нейтрализован антителами к вирусу </t>
    </r>
    <r>
      <rPr>
        <rFont val="Arial"/>
        <i/>
        <color theme="1"/>
      </rPr>
      <t>Varicella Zoster</t>
    </r>
    <r>
      <rPr>
        <rFont val="Arial"/>
        <color theme="1"/>
      </rPr>
      <t>. Вакцинация таких пациентов должна быть отложена на срок не менее 3 мес с момента последнего получения иммуноглобулина или компонентов крови.
У пациентов, получающих высокодозную терапию иммуноглобулинами (200 мг/кг и более), например, при идиопатической тромбоцитопенической пурпуре или болезни Кавасаки, вакцинация должна быть отложена на срок не менее 6 мес с момента окончания иммуноглобулиновой терапии.
Если в течение 14 дней после введения Окавакса был введен иммуноглобулин человека, вакцинация может оказаться неэффективной. Такие пациенты должны быть привиты повторно не ранее чем через 3 мес после предшествовавшей вакцинации.</t>
    </r>
  </si>
  <si>
    <r>
      <rPr>
        <rFont val="Arial"/>
        <color theme="1"/>
      </rPr>
      <t>&lt;p&gt;&lt;i&gt;</t>
    </r>
    <r>
      <rPr>
        <rFont val="Arial"/>
        <i/>
        <color theme="1"/>
      </rPr>
      <t>Переливание компонентов крови и ведение иммуноглобулинов&lt;/i&gt;</t>
    </r>
    <r>
      <rPr>
        <rFont val="Arial"/>
        <color theme="1"/>
      </rPr>
      <t xml:space="preserve">&lt;br&gt;
Вакцина может быть неэффективной у пациентов, получающих переливания компонентов крови или препараты иммуноглобулина, поскольку вакцинный вирус может быть нейтрализован антителами к вирусу </t>
    </r>
    <r>
      <rPr>
        <rFont val="Arial"/>
        <i/>
        <color theme="1"/>
      </rPr>
      <t>&lt;i&gt;Varicella Zoster&lt;/i&gt;</t>
    </r>
    <r>
      <rPr>
        <rFont val="Arial"/>
        <color theme="1"/>
      </rPr>
      <t>. Вакцинация таких пациентов должна быть отложена на срок не менее 3&amp;nbsp;мес с момента последнего получения иммуноглобулина или компонентов крови.&lt;br&gt;
У пациентов, получающих высокодозную терапию иммуноглобулинами (200&amp;nbsp;мг/кг и более), например, при идиопатической тромбоцитопенической пурпуре или болезни Кавасаки, вакцинация должна быть отложена на срок не менее 6&amp;nbsp;мес с момента окончания иммуноглобулиновой терапии.&lt;br&gt;
Если в течение 14&amp;nbsp;дней после введения Окавакса был введен иммуноглобулин человека, вакцинация может оказаться неэффективной. Такие пациенты должны быть привиты повторно не ранее чем через 3&amp;nbsp;мес после предшествовавшей вакцинации.&lt;/p&gt;</t>
    </r>
  </si>
  <si>
    <t>Пациент должен быть проинформирован о необходимости сообщить врачу о любом лечении, предшествующем вакцинации или совпадающем по времени с вакцинацией.</t>
  </si>
  <si>
    <t>&lt;p&gt;Пациент должен быть проинформирован о необходимости сообщить врачу о любом лечении, предшествующем вакцинации или совпадающем по времени с вакцинацией.&lt;/p&gt;</t>
  </si>
  <si>
    <t>ВАРИВАКС нельзя смешивать с какой-либо другой вакциной или другим лекарственным препаратом в одном шприце. Другие инъекционные вакцины или другие лекарственные препараты должны вводиться в виде отдельных инъекций в разные участки тела.
Вакцинацию следует отложить, по крайней мере, на 5 месяцев после переливания крови или плазмы, или введения нормального иммуноглобулина человека или иммуноглобулина против вируса ветряной оспы (VZIG).
Введение препаратов крови, содержащих антитела к вирусу ветряной оспы, включая VZIG или другие препараты иммуноглобулинов, в течение 1 месяца после введения дозы препарата ВАРИВАКС может снизить иммунный ответ на вакцинацию и, следовательно, снизить ее защитную эффективность. Поэтому следует избегать введения любого из этих препаратов в течение 1 месяца после введения препарата ВАРИВАКС, за исключением случаев введения таких препаратов по медицинским показаниям.
Вакцинированным лицам следует избегать применения салицилатов в течение 6 недель после вакцинации препаратом ВАРИВАКС, поскольку были зарегистрированы случаи развития синдрома Рейе при применении салицилатов на фоне инфекции, вызванной диким типом вируса ветряной оспы.</t>
  </si>
  <si>
    <t>&lt;p&gt;ВАРИВАКС нельзя смешивать с какой-либо другой вакциной или другим лекарственным препаратом в одном шприце. Другие инъекционные вакцины или другие лекарственные препараты должны вводиться в виде отдельных инъекций в разные участки тела.&lt;br&gt;&lt;br&gt;
Вакцинацию следует отложить, по крайней мере, на 5&amp;nbsp;месяцев после переливания крови или плазмы, или введения нормального иммуноглобулина человека или иммуноглобулина против вируса ветряной оспы (VZIG).&lt;br&gt;
Введение препаратов крови, содержащих антитела к вирусу ветряной оспы, включая VZIG или другие препараты иммуноглобулинов, в течение 1&amp;nbsp;месяца после введения дозы препарата ВАРИВАКС может снизить иммунный ответ на вакцинацию и, следовательно, снизить ее защитную эффективность. Поэтому следует избегать введения любого из этих препаратов в течение 1&amp;nbsp;месяца после введения препарата ВАРИВАКС, за исключением случаев введения таких препаратов по медицинским показаниям.&lt;br&gt;&lt;br&gt;
Вакцинированным лицам следует избегать применения салицилатов в течение 6&amp;nbsp;недель после вакцинации препаратом ВАРИВАКС, поскольку были зарегистрированы случаи развития синдрома Рейе при применении салицилатов на фоне инфекции, вызванной диким типом вируса ветряной оспы.&lt;/p&gt;</t>
  </si>
  <si>
    <t>Вакцину не следует смешивать с другими лекарственными препаратами в одном шприце.</t>
  </si>
  <si>
    <t>&lt;p&gt;Вакцину не следует смешивать с другими лекарственными препаратами в одном шприце.&lt;/p&gt;</t>
  </si>
  <si>
    <t>При необходимости постановки туберкулиновой пробы она должна быть проведена до или одновременно с вакцинацией, поскольку по имеющимся данным живые вакцины могут вызывать временное снижение чувствительности кожи к туберкулину. В связи с тем, что подобное снижение чувствительности может сохраняться от 4 до 6 недель, не следует проводить туберкулинодиагностику в течение указанного периода времени после вакцинации во избежание получения ложноотрицательных результатов.
Лицам, получившим гамма-глобулин человека или перенесшим переливание крови, вакцинацию следует отложить не менее чем на 3 месяца по причине возможной неэффективности вакцинации вследствие пассивно приобретенных антител.</t>
  </si>
  <si>
    <t>&lt;p&gt;При необходимости постановки туберкулиновой пробы она должна быть проведена до или одновременно с вакцинацией, поскольку по имеющимся данным живые вакцины могут вызывать временное снижение чувствительности кожи к туберкулину. В связи с тем, что подобное снижение чувствительности может сохраняться от 4 до 6&amp;nbsp;недель, не следует проводить туберкулинодиагностику в течение указанного периода времени после вакцинации во избежание получения ложноотрицательных результатов.&lt;/p&gt;
&lt;p&gt;Лицам, получившим гамма-глобулин человека или перенесшим переливание крови, вакцинацию следует отложить не менее чем на 3&amp;nbsp;месяца по причине возможной неэффективности вакцинации вследствие пассивно приобретенных антител.&lt;/p&gt;</t>
  </si>
  <si>
    <t>https://grls.rosminzdrav.ru/InstrImg/2021/04/08/1467900/c382c9c7-0b55-4bb8-a3af-a3be999c3012.pdf</t>
  </si>
  <si>
    <r>
      <rPr>
        <rFont val="Arial"/>
        <color theme="1"/>
      </rPr>
      <t xml:space="preserve">В случае одновременного введения препараты должны вводиться в разные участки тела, предпочтительно контралатерально, с использованием разных шприцев.
</t>
    </r>
    <r>
      <rPr>
        <rFont val="Arial"/>
        <i/>
        <color theme="1"/>
      </rPr>
      <t>Совместное применение с общими иммуносупрессивными препаратами</t>
    </r>
    <r>
      <rPr>
        <rFont val="Arial"/>
        <color theme="1"/>
      </rPr>
      <t xml:space="preserve">
У лиц, проходящих иммуносупрессивную терапию, иммунный ответ после вакцинации может быть снижен.
В отсутствие результатов исследований совместимости вакцину МенКвадфи не следует смешивать с другими лекарственными препаратами в одном шприце.</t>
    </r>
  </si>
  <si>
    <r>
      <rPr>
        <rFont val="Arial"/>
        <color theme="1"/>
      </rPr>
      <t xml:space="preserve">&lt;p&gt;В случае одновременного введения препараты должны вводиться в разные участки тела, предпочтительно контралатерально, с использованием разных шприцев.&lt;br&gt;&lt;br&gt;
</t>
    </r>
    <r>
      <rPr>
        <rFont val="Arial"/>
        <i/>
        <color theme="1"/>
      </rPr>
      <t>&lt;i&gt;Совместное применение с общими иммуносупрессивными препаратами</t>
    </r>
    <r>
      <rPr>
        <rFont val="Arial"/>
        <color theme="1"/>
      </rPr>
      <t>&lt;/i&gt;&lt;br&gt;
У лиц, проходящих иммуносупрессивную терапию, иммунный ответ после вакцинации может быть снижен.&lt;br&gt;&lt;br&gt;
В отсутствие результатов исследований совместимости вакцину МенКвадфи не следует смешивать с другими лекарственными препаратами в одном шприце.&lt;/p&gt;</t>
    </r>
  </si>
  <si>
    <t>Профилактическое применение парацетамола снижает частоту и тяжесть лихорадки, не оказывая влияния на иммуногенность вакцины Бексеро или вакцин для плановой иммунопрофилактики. Исследования влияния жаропонижающих препаратов, за исключением парацетамола, на иммунный ответ не проводились.
В связи с отсутствием исследований совместимости, данный лекарственный препарат не следует смешивать с другими лекарственными препаратами.</t>
  </si>
  <si>
    <t>&lt;p&gt;Профилактическое применение парацетамола снижает частоту и тяжесть лихорадки, не оказывая влияния на иммуногенность вакцины Бексеро или вакцин для плановой иммунопрофилактики. Исследования влияния жаропонижающих препаратов, за исключением парацетамола, на иммунный ответ не проводились.&lt;br&gt;&lt;br&gt;
В связи с отсутствием исследований совместимости, данный лекарственный препарат не следует смешивать с другими лекарственными препаратами.&lt;/p&gt;</t>
  </si>
  <si>
    <t>Не изучалось. Ввиду отсутствия данных исследований совместимости, лекарственный препарат Гам-КОВИД-Вак-Д (Комбинированная векторная вакцина для профилактики коронавирусной инфекции, вызываемой вирусом SARS-CoV-2) нельзя смешивать с другими лекарственными препаратами в одном шприце.</t>
  </si>
  <si>
    <t>&lt;p&gt;Не изучалось. Ввиду отсутствия данных исследований совместимости, лекарственный препарат Гам-КОВИД-Вак-Д (Комбинированная векторная вакцина для профилактики коронавирусной инфекции, вызываемой вирусом SARS-CoV-2) нельзя смешивать с другими лекарственными препаратами в одном шприце.&lt;/p&gt;</t>
  </si>
  <si>
    <t>У пациентов, получающих иммуносупрессивную терапию, вакцинация может быть менее эффективной.
После введения иммуноглобулина против клещевого энцефалита вакцинацию Энценур® детский следует проводить не ранее чем через 4 недели, в противном случае уровень специфических антител может быть снижен.</t>
  </si>
  <si>
    <t>&lt;p&gt;У пациентов, получающих иммуносупрессивную терапию, вакцинация может быть менее эффективной.&lt;/p&gt;
&lt;p&gt;После введения иммуноглобулина против клещевого энцефалита вакцинацию Энценур®&amp;nbsp;детский следует проводить не ранее чем через 4&amp;nbsp;недели, в противном случае уровень специфических антител может быть снижен.&lt;/p&gt;</t>
  </si>
  <si>
    <t>У пациентов, получающих иммуносупрессивную терапию, вакцинация может быть менее эффективной.
После введения иммуноглобулина против клещевого энцефалита вакцинацию Энцепур взрослый следует проводить не ранее чем через 4 недели, в противном случае уровень специфических антител может быть снижен.</t>
  </si>
  <si>
    <t>&lt;p&gt;У пациентов, получающих иммуносупрессивную терапию, вакцинация может быть менее эффективной.&lt;/p&gt;
&lt;p&gt;После введения иммуноглобулина против клещевого энцефалита вакцинацию Энцепур&amp;nbsp;взрослый следует проводить не ранее чем через 4&amp;nbsp;недели, в противном случае уровень специфических антител может быть снижен.&lt;/p&gt;</t>
  </si>
  <si>
    <t>За исключением иммуносупрессивной терапии нет достоверных данных о возможном взаимном влиянии при использовании с другими лекарственными препаратами.
Восстановленную вакцину нельзя смешивать с другими лекарственными препаратами.
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 безрецептурного).</t>
  </si>
  <si>
    <t>&lt;p&gt;За исключением иммуносупрессивной терапии нет достоверных данных о возможном взаимном влиянии при использовании с другими лекарственными препаратами.&lt;/p&gt;
&lt;p&gt;Восстановленную вакцину нельзя смешивать с другими лекарственными препаратами.&lt;/p&gt;
&lt;p&gt;Врач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 безрецептурного).&lt;/p&gt;</t>
  </si>
  <si>
    <t>Как и в случае применения других вакцин, у лиц, получающих иммуносупрессивную терапию, адекватный иммунный ответ может быть не достигнут.</t>
  </si>
  <si>
    <t>&lt;p&gt;Как и в случае применения других вакцин, у лиц, получающих иммуносупрессивную терапию, адекватный иммунный ответ может быть не достигнут.&lt;/p&gt;</t>
  </si>
  <si>
    <t>https://grls.rosminzdrav.ru/InstrImg/2020/12/15/1464278/%D0%9F_N015829_01[2012]_0.pdf</t>
  </si>
  <si>
    <t>После введения иммуноглобулина против клещевого энцефалита вакцина ФСМЕ-ИММУН® Джуниор (Вакцина клещевого энцефалита культуральная инактивированная очищенная сорбированная) может быть введена не ранее чем через 4 недели, в противном случае уровень специфических антител может быть снижен.</t>
  </si>
  <si>
    <t>&lt;p&gt;После введения иммуноглобулина против клещевого энцефалита вакцина ФСМЕ-ИММУН®&amp;nbsp;Джуниор (Вакцина клещевого энцефалита культуральная инактивированная очищенная сорбированная) может быть введена не ранее чем через 4&amp;nbsp;недели, в противном случае уровень специфических антител может быть снижен.&lt;/p&gt;</t>
  </si>
  <si>
    <t>Специальных исследований взаимодействия с другими лекарственными средствами не проводилось. [...] Пациенты, получающие иммуносупрессивную терапию, могут не выработать полноценный иммунный ответ на вакцинацию.</t>
  </si>
  <si>
    <t>&lt;p&gt;Специальных исследований взаимодействия с другими лекарственными средствами не проводилось. [...] Пациенты, получающие иммуносупрессивную терапию, могут не выработать полноценный иммунный ответ на вакцинацию.&lt;/p&gt;</t>
  </si>
  <si>
    <t>Не изучалось. Ввиду отсутствия данных исследований совместимости, вакцину Сай-Би-Вак нельзя смешивать с другими лекарственными средствами в одном шприце.</t>
  </si>
  <si>
    <t>&lt;p&gt;Не изучалось. Ввиду отсутствия данных исследований совместимости, вакцину Сай-Би-Вак нельзя смешивать с другими лекарственными средствами в одном шприце.&lt;/p&gt;</t>
  </si>
  <si>
    <t>Иммуносупрессивная терапия или состояние иммунодефицита могут быть причиной слабого иммунного ответа на введение вакцины. В этих случаях рекомендуется отложить вакцинацию до окончания такой терапии или ремиссии заболевания. Тем не менее, лицам с хроническим иммунодефицитом (например, ВИЧ-инфекция) вакцинация рекомендована, даже если иммунный ответ может быть ослабленным.</t>
  </si>
  <si>
    <t>&lt;p&gt;Иммуносупрессивная терапия или состояние иммунодефицита могут быть причиной слабого иммунного ответа на введение вакцины. В этих случаях рекомендуется отложить вакцинацию до окончания такой терапии или ремиссии заболевания. Тем не менее, лицам с хроническим иммунодефицитом (например, ВИЧ-инфекция) вакцинация рекомендована, даже если иммунный ответ может быть ослабленным.&lt;/p&gt;</t>
  </si>
  <si>
    <t>Случаев несовместимости с другими лекарственными средствами не выявлено.</t>
  </si>
  <si>
    <t>&lt;p&gt;Случаев несовместимости с другими лекарственными средствами не выявлено.&lt;/p&gt;</t>
  </si>
  <si>
    <t>&lt;p&gt;Сообщите лечащему врачу о том, что Вы принимаете, недавно принимали или можете начать принимать какие-либо другие препараты.&lt;/p&gt;
&lt;p&gt;Вакцину Шингрикс не следует смешивать с другими лекарственными препаратами в одном шприце, так как исследования совместимости не проводились.&lt;/p&gt;</t>
  </si>
  <si>
    <r>
      <rPr>
        <rFont val="Arial"/>
        <i/>
        <color theme="1"/>
      </rPr>
      <t>Туберкулинодиагностика</t>
    </r>
    <r>
      <rPr>
        <rFont val="Arial"/>
        <color theme="1"/>
      </rPr>
      <t xml:space="preserve">
При необходимости постановки туберкулиновой пробы (пробы Манту) или Диаскинтеста они должны быть проведены не ранее, чем через 4 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реакцию на туберкулин).
</t>
    </r>
    <r>
      <rPr>
        <rFont val="Arial"/>
        <i/>
        <color theme="1"/>
      </rPr>
      <t>Препараты крови</t>
    </r>
    <r>
      <rPr>
        <rFont val="Arial"/>
        <color theme="1"/>
      </rPr>
      <t xml:space="preserve">
После введения препаратов крови человека (иммуноглобулины, плазма и др.) вакцину ТРИВЭЙД следует применять не ранее, чем через 3 мес. После иммунизации препараты крови следует вводить не ранее, чем через 2 недели. В случае необходимости их применения ранее этого срока вакцинацию следует повторить через 3 мес.
У лиц, получающих кортикостероиды, другие иммунодепрессанты или лучевую терапию, также может не развиться достаточный иммунный ответ на вакцинацию.</t>
    </r>
  </si>
  <si>
    <r>
      <rPr>
        <rFont val="Arial"/>
        <i/>
        <color theme="1"/>
      </rPr>
      <t>&lt;p&gt;&lt;i&gt;Туберкулинодиагностика&lt;/i&gt;&lt;br&gt;</t>
    </r>
    <r>
      <rPr>
        <rFont val="Arial"/>
        <color theme="1"/>
      </rPr>
      <t xml:space="preserve">
При необходимости постановки туберкулиновой пробы (пробы Манту) или Диаскинтеста они должны быть проведены не ранее, чем через 4&amp;nbsp;недели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реакцию на туберкулин).&lt;br&gt;
</t>
    </r>
    <r>
      <rPr>
        <rFont val="Arial"/>
        <i/>
        <color theme="1"/>
      </rPr>
      <t>&lt;i&gt;Препараты крови&lt;/i&gt;&lt;br&gt;</t>
    </r>
    <r>
      <rPr>
        <rFont val="Arial"/>
        <color theme="1"/>
      </rPr>
      <t xml:space="preserve">
После введения препаратов крови человека (иммуноглобулины, плазма и др.) вакцину ТРИВЭЙД следует применять не ранее, чем через 3&amp;nbsp;мес. После иммунизации препараты крови следует вводить не ранее, чем через 2&amp;nbsp;недели. В случае необходимости их применения ранее этого срока вакцинацию следует повторить через 3&amp;nbsp;мес.&lt;br&gt;
У лиц, получающих кортикостероиды, другие иммунодепрессанты или лучевую терапию, также может не развиться достаточный иммунный ответ на вакцинацию.&lt;/p&gt;</t>
    </r>
  </si>
  <si>
    <t>В связи с отсутствием исследований совместимости, АС-анатоксин для доноров не следует смешивать с другими лекарственными препаратами.</t>
  </si>
  <si>
    <t>&lt;p&gt;В связи с отсутствием исследований совместимости, АС-анатоксин для доноров не следует смешивать с другими лекарственными препаратами.&lt;/p&gt;</t>
  </si>
  <si>
    <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
Вакцину не следует смешивать с другими лекарственными препаратами, так как исследования совместимости не проводились.</t>
  </si>
  <si>
    <t>&lt;p&gt;До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
&lt;p&gt;Вакцину не следует смешивать с другими лекарственными препаратами, так как исследования совместимости не проводились.&lt;/p&gt;</t>
  </si>
  <si>
    <t>Вакцину не следует смешивать с другими лекарственными препаратами в одном шприце, так как исследования совместимости не проводилось.</t>
  </si>
  <si>
    <t>&lt;p&gt;Вакцину не следует смешивать с другими лекарственными препаратами в одном шприце, так как исследования совместимости не проводилось.&lt;/p&gt;</t>
  </si>
  <si>
    <t>Специальные исследования лекарственных взаимодействий с препаратом Вакцина Е сыпнотифозная комбинированная живая (ЖКСВ-Е) не проводились.
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t>
  </si>
  <si>
    <t>&lt;p&gt;Специальные исследования лекарственных взаимодействий с препаратом Вакцина Е сыпнотифозная комбинированная живая (ЖКСВ-Е) не проводились.&lt;/p&gt;
&lt;p&gt;До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t>
  </si>
  <si>
    <t>Специальные исследования лекарственных взаимодействий с препаратом ОспаВир не проводились.
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t>
  </si>
  <si>
    <t>&lt;p&gt;Специальные исследования лекарственных взаимодействий с препаратом ОспаВир не проводились.&lt;/p&gt;
&lt;p&gt;До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t>
  </si>
  <si>
    <t>Возможно одновременное проведение антибиотикотерапии.
В отсутствии результатов исследований совместимости вакцину не следует смешивать в одном шприце с другими лекарственными препаратами.</t>
  </si>
  <si>
    <t>&lt;p&gt;Возможно одновременное проведение антибиотикотерапии.&lt;/p&gt;
&lt;p&gt;В отсутствии результатов исследований совместимости вакцину не следует смешивать в одном шприце с другими лекарственными препаратами.&lt;/p&gt;</t>
  </si>
  <si>
    <t>В связи с отсутствием результатов исследований совместимости вакцину не следует смешивать с другими лекарственными препаратами.
Одновременное введение с какими-либо иммуноглобулинами, включая иммуноглобулин противооспенный не изучалось. Вместе с вакциной ОртопоксВак не допускается вводить иммуноглобулин.</t>
  </si>
  <si>
    <t>&lt;p&gt;В связи с отсутствием результатов исследований совместимости вакцину не следует смешивать с другими лекарственными препаратами.&lt;/p&gt;
&lt;p&gt;Одновременное введение с какими-либо иммуноглобулинами, включая иммуноглобулин противооспенный не изучалось. Вместе с вакциной ОртопоксВак не допускается вводить иммуноглобулин.&lt;/p&gt;</t>
  </si>
  <si>
    <t>Вакцину не следует смешивать в одном шприце с другими лекарственными средствами.</t>
  </si>
  <si>
    <t>&lt;p&gt;Вакцину не следует смешивать в одном шприце с другими лекарственными средствами.&lt;/p&gt;</t>
  </si>
  <si>
    <t>https://grls.rosminzdrav.ru/InstrImg/2025/01/09/1512384/c6523a43-f889-4421-a55b-e3e8be3bdc34.pdf</t>
  </si>
  <si>
    <t>Нет данных о возможном взаимном влиянии при совместном использовании с другими лекарственными средствами и продуктами.</t>
  </si>
  <si>
    <t>&lt;p&gt;Нет данных о возможном взаимном влиянии при совместном использовании с другими лекарственными средствами и продуктами.&lt;/p&gt;</t>
  </si>
  <si>
    <t>Нет данных о возможном взаимном влиянии при совместном использовании с другими лекарственными препаратами.</t>
  </si>
  <si>
    <t>&lt;p&gt;Нет данных о возможном взаимном влиянии при совместном использовании с другими лекарственными препаратами.&lt;/p&gt;</t>
  </si>
  <si>
    <t>Не установлено.</t>
  </si>
  <si>
    <t>&lt;p&gt;Не установлено.&lt;/p&gt;</t>
  </si>
  <si>
    <t>До настоящего времени нет данных.</t>
  </si>
  <si>
    <t>&lt;p&gt;До настоящего времени нет данных.&lt;/p&gt;</t>
  </si>
  <si>
    <t>Иммуносупрессоры могут уменьшить иммунный ответ на вакцинацию пероральной полиомиелитной вакциной, способствовать размножению вакцинных вирусов и увеличивать время выделения вакцинных вирусов с калом.</t>
  </si>
  <si>
    <t>&lt;p&gt;Иммуносупрессоры могут уменьшить иммунный ответ на вакцинацию пероральной полиомиелитной вакциной, способствовать размножению вакцинных вирусов и увеличивать время выделения вакцинных вирусов с калом.&lt;/p&gt;</t>
  </si>
  <si>
    <r>
      <rPr>
        <rFont val="Arial"/>
        <color theme="1"/>
      </rPr>
      <t xml:space="preserve">Бактерии БЦЖ чувствительны к противотуберкулезным препаратам (например, этамбутолу, стрептомицину, парааминосалициловой кислоте [ПАСК], изониазиду и рифампицину), антибиотикам, антисептикам и смазочным средствам. Наблюдалась устойчивость БЦЖ к пиразинамиду и циклосерину.
Во время курса внутрипузырных инстилляций БЦЖ следует избегать одновременного 
назначения противотуберкулезных средств и антибактериальных препаратов, таких как фторхинолоны, доксициклин или гентамицин, ввиду чувствительности БЦЖ к этим препаратам.
</t>
    </r>
    <r>
      <rPr>
        <rFont val="Arial"/>
        <i/>
        <color theme="1"/>
      </rPr>
      <t>Фармацевтическая несовместимость</t>
    </r>
    <r>
      <rPr>
        <rFont val="Arial"/>
        <color theme="1"/>
      </rPr>
      <t xml:space="preserve">
Препарат Уро-БЦЖ медак несовместим с гипотоническими и гипертоническими растворами.
Внутрипузырная терапия препаратом Уро-БЦЖ медак может вызвать развитие чувствительности к туберкулину и впоследствии затруднить интерпретацию туберкулиновых кожных проб при диагностике микобактериальной инфекции. Поэтому туберкулиновую пробу следует провести перед назначением Уро-БЦЖ медак.</t>
    </r>
  </si>
  <si>
    <r>
      <rPr>
        <rFont val="Arial"/>
        <color theme="1"/>
      </rPr>
      <t xml:space="preserve">&lt;p&gt;Бактерии БЦЖ чувствительны к противотуберкулезным препаратам (например, этамбутолу, стрептомицину, парааминосалициловой кислоте [ПАСК], изониазиду и рифампицину), антибиотикам, антисептикам и смазочным средствам. Наблюдалась устойчивость БЦЖ к пиразинамиду и циклосерину.&lt;br&gt;
Во время курса внутрипузырных инстилляций БЦЖ следует избегать одновременного 
назначения противотуберкулезных средств и антибактериальных препаратов, таких как фторхинолоны, доксициклин или гентамицин, ввиду чувствительности БЦЖ к этим препаратам.&lt;br&gt;&lt;br&gt;
</t>
    </r>
    <r>
      <rPr>
        <rFont val="Arial"/>
        <i/>
        <color theme="1"/>
      </rPr>
      <t>&lt;i&gt;Фармацевтическая несовместимость</t>
    </r>
    <r>
      <rPr>
        <rFont val="Arial"/>
        <color theme="1"/>
      </rPr>
      <t>&lt;/i&gt;&lt;br&gt;
Препарат Уро-БЦЖ медак несовместим с гипотоническими и гипертоническими растворами.&lt;/p&gt;
&lt;p&gt;Внутрипузырная терапия препаратом Уро-БЦЖ медак может вызвать развитие чувствительности к туберкулину и впоследствии затруднить интерпретацию туберкулиновых кожных проб при диагностике микобактериальной инфекции. Поэтому туберкулиновую пробу следует провести перед назначением Уро-БЦЖ медак.&lt;/p&gt;</t>
    </r>
  </si>
  <si>
    <t>В связи с отсутствием исследований совместимости, данный лекарственный препарат не следует смешивать с другими лекарственными препаратами.</t>
  </si>
  <si>
    <t>&lt;p&gt;В связи с отсутствием исследований совместимости, данный лекарственный препарат не следует смешивать с другими лекарственными препаратами.&lt;/p&gt;</t>
  </si>
  <si>
    <t>Вакцина может вводиться на фоне базисной терапии имеющегося у прививаемого заболевания. Вакцинация пациентов, получающих иммуносупрессивную терапию (глюкокортикостероиды, цитостатические препараты, радиотерапия), может быть менее эффективной.</t>
  </si>
  <si>
    <t>&lt;p&gt;Вакцина может вводиться на фоне базисной терапии имеющегося у прививаемого заболевания. Вакцинация пациентов, получающих иммуносупрессивную терапию (глюкокортикостероиды, цитостатические препараты, радиотерапия), может быть менее эффективной.&lt;/p&gt;</t>
  </si>
  <si>
    <t>Случаев взаимодействия или несовместимости с другими лекарственными средствами не выявлено.</t>
  </si>
  <si>
    <t>&lt;p&gt;Случаев взаимодействия или несовместимости с другими лекарственными средствами не выявлено.&lt;/p&gt;</t>
  </si>
  <si>
    <t>Вакцина может вводиться на фоне базисной терапии основного заболевания.</t>
  </si>
  <si>
    <t>&lt;p&gt;Вакцина может вводиться на фоне базисной терапии основного заболевания.&lt;/p&gt;</t>
  </si>
  <si>
    <t>В связи с отсутствием исследований совместимости Тетраанатоксин очищенный адсорбированный не следует смешивать с другими лекарственными препаратами.</t>
  </si>
  <si>
    <t>&lt;p&gt;В связи с отсутствием исследований совместимости Тетраанатоксин очищенный адсорбированный не следует смешивать с другими лекарственными препаратами.&lt;/p&gt;</t>
  </si>
  <si>
    <t>Лекарственный препарат Анатоксин стафилококковый очищенный адсорбированный следует вводить не ранее, чем через 3 недели после предшествующей инъекции иммуноглобулина человека или антистафилококковой плазмы.</t>
  </si>
  <si>
    <t>&lt;p&gt;Лекарственный препарат Анатоксин стафилококковый очищенный адсорбированный следует вводить не ранее, чем через 3&amp;nbsp;недели после предшествующей инъекции иммуноглобулина человека или антистафилококковой плазмы.&lt;/p&gt;</t>
  </si>
  <si>
    <t>Лечение лекарственным препаратом «Анатоксин стафилококковый очищенный» может проводиться одновременно с другой общей и местной терапией, за исключением введения иммуноглобулинов и антистафилококковой плазмы.</t>
  </si>
  <si>
    <t>&lt;p&gt;Лечение лекарственным препаратом «Анатоксин стафилококковый очищенный» может проводиться одновременно с другой общей и местной терапией, за исключением введения иммуноглобулинов и антистафилококковой плазмы.&lt;/p&gt;</t>
  </si>
  <si>
    <t>Во время курса внутрипузырных инстилляций Имурон-вак следует избегать одновременного назначения средств, к которым чувствительны микобактерии БЦЖ: противотуберкулезные лекарственные препараты; антибиотики, например, фторхинолоны, доксициклин, канамицин или амикацин.</t>
  </si>
  <si>
    <t>&lt;p&gt;Во время курса внутрипузырных инстилляций Имурон-вак следует избегать одновременного назначения средств, к которым чувствительны микобактерии БЦЖ: противотуберкулезные лекарственные препараты; антибиотики, например, фторхинолоны, доксициклин, канамицин или амикацин.&lt;/p&gt;</t>
  </si>
  <si>
    <t>Вакцину Гексаксим нельзя смешивать в одном шприце с любыми другими лекарственными средствами, вводимыми парентерально.
За исключением случаев проведения иммуносупрессивной терапии, сообщений о существенном клиническом взаимодействии вакцины Гексаксим с другими лекарственными средствами или биологическими препаратами не было.
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безрецептурного).</t>
  </si>
  <si>
    <t>&lt;p&gt;Вакцину Гексаксим нельзя смешивать в одном шприце с любыми другими лекарственными средствами, вводимыми парентерально.&lt;br&gt;&lt;br&gt;
За исключением случаев проведения иммуносупрессивной терапии, сообщений о существенном клиническом взаимодействии вакцины Гексаксим с другими лекарственными средствами или биологическими препаратами не было.&lt;br&gt;&lt;br&gt;
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безрецептурного).&lt;/p&gt;</t>
  </si>
  <si>
    <t>Специальных исследований лекарственных взаимодействий не проводилось. Не допускается смешивание лекарственного препарата Гам-VLР-мультивак Вакцина на основе вирусоподобных частиц для профилактики коронавирусной инфекции, вызываемой SARS­CoV-2, с другими иммунобиологическими лекарственными препаратами или иными лекарственными средствами в одном шприце, так как нет данных о фармацевтическом взаимодействии. Не допускается введение разных лекарственных препаратов в один участок тела.</t>
  </si>
  <si>
    <t>&lt;p&gt;Специальных исследований лекарственных взаимодействий не проводилось. Не допускается смешивание лекарственного препарата Гам-VLР-мультивак Вакцина на основе вирусоподобных частиц для профилактики коронавирусной инфекции, вызываемой SARS­CoV-2, с другими иммунобиологическими лекарственными препаратами или иными лекарственными средствами в одном шприце, так как нет данных о фармацевтическом взаимодействии. Не допускается введение разных лекарственных препаратов в один участок тела.&lt;/p&gt;</t>
  </si>
  <si>
    <t>Специальных исследований лекарственных взаимодействий не проводилось.
У пациентов, получающих иммуносупрессивную терапию, и пациентов с иммунодефицитом может не развиться достаточный иммунный ответ, поэтому прием лекарственных препаратов, угнетающих функцию иммунной системы, противопоказан в течение, как минимум, 1 месяца до и после вакцинации из-за риска снижения иммуногенности.</t>
  </si>
  <si>
    <t>&lt;p&gt;Специальных исследований лекарственных взаимодействий не проводилось.&lt;br&gt;
У пациентов, получающих иммуносупрессивную терапию, и пациентов с иммунодефицитом может не развиться достаточный иммунный ответ, поэтому прием лекарственных препаратов, угнетающих функцию иммунной системы, противопоказан в течение, как минимум, 1&amp;nbsp;месяца до и после вакцинации из-за риска снижения иммуногенности.&lt;/p&gt;</t>
  </si>
  <si>
    <r>
      <rPr>
        <rFont val="Arial"/>
        <color theme="1"/>
      </rPr>
      <t xml:space="preserve">В клинических исследованиях исключались лица, получавшие иммуноглобулин или препараты крови в течение 6 месяцев до введения первой дозы вакцины.
</t>
    </r>
    <r>
      <rPr>
        <rFont val="Arial"/>
        <i/>
        <color theme="1"/>
      </rPr>
      <t>Совместное применение с распространенными препаратами</t>
    </r>
    <r>
      <rPr>
        <rFont val="Arial"/>
        <color theme="1"/>
      </rPr>
      <t xml:space="preserve">
Применение анальгетиков, противовоспалительных препаратов и витаминных препаратов не влияло на эффективность, иммуногенность и безопасность вакцины против вируса папилломы человека квадривалентной рекомбинантной (типов 6, 11, 16, 18).
</t>
    </r>
    <r>
      <rPr>
        <rFont val="Arial"/>
        <i/>
        <color theme="1"/>
      </rPr>
      <t>Совместное применение с системными иммунодепрессантами</t>
    </r>
    <r>
      <rPr>
        <rFont val="Arial"/>
        <color theme="1"/>
      </rPr>
      <t xml:space="preserve">
Данные об одновременном применении системных иммунодепрессантов и вакцины Цегардекс отсутствуют. У пациентов, получающих иммунодепрессивную терапию, и пациентов с иммунодефицитом может не развиться достаточный иммунный ответ.
</t>
    </r>
    <r>
      <rPr>
        <rFont val="Arial"/>
        <i/>
        <color theme="1"/>
      </rPr>
      <t>Использование с гормональными контрацептивами</t>
    </r>
    <r>
      <rPr>
        <rFont val="Arial"/>
        <color theme="1"/>
      </rPr>
      <t xml:space="preserve">
В клинических исследованиях 38,8% женщин в возрасте от 18 до 45 лет, получавших вакцину Цегардекс, использовали гормональные контрацептивы в период вакцинации. Использование гормональных контрацептивов не влияет на иммунный ответ на вакцину Цегардекс.</t>
    </r>
  </si>
  <si>
    <r>
      <rPr>
        <rFont val="Arial"/>
        <color theme="1"/>
      </rPr>
      <t xml:space="preserve">&lt;p&gt;В клинических исследованиях исключались лица, получавшие иммуноглобулин или препараты крови в течение 6&amp;nbsp;месяцев до введения первой дозы вакцины.&lt;br&gt;&lt;br&gt;
</t>
    </r>
    <r>
      <rPr>
        <rFont val="Arial"/>
        <i/>
        <color theme="1"/>
      </rPr>
      <t>&lt;i&gt;Совместное применение с распространенными препаратами&lt;/i&gt;&lt;br&gt;</t>
    </r>
    <r>
      <rPr>
        <rFont val="Arial"/>
        <color theme="1"/>
      </rPr>
      <t xml:space="preserve">
Применение анальгетиков, противовоспалительных препаратов и витаминных препаратов не влияло на эффективность, иммуногенность и безопасность вакцины против вируса папилломы человека квадривалентной рекомбинантной (типов 6, 11, 16, 18).&lt;br&gt;&lt;br&gt;
</t>
    </r>
    <r>
      <rPr>
        <rFont val="Arial"/>
        <i/>
        <color theme="1"/>
      </rPr>
      <t>&lt;i&gt;Совместное применение с системными иммунодепрессантами&lt;/i&gt;&lt;br&gt;</t>
    </r>
    <r>
      <rPr>
        <rFont val="Arial"/>
        <color theme="1"/>
      </rPr>
      <t xml:space="preserve">
Данные об одновременном применении системных иммунодепрессантов и вакцины Цегардекс отсутствуют. У пациентов, получающих иммунодепрессивную терапию, и пациентов с иммунодефицитом может не развиться достаточный иммунный ответ.&lt;br&gt;&lt;br&gt;
</t>
    </r>
    <r>
      <rPr>
        <rFont val="Arial"/>
        <i/>
        <color theme="1"/>
      </rPr>
      <t>&lt;i&gt;Использование с гормональными контрацептивами&lt;/i&gt;&lt;br&gt;</t>
    </r>
    <r>
      <rPr>
        <rFont val="Arial"/>
        <color theme="1"/>
      </rPr>
      <t xml:space="preserve">
В клинических исследованиях 38,8% женщин в возрасте от 18 до 45&amp;nbsp;лет, получавших вакцину Цегардекс, использовали гормональные контрацептивы в период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</si>
  <si>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применение с системными иммунодепрессантами</t>
    </r>
    <r>
      <rPr>
        <rFont val="Arial"/>
        <color theme="1"/>
      </rPr>
      <t xml:space="preserve">
Данные об одновременном применении системных иммунодепрессантов и вакцины МЕНВЭЙД отсутствуют. Иммуносупрессивная терапия, включая облучение, антиметаболиты, алкилирующие средства, цитотоксические средства и кортикостероиды, могут снижать иммунный ответ на вакцинацию.
</t>
    </r>
    <r>
      <rPr>
        <rFont val="Arial"/>
        <i/>
        <color theme="1"/>
      </rPr>
      <t>Совместное применение с другими лекарственными препаратами</t>
    </r>
    <r>
      <rPr>
        <rFont val="Arial"/>
        <color theme="1"/>
      </rPr>
      <t xml:space="preserve">
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t>
    </r>
  </si>
  <si>
    <t>&lt;p&gt;&lt;i&gt;Совместное применение с системными иммунодепрессантами&lt;/i&gt;&lt;br&gt;
Данные об одновременном применении системных иммунодепрессантов и вакцины МЕНВЭЙД отсутствуют. Иммуносупрессивная терапия, включая облучение, антиметаболиты, алкилирующие средства, цитотоксические средства и кортикостероиды, могут снижать иммунный ответ на вакцинацию.&lt;br&gt;&lt;br&gt;
&lt;i&gt;Совместное применение с другими лекарственными препаратами&lt;/i&gt;&lt;br&gt;
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t>
  </si>
  <si>
    <t>Запрещено смешивать препарат Превенар 20 с другими лекарственными препаратами в одном шприце.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t>
  </si>
  <si>
    <t>&lt;p&gt;Запрещено смешивать препарат Превенар&amp;nbsp;20 с другими лекарственными препаратами в одном шприце.&lt;br&gt;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t>
  </si>
  <si>
    <t>Иммуносупрессивные средства при одновременном применении с вакциной могут оказывать влияние на формирование иммунного ответа. Иммунносупрессивная терапия, включая лучевую терапию, применение антиметаболитов, алкилирующих препаратов, цитотоксических препаратов и глюкокортикостероидов (в дозах выше терапевтических), может снижать иммунный ответ на вакцину.</t>
  </si>
  <si>
    <t>&lt;p&gt;Иммуносупрессивные средства при одновременном применении с вакциной могут оказывать влияние на формирование иммунного ответа. Иммунносупрессивная терапия, включая лучевую терапию, применение антиметаболитов, алкилирующих препаратов, цитотоксических препаратов и глюкокортикостероидов (в дозах выше терапевтических), может снижать иммунный ответ на вакцину.&lt;/p&gt;</t>
  </si>
  <si>
    <t>Возможно, что у пациентов, получающих иммуносупрессивную терапию, надлежащий иммунный ответ будет отсутствовать.</t>
  </si>
  <si>
    <t>&lt;p&gt;Возможно, что у пациентов, получающих иммуносупрессивную терапию, надлежащий иммунный ответ будет отсутствовать.&lt;/p&gt;</t>
  </si>
  <si>
    <t>simult_admin_text_w/o_html</t>
  </si>
  <si>
    <t>simult_admin_text_html</t>
  </si>
  <si>
    <t>simult_admin_date</t>
  </si>
  <si>
    <t>simult_admin_view_number</t>
  </si>
  <si>
    <t>simult_admin_version</t>
  </si>
  <si>
    <t>simult_admin_version_link</t>
  </si>
  <si>
    <t>Другие профилактические прививки могут быть проведены с интервалом не менее 1 месяца до и после вакцинации (ревакцинации) БЦЖ. Исключением является вакцинация для профилактики вирусного гепатита В в случае первичной иммунизации.</t>
  </si>
  <si>
    <t>&lt;p&gt;Другие профилактические прививки могут быть проведены с интервалом не менее 1&amp;nbsp;месяца до и после вакцинации (ревакцинации) БЦЖ. Исключением является вакцинация для профилактики вирусного гепатита&amp;nbsp;В в случае первичной иммунизации.&lt;/p&gt;</t>
  </si>
  <si>
    <t>Другие профилактические прививки могут быть проведены с интервалом не менее 1 месяца до (за исключением вакцинации против вирусного гепатита В) и после вакцинации БЦЖ-М.
Специальные исследования взаимодействия вакцины БЦЖ-М и других вакцин не проводились, при этом отсутствуют какие-либо данные о негативном взаимодействии вакцин против туберкулеза с другими вакцинами.</t>
  </si>
  <si>
    <t>&lt;p&gt;Другие профилактические прививки могут быть проведены с интервалом не менее 1&amp;nbsp;месяца до (за исключением вакцинации против вирусного гепатита В) и после вакцинации БЦЖ-М.&lt;br&gt;&lt;br&gt;
Специальные исследования взаимодействия вакцины БЦЖ-М и других вакцин не проводились, при этом отсутствуют какие-либо данные о негативном взаимодействии вакцин против туберкулеза с другими вакцинами.&lt;/p&gt;</t>
  </si>
  <si>
    <t>Другие профилактические прививки могут быть проведены с интервалом не менее 1 мес. до и после вакцинации (ревакцинации) БЦЖ (за исключением вакцины против гепатита В, которую вводят в соответствии с Национальным календарем профилактических прививок в РФ).</t>
  </si>
  <si>
    <t>&lt;p&gt;Другие профилактические прививки могут быть проведены с интервалом не менее 1&amp;nbsp;мес. до и после вакцинации (ревакцинации) БЦЖ (за исключением вакцины против гепатита В, которую вводят в соответствии с Национальным календарем профилактических прививок в РФ).&lt;/p&gt;</t>
  </si>
  <si>
    <t>Другие профилактические прививки могут быть проведены с интервалом не менее 1 месяца до и после вакцинации БЦЖ-М (за исключением вакцины против гепатита В, которую вводят в соответствии с Национальным календарем профилактических прививок в РФ).</t>
  </si>
  <si>
    <t>&lt;p&gt;Другие профилактические прививки могут быть проведены с интервалом не менее 1&amp;nbsp;месяца до и после вакцинации БЦЖ-М (за исключением вакцины против гепатита В, которую вводят в соответствии с Национальным календарем профилактических прививок в РФ).&lt;/p&gt;</t>
  </si>
  <si>
    <r>
      <rPr>
        <rFont val="Arial"/>
        <color theme="1"/>
      </rPr>
      <t xml:space="preserve">Вакцину Инфанрикс можно вводить одновременно (в один день) с другими вакцинами Национального календаря профилактических прививок Российской Федерации (за исключением вакцины БЦЖ) и инактивированными вакцинами календаря профилактических прививок по эпидемическим показаниям. При этом другие вакцины следует вводить в другие участки тела.
Допускается смешивать в одном шприце вакцину Инфанрикс с вакциной Хиберикс (Вакцина для профилактики инфекции, вызываемой </t>
    </r>
    <r>
      <rPr>
        <rFont val="Arial"/>
        <i/>
        <color theme="1"/>
      </rPr>
      <t>Haemophilus influenzae</t>
    </r>
    <r>
      <rPr>
        <rFont val="Arial"/>
        <color theme="1"/>
      </rPr>
      <t xml:space="preserve"> тип </t>
    </r>
    <r>
      <rPr>
        <rFont val="Arial"/>
        <i/>
        <color theme="1"/>
      </rPr>
      <t>b</t>
    </r>
    <r>
      <rPr>
        <rFont val="Arial"/>
        <color theme="1"/>
      </rPr>
      <t>). При этом растворитель, прилагаемый к вакцине Хиберикс, необходимо заменить вакциной Инфанрикс.
Растворитель, прилагаемый к вакцине Хиберикс, необходимо утилизировать. Для получения восстановленной комбинированной вакцины необходимо внести все содержимое шприца с вакциной Инфанрикс во флакон с лиофилизатом Хиберикс.
Введение приготовленной непосредственно перед применением смеси осуществляется в соответствии с инструкцией по медицинскому применению на вакцину Инфанрикс.
Смешивание вакцины Инфанрикс с другими вакцинами, за исключением вакцины Хиберикс, не допускается.</t>
    </r>
  </si>
  <si>
    <r>
      <rPr>
        <rFont val="Arial"/>
        <color theme="1"/>
      </rPr>
      <t>&lt;p&gt;Вакцину Инфанрикс можно вводить одновременно (в один день) с другими вакцинами Национального календаря профилактических прививок Российской Федерации (за исключением вакцины БЦЖ) и инактивированными вакцинами календаря профилактических прививок по эпидемическим показаниям. При этом другие вакцины следует вводить в другие участки тела.&lt;br&gt;
Допускается смешивать в одном шприце вакцину Инфанрикс с вакциной Хиберикс (Вакцина для профилактики инфекции, вызываемой &lt;i&gt;Haemophilus influenzae</t>
    </r>
    <r>
      <rPr>
        <rFont val="Arial"/>
        <i/>
        <color theme="1"/>
      </rPr>
      <t>&lt;/i&gt;</t>
    </r>
    <r>
      <rPr>
        <rFont val="Arial"/>
        <color theme="1"/>
      </rPr>
      <t xml:space="preserve"> тип &lt;i&gt;b&lt;/i&gt;). При этом растворитель, прилагаемый к вакцине Хиберикс, необходимо заменить вакциной Инфанрикс.&lt;br&gt;
Растворитель, прилагаемый к вакцине Хиберикс, необходимо утилизировать. Для получения восстановленной комбинированной вакцины необходимо внести все содержимое шприца с вакциной Инфанрикс во флакон с лиофилизатом Хиберикс.&lt;br&gt;
Введение приготовленной непосредственно перед применением смеси осуществляется в соответствии с инструкцией по медицинскому применению на вакцину Инфанрикс.&lt;br&gt;
Смешивание вакцины Инфанрикс с другими вакцинами, за исключением вакцины Хиберикс, не допускается.&lt;/p&gt;</t>
    </r>
  </si>
  <si>
    <t>АКДС-вакцину допускается вводить одновременно (в один день) с любыми другими вакцинами Национального календаря профилактических прививок Российской Федарации (за исключением БЦЖ и БЦЖ-М) и Календаря профилактических прививок по эпидемическим показаниям Российской Федерации, при условии их введения разными шприцами в разные участки тела.
Допускается введение АКДС-вакцины с другими вакцинами с любым интервалом между введением (за исключением БЦЖ и БЦЖ-М). Интервал до и после введения вакцин против туберкулеза от введения других вакцин составляет 1 месяц.</t>
  </si>
  <si>
    <t>&lt;p&gt;АКДС-вакцину допускается вводить одновременно (в один день) с любыми другими вакцинами Национального календаря профилактических прививок Российской Федарации (за исключением БЦЖ и БЦЖ-М) и Календаря профилактических прививок по эпидемическим показаниям Российской Федерации, при условии их введения разными шприцами в разные участки тела.&lt;/p&gt;
&lt;p&gt;Допускается введение АКДС-вакцины с другими вакцинами с любым интервалом между введением (за исключением БЦЖ и БЦЖ-М). Интервал до и после введения вакцин против туберкулеза от введения других вакцин составляет 1&amp;nbsp;месяц.&lt;/p&gt;</t>
  </si>
  <si>
    <t>АКДС-вакцину можно вводить одновременно с полиомиелитной вакциной и другими препаратами национального календаря профилактических прививок, за исключением вакцины БЦЖ.</t>
  </si>
  <si>
    <t>&lt;p&gt;АКДС-вакцину можно вводить одновременно с полиомиелитной вакциной и другими препаратами национального календаря профилактических прививок, за исключением вакцины БЦЖ.&lt;/p&gt;</t>
  </si>
  <si>
    <t>Прививки вакциной Бубо®-Кок можно проводить одновременно с другими вакцинами Национального календаря профилактических прививок или через 1 мес. после прививок против других инфекций.</t>
  </si>
  <si>
    <t>&lt;p&gt;Прививки вакциной Бубо®-Кок можно проводить одновременно с другими вакцинами Национального календаря профилактических прививок или через 1&amp;nbsp;мес. после прививок против других инфекций.&lt;/p&gt;</t>
  </si>
  <si>
    <t>В соответствии с Национальным календарем Российской Федерации допускается одновременное введение с другими вакцинами (кроме БЦЖ) при условии их введения разными шприцами в разные участки тела. При необходимости раздельного (не в один календарный день) введения вакцины Пентаксим и других вакцин, допустим любой интервал между введениями, т. к. вакцина Пентаксим является неживой.
Вакцину Пентаксим можно вводить одновременно с вакциной против кори, эпидемического паротита и краснухи в разные участки тела.</t>
  </si>
  <si>
    <t>&lt;p&gt;В соответствии с Национальным календарем Российской Федерации допускается одновременное введение с другими вакцинами (кроме БЦЖ) при условии их введения разными шприцами в разные участки тела. При необходимости раздельного (не в один календарный день) введения вакцины Пентаксим и других вакцин, допустим любой интервал между введениями, т. к. вакцина Пентаксим является неживой.&lt;br&gt;
Вакцину Пентаксим можно вводить одновременно с вакциной против кори, эпидемического паротита и краснухи в разные участки тела.&lt;/p&gt;</t>
  </si>
  <si>
    <t>Вакцину Инфанрикс Гекса можно вводить одновременно с вакциной пневмококковой конъюгированной, менингококковой (серогруппы С) конъюгированной, менингококковой (серогрупп А, С, W, Y) конъюгированной, вакциной для профилактики ротавирусной инфекции, вакциной для профилактики кори, паротита, краснухи, вакциной для профилактики ветряной оспы. Данные свидетельствуют об отсутствии клинически значимого изменения в выработке антител против каждого из антигенов, входящих в состав вакцин.
Данные клинических исследований свидетельствуют о более высокой частоте встречаемости повышения температуры тела у детей, одновременно получавших вакцину Инфанрикс Гекса и пневмококковую конъюгированную вакцину, по сравнению с детьми, получавшими только вакцину Инфанрикс Гекса.
Вакцину Инфанрикс Гекса нельзя смешивать с другими вакцинами в одном шприце.</t>
  </si>
  <si>
    <t>&lt;p&gt;Вакцину Инфанрикс Гекса можно вводить одновременно с вакциной пневмококковой конъюгированной, менингококковой (серогруппы С) конъюгированной, менингококковой (серогрупп А, С, W, Y) конъюгированной, вакциной для профилактики ротавирусной инфекции, вакциной для профилактики кори, паротита, краснухи, вакциной для профилактики ветряной оспы. Данные свидетельствуют об отсутствии клинически значимого изменения в выработке антител против каждого из антигенов, входящих в состав вакцин.&lt;br&gt;&lt;br&gt;
Данные клинических исследований свидетельствуют о более высокой частоте встречаемости повышения температуры тела у детей, одновременно получавших вакцину Инфанрикс Гекса и пневмококковую конъюгированную вакцину, по сравнению с детьми, получавшими только вакцину Инфанрикс Гекса.&lt;br&gt;&lt;br&gt;
Вакцину Инфанрикс Гекса нельзя смешивать с другими вакцинами в одном шприце.&lt;/p&gt;</t>
  </si>
  <si>
    <t>В соответствии с национальными рекомендациями допускается одновременное введение вакцины Бубо-М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Бубо-М является неживой.</t>
  </si>
  <si>
    <t>&lt;p&gt;В соответствии с национальными рекомендациями допускается одновременное введение вакцины Бубо-М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Бубо-М является неживой.&lt;/p&gt;</t>
  </si>
  <si>
    <t>АД-М-анатоксин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АД-М-анатоксин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Допускается введение неживых вакцин с любым интервалом между собой, между живой и неживой вакцинами, также допустим любой интервал. Интервал до и после введения вакцин против туберкулеза от введения других вакцин составляет 1 месяц.</t>
  </si>
  <si>
    <t>&lt;p&gt;АД-М-анатоксин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АД-М-анатоксин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Допускается введение неживых вакцин с любым интервалом между собой, между живой и неживой вакцинами, также допустим любой интервал. Интервал до и после введения вакцин против туберкулеза от введения других вакцин составляет 1&amp;nbsp;месяц.&lt;/p&gt;</t>
  </si>
  <si>
    <t>АДС-анатоксин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Допускается введение неживых вакцин с любым интервалом между собой, между живой и неживой вакцинами, также допустим любой интервал. Интервал до и после введения вакцины против туберкулеза от введения других вакцин составляет 1 месяц.</t>
  </si>
  <si>
    <t>&lt;p&gt;АДС-анатоксин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Допускается введение неживых вакцин с любым интервалом между собой, между живой и неживой вакцинами, также допустим любой интервал. Интервал до и после введения вакцины против туберкулеза от введения других вакцин составляет 1&amp;nbsp;месяц.&lt;/p&gt;</t>
  </si>
  <si>
    <t>АДС-М-анатоксин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t>
  </si>
  <si>
    <t>&lt;p&gt;АДС-М-анатоксин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тела.&lt;/p&gt;</t>
  </si>
  <si>
    <t>АДС-М анатоксин можно вводить одновременно с полиомиелитной вакциной и другими препаратами национального календаря прививок.</t>
  </si>
  <si>
    <t>&lt;p&gt;АДС-М анатоксин можно вводить одновременно с полиомиелитной вакциной и другими препаратами национального календаря прививок.&lt;/p&gt;</t>
  </si>
  <si>
    <t>Вакцину Адасель можно вводить одновременно с противогриппозной вакциной, вакциной для профилактики гепатита B, папилломавируса, четырехвалентной полисахаридной конъюгированной вакциной для профилактики менингита (A, C, Y и W-135), вакциной для профилактики полиомиелита инактивированной, вакциной для профилактики полиомиелита пероральной. В соответствии с национальными рекомендациями, возрастом пациента и его предыдущим графиком вакцинации, иные живые или инактивированные вакцины могут быть введены одновременно с вакциной Адасель.
Как при одновременном введении вакцины Адасель и трехвалентной инактивированной противогриппозной вакцины, так и при введении этих вакцин с интервалом 1 мес, были получены сопоставимые результаты в отношении безопасности и иммуногенности у подростков и взрослых (в возрасте от 19 до 64 лет).
У подростков (в возрасте от 11 до 12 лет) сравнивали безопасность и иммуногенность вакцины Адасель и вакцины для профилактики гепатита В, которые назначали как одновременно, так и с интервалом в 1 мес. В ходе формирования иммунного ответа не наблюдалось взаимного влияния ни на один из антигенов, независимо от того, вводились ли вакцина Адасель и вакцина для профилактики гепатита В одновременно или в разное время. При одновременном введении с другими вакцинами, каждую вакцину следует вводить разными шприцами, в разные участки тела, предпочтительно, в разные конечности.</t>
  </si>
  <si>
    <t>&lt;p&gt;Вакцину Адасель можно вводить одновременно с противогриппозной вакциной, вакциной для профилактики гепатита B, папилломавируса, четырехвалентной полисахаридной конъюгированной вакциной для профилактики менингита (A, C, Y и W-135), вакциной для профилактики полиомиелита инактивированной, вакциной для профилактики полиомиелита пероральной. В соответствии с национальными рекомендациями, возрастом пациента и его предыдущим графиком вакцинации, иные живые или инактивированные вакцины могут быть введены одновременно с вакциной Адасель.&lt;/p&gt;
&lt;p&gt;Как при одновременном введении вакцины Адасель и трехвалентной инактивированной противогриппозной вакцины, так и при введении этих вакцин с интервалом 1&amp;nbsp;мес, были получены сопоставимые результаты в отношении безопасности и иммуногенности у подростков и взрослых (в возрасте от 19 до 64&amp;nbsp;лет).&lt;/p&gt;
&lt;p&gt;У подростков (в возрасте от 11 до 12&amp;nbsp;лет) сравнивали безопасность и иммуногенность вакцины Адасель и вакцины для профилактики гепатита В, которые назначали как одновременно, так и с интервалом в 1&amp;nbsp;мес. В ходе формирования иммунного ответа не наблюдалось взаимного влияния ни на один из антигенов, независимо от того, вводились ли вакцина Адасель и вакцина для профилактики гепатита В одновременно или в разное время. При одновременном введении с другими вакцинами, каждую вакцину следует вводить разными шприцами, в разные участки тела, предпочтительно, в разные конечности.&lt;/p&gt;</t>
  </si>
  <si>
    <r>
      <rPr>
        <rFont val="Arial"/>
        <color theme="1"/>
      </rPr>
      <t xml:space="preserve">АЛЬГАВАК® М можно вводить одновременно (в один день) или с интервалом 1 месяц с другими инактивированными вакцинами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антирабической вакцины).
</t>
    </r>
    <r>
      <rPr>
        <rFont val="Arial"/>
        <i/>
        <color theme="1"/>
      </rPr>
      <t>Вакцины вводят отдельными шприцами в разные участки тела.
Вакцину нельзя смешивать в одном шприце с другими вакцинами.</t>
    </r>
    <r>
      <rPr>
        <rFont val="Arial"/>
        <color theme="1"/>
      </rPr>
      <t xml:space="preserve">
АЛЬГАВАК® М можно использовать для ревакцинации в тех случаях, когда предыдущая вакцинация осуществлялась другими инактивированными вакцинами для профилактики гепатита А.</t>
    </r>
  </si>
  <si>
    <t>&lt;p&gt;АЛЬГАВАК®&amp;nbsp;М можно вводить одновременно (в один день) или с интервалом 1&amp;nbsp;месяц с другими инактивированными вакцинами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антирабической вакцины).&lt;/p&gt;
&lt;p&gt;&lt;i&gt;Вакцины вводят отдельными шприцами в разные участки тела.&lt;/i&gt;&lt;/p&gt;
&lt;p&gt;&lt;i&gt;Вакцину нельзя смешивать в одном шприце с другими вакцинами.&lt;/i&gt;&lt;/p&gt;
&lt;p&gt;АЛЬГАВАК®&amp;nbsp;М можно использовать для ревакцинации в тех случаях, когда предыдущая вакцинация осуществлялась другими инактивированными вакцинами для профилактики гепатита А.&lt;/p&gt;</t>
  </si>
  <si>
    <t>Вакцину АЛЬГАВАК можно вводить одновременно (в один день) или с интервалом 1 месяц с другими инактивированными вакцинами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антирабической вакцины).
Вакцины вводят отдельными шприцами в разные участки тела.
Вакцину нельзя смешивать в одном шприце с другими вакцинами.</t>
  </si>
  <si>
    <t>&lt;p&gt;Вакцину АЛЬГАВАК можно вводить одновременно (в один день) или с интервалом 1&amp;nbsp;месяц с другими инактивированными вакцинами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антирабической вакцины).&lt;br&gt;
Вакцины вводят отдельными шприцами в разные участки тела.&lt;br&gt;
Вакцину нельзя смешивать в одном шприце с другими вакцинами.&lt;/p&gt;</t>
  </si>
  <si>
    <t>Поскольку вакцина Хаврикс является инактивированной вакциной, маловероятно, что ее одновременное введение с другими инактивированными вакцинами приведет к нарушению формирования иммунного ответа.
Вакцину Хаврикс можно вводить одновременно со следующими вакцинами Национального календаря профилактических прививок и календаря профилактических прививок по эпидемическим показаниям:
• вакцина для профилактики брюшного тифа;
• вакцина для профилактики желтой лихорадки;
• вакцина для профилактики столбняка;
• моновалентные и комбинированные вакцины для профилактики кори, эпидемического паротита, краснухи, ветряной оспы.
Если возникает необходимость ввести вакцину Хаврикс с другими вакцинами, то препараты вводят с использованием отдельных шприцев и игл в разные участки тела.</t>
  </si>
  <si>
    <t>&lt;p&gt;Поскольку вакцина Хаврикс является инактивированной вакциной, маловероятно, что ее одновременное введение с другими инактивированными вакцинами приведет к нарушению формирования иммунного ответа.&lt;br&gt;
Вакцину Хаврикс можно вводить одновременно со следующими вакцинами Национального календаря профилактических прививок и календаря профилактических прививок по эпидемическим показаниям:
&lt;ul&gt;&lt;li&gt;вакцина для профилактики брюшного тифа;&lt;/li&gt;
&lt;li&gt;вакцина для профилактики желтой лихорадки;&lt;/li&gt;
&lt;li&gt;вакцина для профилактики столбняка;&lt;/li&gt;
&lt;li&gt;моновалентные и комбинированные вакцины для профилактики кори, эпидемического паротита, краснухи, ветряной оспы.&lt;/li&gt;&lt;/ul&gt;
Если возникает необходимость ввести вакцину Хаврикс с другими вакцинами, то препараты вводят с использованием отдельных шприцев и игл в разные участки тела.&lt;/p&gt;</t>
  </si>
  <si>
    <t>Вакцина Аваксим 80 (вакцина для профилактики гепатита А инактивированная, адсорбированная) может быть введена одновременно в разные участки тела с вакцинами, входящими в национальный календарь профилактических прививок и содержащими один или более следующих компонентов: анатоксины дифтерийный, столбнячный; вакцины против вирусного гепатита В, коклюша (бесклеточная или цельноклеточная), гемофильной инфекции типа b, полиомиелита (живая или инактивированная), против кори, эндемического паротита и краснухи.
Поскольку данная вакцина является инактивированной, ее комбинация с другими инактивированными вакцинами обычно не влияет на эффективность вакцинации при условии введения вакцин в разные участки тела.
Вакцина Аваксим 80 (вакцина для профилактики гепатита А инактивированная, адсорбированная) может использоваться в качестве ревакцинирующей дозы в случае, если для проведения первичной вакцинации была использована другая инактивированная вакцина против гепатита А.</t>
  </si>
  <si>
    <t>&lt;p&gt;Вакцина Аваксим&amp;nbsp;80 (вакцина для профилактики гепатита А инактивированная, адсорбированная) может быть введена одновременно в разные участки тела с вакцинами, входящими в национальный календарь профилактических прививок и содержащими один или более следующих компонентов: анатоксины дифтерийный, столбнячный; вакцины против вирусного гепатита В, коклюша (бесклеточная или цельноклеточная), гемофильной инфекции типа b, полиомиелита (живая или инактивированная), против кори, эндемического паротита и краснухи.&lt;/p&gt;
&lt;p&gt;Поскольку данная вакцина является инактивированной, ее комбинация с другими инактивированными вакцинами обычно не влияет на эффективность вакцинации при условии введения вакцин в разные участки тела.&lt;/p&gt;
&lt;p&gt;Вакцина Аваксим&amp;nbsp;80 (вакцина для профилактики гепатита А инактивированная, адсорбированная) может использоваться в качестве ревакцинирующей дозы в случае, если для проведения первичной вакцинации была использована другая инактивированная вакцина против гепатита А.&lt;/p&gt;</t>
  </si>
  <si>
    <t xml:space="preserve">Вакцина Аваксим 160 может быть введена одновременно в разные части тела, с вакциной для профилактики вирусного гепатита В, вакциной для профилактики брюшного тифа и вакциной для профилактики желтой лихорадки. 
Поскольку данная данная вакцина является инактивированной, ее комбинация с другими инактивированными вакцинами обычно не влияет на эффективность вакцинации при условии введения вакцин в разные части тела. 
Вакцина Аваксим 160 может использоваться в качестве ревакцинирующей дозы в случае, если для проведения первичной вакцинации была использована другая инактивированная вакцина против гепатита А. 
</t>
  </si>
  <si>
    <t xml:space="preserve">&lt;p&gt;Вакцина Аваксим&amp;nbsp;160 может быть введена одновременно в разные части тела, с вакциной для профилактики вирусного гепатита В, вакциной для профилактики брюшного тифа и вакциной для профилактики желтой лихорадки.&lt;/p&gt;
&lt;p&gt;Поскольку данная данная вакцина является инактивированной, ее комбинация с другими инактивированными вакцинами обычно не влияет на эффективность вакцинации при условии введения вакцин в разные части тела.&lt;/p&gt;
&lt;p&gt;Вакцина Аваксим&amp;nbsp;160 может использоваться в качестве ревакцинирующей дозы в случае, если для проведения первичной вакцинации была использована другая инактивированная вакцина против гепатита А.&lt;/p&gt;
</t>
  </si>
  <si>
    <t>Плановые прививки против гепатита В можно проводить одновременно (в один день) с вакцинами Национального календаря профилактических прививок (за исключением вакцины БЦЖ), а также инактивированными вакцинами календаря профилактических прививок по эпидемическим показаниям.
Возможно использование вакцины Регевак В (Вакцина против гепатита В, рекомбинантная дрожжевая жидкая) для завершения курса прививок, начатого другими вакцинами против гепатита В, равно как и для ревакцинации при необходимости.</t>
  </si>
  <si>
    <t>&lt;p&gt;Плановые прививки против гепатита В можно проводить одновременно (в один день) с вакцинами Национального календаря профилактических прививок (за исключением вакцины БЦЖ), а также инактивированными вакцинами календаря профилактических прививок по эпидемическим показаниям.&lt;/p&gt;
&lt;p&gt;Возможно использование вакцины Регевак В (Вакцина против гепатита В, рекомбинантная дрожжевая жидкая) для завершения курса прививок, начатого другими вакцинами против гепатита В, равно как и для ревакцинации при необходимости.&lt;/p&gt;</t>
  </si>
  <si>
    <t>В соответствии с национальными рекомендациями допускается одновременное введение вакцины для профилактики гепатита В (рДНК, адсорбированной)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для профилактики гепатита В (рДНК, адсорбированная) является неживой.</t>
  </si>
  <si>
    <t>&lt;p&gt;В соответствии с национальными рекомендациями допускается одновременное введение вакцины для профилактики гепатита В (рДНК, адсорбированной)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для профилактики гепатита В (рДНК, адсорбированная) является неживой.&lt;/p&gt;</t>
  </si>
  <si>
    <t>Вакцину Эувакс В можно применять одновременно (в один день) с вакцинами для профилактики дифтерии, столбняка, коклюша, краснухи, кори, паротита, полиомиелита. При этом препараты вводятся в разные участки тела с использованием разных шприцев.
Вакцину Эувакс В нельзя смешивать в одном шприце с другими [...] вакцинами.</t>
  </si>
  <si>
    <t>&lt;p&gt;Вакцину Эувакс&amp;nbsp;В можно применять одновременно (в один день) с вакцинами для профилактики дифтерии, столбняка, коклюша, краснухи, кори, паротита, полиомиелита. При этом препараты вводятся в разные участки тела с использованием разных шприцев.&lt;/p&gt;
&lt;p&gt;Вакцину Эувакс&amp;nbsp;В нельзя смешивать в одном шприце с другими [...] вакцинами.&lt;/p&gt;</t>
  </si>
  <si>
    <t>Вакцину Эувакс В можно применять одновременно (в один день) с вакцинами для профилактики дифтерии, столбняка, коклюша, краснухи, кори, паротита, полиомиелита. При этом препараты вводятся в разные участки тела с использованием разных шприцев.
Вакцину Эувакс В нельзя смешивать в одном шприце с другими вакцинами.</t>
  </si>
  <si>
    <t>&lt;p&gt;Вакцину Эувакс&amp;nbsp;В можно применять одновременно (в один день) с вакцинами для профилактики дифтерии, столбняка, коклюша, краснухи, кори, паротита, полиомиелита. При этом препараты вводятся в разные участки тела с использованием разных шприцев.&lt;/p&gt;
&lt;p&gt;Вакцину Эувакс&amp;nbsp;В нельзя смешивать в одном шприце с другими вакцинами.&lt;/p&gt;</t>
  </si>
  <si>
    <t>Вакцина Церварикс может применяться одновременно с другими вакцинами, такими как:
• инактивированная вакцина для профилактики полиомиелита;
• инактивированная вакцина для профилактики гепатита А;
• рекомбинантная вакцина для профилактики гепатита В;
• комбинированная вакцина для профилактики гепатитов А и В.
Если возникает необходимость ввести вакцину Церварикс с другими вакцинами, то вакцины вводят с использованием отдельных шприцев и игл в разные участки тела.</t>
  </si>
  <si>
    <t>&lt;p&gt;Вакцина Церварикс может применяться одновременно с другими вакцинами, такими как:
&lt;ul&gt;&lt;li&gt;инактивированная вакцина для профилактики полиомиелита;&lt;/li&gt;
&lt;li&gt;инактивированная вакцина для профилактики гепатита А;&lt;/li&gt;
&lt;li&gt;рекомбинантная вакцина для профилактики гепатита В;&lt;/li&gt;
&lt;li&gt;комбинированная вакцина для профилактики гепатитов А и В.&lt;/li&gt;&lt;/ul&gt;
Если возникает необходимость ввести вакцину Церварикс с другими вакцинами, то вакцины вводят с использованием отдельных шприцев и игл в разные участки тела.&lt;/p&gt;</t>
  </si>
  <si>
    <t>Вакцину Гардасил можно вводить одновременно (в другой участок тела) с рекомбинантной вакциной против гепатита В, с вакциной менингококковой, конъюгированной с дифтерийным анатоксином, и с инактивированной вакциной против дифтерии, столбняка, коклюша (бесклеточный компонент), вакциной против полиомиелита (инактивированной).</t>
  </si>
  <si>
    <r>
      <rPr>
        <rFont val="Arial"/>
        <i/>
        <color theme="1"/>
      </rPr>
      <t>&lt;p&gt;</t>
    </r>
    <r>
      <rPr>
        <rFont val="Arial"/>
        <color theme="1"/>
      </rPr>
      <t>Вакцину Гардасил можно вводить одновременно (в другой участок тела) с рекомбинантной вакциной против гепатита В, с вакциной менингококковой, конъюгированной с дифтерийным анатоксином, и с инактивированной вакциной против дифтерии, столбняка, коклюша (бесклеточный компонент), вакциной против полиомиелита (инактивированной).&lt;/p&gt;</t>
    </r>
  </si>
  <si>
    <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как лекарственного препарата Гам-КОВИД-Вак (Комбинированная векторная вакцина для профилактики коронавирусной инфекции, вызываемой вирусом SARS-CoV-2), так и гриппозной вакцины в эксперименте при их одновременном введении. Ожидается отсутствие снижения иммуногенности для расщепленных, субъединичных и полимерсубъединичных гриппозных вакцин.
Допускается одновременное введение вакцины Гам-КОВИД-Вак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В случае раздельного (не в один календарный день) введения вакцины Гам-КОВИД-Вак и других вакцин, допустим любой интервал между введениями, т.к. вакцина Гам-КОВИД-Вак является неживой.</t>
  </si>
  <si>
    <t>&lt;p&gt;Взаимодействие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как лекарственного препарата Гам-КОВИД-Вак (Комбинированная векторная вакцина для профилактики коронавирусной инфекции, вызываемой вирусом SARS-CoV-2), так и гриппозной вакцины в эксперименте при их одновременном введении. Ожидается отсутствие снижения иммуногенности для расщепленных, субъединичных и полимерсубъединичных гриппозных вакцин.&lt;br&gt;
Допускается одновременное введение вакцины Гам-КОВИД-Вак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В случае раздельного (не в один календарный день) введения вакцины Гам-КОВИД-Вак и других вакцин, допустим любой интервал между введениями, т.к. вакцина Гам-КОВИД-Вак является неживой.&lt;/p&gt;</t>
  </si>
  <si>
    <t>Взаимодействие с другими вакцинами не изучалось.</t>
  </si>
  <si>
    <t>&lt;p&gt;Взаимодействие с другими вакцинами не изучалось.&lt;/p&gt;</t>
  </si>
  <si>
    <t>Вакцина может применяться одновременно с другими инактивированными вакцинами, а также с вакцинами национального календаря профилактических прививок, за исключением БЦЖ. При этом должны учитываться противопоказания к каждой из применяемых вакцин, препараты должны вводиться в разные участки тела разными шприцами.</t>
  </si>
  <si>
    <t>&lt;p&gt;Вакцина может применяться одновременно с другими инактивированными вакцинами, а также с вакцинами национального календаря профилактических прививок, за исключением БЦЖ. При этом должны учитываться противопоказания к каждой из применяемых вакцин, препараты должны вводиться в разные участки тела разными шприцами.&lt;/p&gt;</t>
  </si>
  <si>
    <t>Вакцина Гриппол® может применяться одновременно с вакцинами национального календаря профилактических прививок (за исключением БЦЖ и БЦЖ-М) и инактивированными вакцинами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Разные препараты должны вводиться в разные участки тела разными шприцами.</t>
  </si>
  <si>
    <t>&lt;p&gt;Вакцина Гриппол® может применяться одновременно с вакцинами национального календаря профилактических прививок (за исключением БЦЖ и БЦЖ-М) и инактивированными вакцинами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Разные препараты должны вводиться в разные участки тела разными шприцами.&lt;/p&gt;</t>
  </si>
  <si>
    <t>Вакцина Гриппол плюс может применяться одновременно с инактивированными и живыми вакцинами Национального календаря профилактических прививок (за исключением БЦЖ (вакцина против туберкулеза) и БЦЖ-М (вакцина против туберкулеза для щадящей первичной иммунизации) и инактивированными вакцинами календаря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препараты следует вводить в разные участки тела разными шприцами.</t>
  </si>
  <si>
    <t>&lt;p&gt;Вакцина Гриппол плюс может применяться одновременно с инактивированными и живыми вакцинами Национального календаря профилактических прививок (за исключением БЦЖ (вакцина против туберкулеза) и БЦЖ-М (вакцина против туберкулеза для щадящей первичной иммунизации) и инактивированными вакцинами календаря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препараты следует вводить в разные участки тела разными шприцами.&lt;/p&gt;</t>
  </si>
  <si>
    <t>Допускается одновременное введение вакцины СОВИГРИПП с другими вакцинами (за исключением антирабических вакцин и вакцин для профилактики туберкулеза)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СОВИГРИПП и других вакцин, допустим любой интервал между введениями, т.к. вакцина СОВИГРИПП является инактивированной.
Интервал до и после введения вакцины для профилактики туберкулеза и вакцины СОВИГРИПП составляет 1 месяц.
Введение вакцины СОВИГРИПП допускается не ранее, чем через 2 месяца после окончания курса лечебно-профилактической иммунизации против бешенства или за 1 месяц до или после профилактической иммунизации против бешенства.</t>
  </si>
  <si>
    <t>&lt;p&gt;Допускается одновременное введение вакцины СОВИГРИПП с другими вакцинами (за исключением антирабических вакцин и вакцин для профилактики туберкулеза)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2,5—3&amp;nbsp;см,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СОВИГРИПП и других вакцин, допустим любой интервал между введениями, т.к. вакцина СОВИГРИПП является инактивированной.&lt;br&gt;
Интервал до и после введения вакцины для профилактики туберкулеза и вакцины СОВИГРИПП составляет 1&amp;nbsp;месяц.&lt;br&gt;
Введение вакцины СОВИГРИПП допускается не ранее, чем через 2&amp;nbsp;месяца после окончания курса лечебно-профилактической иммунизации против бешенства или за 1&amp;nbsp;месяц до или после профилактической иммунизации против бешенства.&lt;/p&gt;</t>
  </si>
  <si>
    <t>Вакцина может применяться одновременно с другими инактивированными вакцинами. При этом должны учитываться противопоказания к каждой из применяемых вакцин, препараты должны вводиться в разные участки тела разными шприцами.</t>
  </si>
  <si>
    <t>&lt;p&gt;Вакцина может применяться одновременно с другими инактивированными вакцинами. При этом должны учитываться противопоказания к каждой из применяемых вакцин, препараты должны вводиться в разные участки тела разными шприцами.&lt;/p&gt;</t>
  </si>
  <si>
    <t>Вакцинация может быть проведена одновременно (в один день) с любыми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При этом препараты вводят отдельными шприцами в разные участки тела. При необходимости раздельного (не в один календарный день) введения вакцины Флю-М и других вакцин, допустим любой интервал между введениями, так как вакцина Флю-М является инактивированной. Интервал до и после введения вакцины для профилактики туберкулеза и вакцины Флю-М составляет 1 месяц.</t>
  </si>
  <si>
    <t>&lt;p&gt;Вакцинация может быть проведена одновременно (в один день) с любыми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При этом препараты вводят отдельными шприцами в разные участки тела. При необходимости раздельного (не в один календарный день) введения вакцины Флю-М и других вакцин, допустим любой интервал между введениями, так как вакцина Флю-М является инактивированной. Интервал до и после введения вакцины для профилактики туберкулеза и вакцины Флю-М составляет 1&amp;nbsp;месяц.&lt;/p&gt;</t>
  </si>
  <si>
    <t>Вакцина Ваксигрип® может применяться одновременно (в один день) с другими вакцинами. При этом препараты должны вводиться в разные участки тела с использованием разных шприцев.</t>
  </si>
  <si>
    <t>&lt;p&gt;Вакцина Ваксигрип® может применяться одновременно (в один день) с другими вакцинами. При этом препараты должны вводиться в разные участки тела с использованием разных шприцев.&lt;/p&gt;</t>
  </si>
  <si>
    <t>Препарат Инфлювак можно применять одновременно с другими вакцинами в один день разными шприцами в разные участки тела (кроме вакцин для профилактики туберкулеза). Возможно усиление нежелательных реакций. При неодновременном (не в один календарный день) введении с другими вакцинами допустим любой интервал, так как вакцина Инфлювак является инактивированной.</t>
  </si>
  <si>
    <t>&lt;p&gt;Препарат Инфлювак можно применять одновременно с другими вакцинами в один день разными шприцами в разные участки тела (кроме вакцин для профилактики туберкулеза). Возможно усиление нежелательных реакций. При неодновременном (не в один календарный день) введении с другими вакцинами допустим любой интервал, так как вакцина Инфлювак является инактивированной.&lt;/p&gt;</t>
  </si>
  <si>
    <t>Вакцина Ультрикс® Квадри может применяться одновременно с инактивированными и живыми вакцинами Национального календаря профилактических прививок (за исключением туберкулезных вакцин) и инактивированными вакцинами Календаря профилактических прививок по эпидемиологическим показаниям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t>
  </si>
  <si>
    <t>&lt;p&gt;Вакцина Ультрикс® Квадри может применяться одновременно с инактивированными и живыми вакцинами Национального календаря профилактических прививок (за исключением туберкулезных вакцин) и инактивированными вакцинами Календаря профилактических прививок по эпидемиологическим показаниям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шприцами.&lt;/p&gt;</t>
  </si>
  <si>
    <t>Вакцина Гриппол Квадривалент может применяться одновременно с инактивированными и живыми вакцинами Национального календаря профилактических прививок (за исключением БЦЖ (вакцина против туберкулеза) и БЦЖ-М (вакцина против туберкулеза для щадящей первичной иммунизации) и инактивированными вакцинами календаря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препараты следует вводить в разные участки тела разными шприцами.</t>
  </si>
  <si>
    <t>&lt;p&gt;Вакцина Гриппол Квадривалент может применяться одновременно с инактивированными и живыми вакцинами Национального календаря профилактических прививок (за исключением БЦЖ (вакцина против туберкулеза) и БЦЖ-М (вакцина против туберкулеза для щадящей первичной иммунизации) и инактивированными вакцинами календаря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препараты следует вводить в разные участки тела разными шприцами.&lt;/p&gt;</t>
  </si>
  <si>
    <t>Вакцинация против кори может быть проведена одновременно (в один день) с другими прививками Национального календаря профилактических прививок (против эпидемического паротита, краснухи, полиомиелита, гепатита В, коклюша, дифтерии, столбняка, гриппа) или не ранее чем через 1 мес после предшествующей прививки.</t>
  </si>
  <si>
    <t>&lt;p&gt;Вакцинация против кори может быть проведена одновременно (в один день) с другими прививками Национального календаря профилактических прививок (против эпидемического паротита, краснухи, полиомиелита, гепатита В, коклюша, дифтерии, столбняка, гриппа) или не ранее чем через 1&amp;nbsp;мес после предшествующей прививки.&lt;/p&gt;</t>
  </si>
  <si>
    <t>В соответствии с национальными рекомендациями допускается одновременное введение Вакцины против кори живой аттенуированной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Вакцины против кори живой аттенуированной и других живых вакцин, рекомендуется интервал 1 месяц; при введении с неживыми вакцинами допустим любой интервал.</t>
  </si>
  <si>
    <t>&lt;p&gt;В соответствии с национальными рекомендациями допускается одновременное введение Вакцины против кори живой аттенуированной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Вакцины против кори живой аттенуированной и других живых вакцин, рекомендуется интервал 1&amp;nbsp;месяц; при введении с неживыми вакцинами допустим любой интервал.&lt;/p&gt;</t>
  </si>
  <si>
    <t>Вакцинация против кори может быть проведена одновременно (в один день) с другими прививками Национального календаря (против эпидемического паротита, краснухи, полиомиелита, гепатита В, коклюша, дифтерии, столбняка) или не ранее чем через 1 мес после предшествующей прививки.</t>
  </si>
  <si>
    <t>&lt;p&gt;Вакцинация против кори может быть проведена одновременно (в один день) с другими прививками Национального календаря (против эпидемического паротита, краснухи, полиомиелита, гепатита В, коклюша, дифтерии, столбняка) или не ранее чем через 1&amp;nbsp;мес после предшествующей прививки.&lt;/p&gt;</t>
  </si>
  <si>
    <t>Вакцинация может быть проведена одновременно (в один день) с АКДС и АДС вакцинами, живой и инактивированной полиомиелитной вакциной, вакциной против гепатита В, краснухи, гриппа, гемофильной инфекции, при условии введения в разные участки тела. Другие живые вирусные вакцины вводят с интервалом не менее 1 мес.</t>
  </si>
  <si>
    <t>&lt;p&gt;Вакцинация может быть проведена одновременно (в один день) с АКДС и АДС вакцинами, живой и инактивированной полиомиелитной вакциной, вакциной против гепатита В, краснухи, гриппа, гемофильной инфекции, при условии введения в разные участки тела. Другие живые вирусные вакцины вводят с интервалом не менее 1&amp;nbsp;мес.&lt;/p&gt;</t>
  </si>
  <si>
    <t>Вакцинация может быть проведена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антирабических вакцин и вакцин для профилактики туберкулеза. При этом препараты вводят отдельными шприцами в разные участки тела. При неодновременном введении живых вакцин между ними рекомендуется интервал 1 месяц, между живой и неживой вакцинами допустим любой интервал введения.</t>
  </si>
  <si>
    <t>&lt;p&gt;Вакцинация может быть проведена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антирабических вакцин и вакцин для профилактики туберкулеза. При этом препараты вводят отдельными шприцами в разные участки тела. При неодновременном введении живых вакцин между ними рекомендуется интервал 1&amp;nbsp;месяц, между живой и неживой вакцинами допустим любой интервал введения.&lt;/p&gt;</t>
  </si>
  <si>
    <r>
      <rPr>
        <rFont val="Arial"/>
        <color theme="1"/>
      </rPr>
      <t>Вакцину М-М-Р II® следует назначать за 1 месяц до или через 1 месяц после введения других живых вирусных вакцин.
Вакцину М-М-Р II® применяли одновременно с конъюгированной инактивированной вакциной против гемофильной инфекции типа b (</t>
    </r>
    <r>
      <rPr>
        <rFont val="Arial"/>
        <i/>
        <color theme="1"/>
      </rPr>
      <t>Haemophilus influenza type b</t>
    </r>
    <r>
      <rPr>
        <rFont val="Arial"/>
        <color theme="1"/>
      </rPr>
      <t>) и живой аттенуированной вакциной против ветряной оспы, при этом вакцины вводились разными шприцами в разные участки тела. Не было обнаружено нарушений иммунного ответа на вводимые антигены, а характер, частота и выраженность побочных реакций были сходными с таковыми при введении вакцин по-отдельности.
Применение АКДС (вакцина против коклюша, дифтерии и столбняка) и/или ОПВ (вакцины оральной полиомиелитной) одновременно с вакциной против кори, паротита и краснухи не рекомендуется в связи с ограниченными данными по результатам их одновременного введения.
Также использовались  иные схемы иммунизации. Данные опубликованных исследований, касающиеся одновременного введения рекомендованных вакцин для плановой иммунизации (например, АКДС [или АаКДС], ИПВ [или ОПВ], вакцины против гемофильной инфекции типа b с/или без вакцины для профилактики гепатита В, и вакцины против ветряной оспы) с другими педиатрическими вакцинами (живыми, аттенуированными или инактивированными), не выявили каого-либо взаимодействия между ними.</t>
    </r>
  </si>
  <si>
    <r>
      <rPr>
        <rFont val="Arial"/>
        <color theme="1"/>
      </rPr>
      <t>&lt;p&gt;Вакцину М-М-Р&amp;nbsp;II® следует назначать за 1&amp;nbsp;месяц до или через 1&amp;nbsp;месяц после введения других живых вирусных вакцин.&lt;/p&gt;
&lt;p&gt;Вакцину М-М-Р&amp;nbsp;II® применяли одновременно с конъюгированной инактивированной вакциной против гемофильной инфекции типа b (&lt;i&gt;</t>
    </r>
    <r>
      <rPr>
        <rFont val="Arial"/>
        <i/>
        <color theme="1"/>
      </rPr>
      <t>Haemophilus influenza type b&lt;/i&gt;</t>
    </r>
    <r>
      <rPr>
        <rFont val="Arial"/>
        <color theme="1"/>
      </rPr>
      <t>) и живой аттенуированной вакциной против ветряной оспы, при этом вакцины вводились разными шприцами в разные участки тела. Не было обнаружено нарушений иммунного ответа на вводимые антигены, а характер, частота и выраженность побочных реакций были сходными с таковыми при введении вакцин по-отдельности.&lt;/p&gt;
&lt;p&gt;Применение АКДС (вакцина против коклюша, дифтерии и столбняка) и/или ОПВ (вакцины оральной полиомиелитной) одновременно с вакциной против кори, паротита и краснухи не рекомендуется в связи с ограниченными данными по результатам их одновременного введения.&lt;/p&gt;
&lt;p&gt;Также использовались  иные схемы иммунизации. Данные опубликованных исследований, касающиеся одновременного введения рекомендованных вакцин для плановой иммунизации (например, АКДС [или АаКДС], ИПВ [или ОПВ], вакцины против гемофильной инфекции типа b с/или без вакцины для профилактики гепатита В, и вакцины против ветряной оспы) с другими педиатрическими вакцинами (живыми, аттенуированными или инактивированными), не выявили каого-либо взаимодействия между ними.&lt;/p&gt;</t>
    </r>
  </si>
  <si>
    <t>Пункт "Применение с другими вакцинами" содержится в разделе "Способ применения и дозы".</t>
  </si>
  <si>
    <t>Допускается одновременное введение Вакцины менингококковой группы А полисахаридной с другими инактивированными вакцинами Национального календаря профилактических прививок и прививок по эпидемическим показаниям при условии их введения разными шприцами в разные участки тела. Интервал между вакцинациями при раздельном введении инактивированных вакцин или введении живых вакцин должен составлять не менее 1 месяца.</t>
  </si>
  <si>
    <t>&lt;p&gt;Допускается одновременное введение Вакцины менингококковой группы&amp;nbsp;А полисахаридной с другими инактивированными вакцинами Национального календаря профилактических прививок и прививок по эпидемическим показаниям при условии их введения разными шприцами в разные участки тела. Интервал между вакцинациями при раздельном введении инактивированных вакцин или введении живых вакцин должен составлять не менее 1&amp;nbsp;месяца.&lt;/p&gt;</t>
  </si>
  <si>
    <t>Эффективность и безопасность введения препарата Вакцина менингококковая групп А и С полисахаридная с другими вакцинами национального календаря профилактических прививок не изучалась.
Допускается одновременное введение Вакцины менингококковой групп А и С полисахаридной с другими вакцинами Национального календаря профилактических прививок и прививок по эпидемическим показаниям (кроме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Вакцины менингококковой групп А и С полисахаридной и других вакцин, допустим любой интервал между введениями, т.к. Вакцина менингококковая групп А и С полисахаридная является инактивированной.</t>
  </si>
  <si>
    <t>&lt;p&gt;Эффективность и безопасность введения препарата Вакцина менингококковая групп А и С полисахаридная с другими вакцинами национального календаря профилактических прививок не изучалась.&lt;/p&gt;
&lt;p&gt;Допускается одновременное введение Вакцины менингококковой групп А и С полисахаридной с другими вакцинами Национального календаря профилактических прививок и прививок по эпидемическим показаниям (кроме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Вакцины менингококковой групп А и С полисахаридной и других вакцин, допустим любой интервал между введениями, т.к. Вакцина менингококковая групп А и С полисахаридная является инактивированной.&lt;/p&gt;</t>
  </si>
  <si>
    <r>
      <rPr>
        <rFont val="Arial"/>
        <color theme="1"/>
      </rPr>
      <t xml:space="preserve">Вакцина Менактра может применяться одновременно со следующими вакцинами: столбнячной, дифтерийной, коклюшной (бесклеточной), инактивированной полиомиелитной, вакциной для профилактики инфекций, вызываемых </t>
    </r>
    <r>
      <rPr>
        <rFont val="Arial"/>
        <i/>
        <color theme="1"/>
      </rPr>
      <t>Haemophilus influenzae</t>
    </r>
    <r>
      <rPr>
        <rFont val="Arial"/>
        <color theme="1"/>
      </rPr>
      <t xml:space="preserve"> тип </t>
    </r>
    <r>
      <rPr>
        <rFont val="Arial"/>
        <i/>
        <color theme="1"/>
      </rPr>
      <t>b</t>
    </r>
    <r>
      <rPr>
        <rFont val="Arial"/>
        <color theme="1"/>
      </rPr>
      <t>, кори и краснухи, полисахаридной брюшнотифозной, конъюгированной пневмококковой вакциной, вакцинами против вируса папилломы человека в соответствии с инструкциями по их применению и Национальным календарем профилактических прививок и прививок по эпидемическим показаниям Российской Федерации.
Допускается введение вакцины Менактра с другими инактивированными вакцинами в один день разными шприцами в разные участки тела.
При раздельном введении вакцины Менактра с другими инактивированными либо живыми вакцинами (кроме БЦЖ) допускается их введение с любым интервалом между собой.
Интервал до и после введения вакцины БЦЖ составляет 1 месяц.
При совместном применении вакцины Менактра и вакцины против дифтерии, столбняка и коклюша (бесклеточной) у детей в возрасте от 4 до 6 лет включительно предпочтительно вводить одновременно обе указанные вакцины, или следует вводить вакцину Менактра перед применением вакцины против дифтерии, столбняка и коклюша (бесклеточной). Снижение иммунного ответа на вакцину Менактра было продемонстрированно при ее введении через месяц после введения вакцины против дифтерии, столбняка и коклюша (бесклеточной).
Титры пневмококковых антител против некоторых серотипов, содержащихся в 7-валентной конъюгированной вакцине (ПКВ7), были снижены после одновременного введения вакцины Менактра и вакцины ПКВ7.
Отсутствуют данные по оценке иммунного ответа на введение вакцины Менактра после введения вакцины против дифтерии, столбняка и коклюша (бесклеточной) у детей до 4 лет или на введение вакцины Менактра лицам младше 11 лет после введения других вакцин, содержащих дифтерийный анатоксин.
БЦЖ вакцина не должна применяться одновременно с вакциной Менактра.</t>
    </r>
  </si>
  <si>
    <r>
      <rPr>
        <rFont val="Arial"/>
        <color theme="1"/>
      </rPr>
      <t xml:space="preserve">&lt;p&gt;Вакцина Менактра может применяться одновременно со следующими вакцинами: столбнячной, дифтерийной, коклюшной (бесклеточной), инактивированной полиомиелитной, вакциной для профилактики инфекций, вызываемых </t>
    </r>
    <r>
      <rPr>
        <rFont val="Arial"/>
        <i/>
        <color theme="1"/>
      </rPr>
      <t>&lt;i&gt;Haemophilus influenzae</t>
    </r>
    <r>
      <rPr>
        <rFont val="Arial"/>
        <color theme="1"/>
      </rPr>
      <t xml:space="preserve">&lt;/i&gt; тип </t>
    </r>
    <r>
      <rPr>
        <rFont val="Arial"/>
        <i/>
        <color theme="1"/>
      </rPr>
      <t>&lt;i&gt;b&lt;/i&gt;</t>
    </r>
    <r>
      <rPr>
        <rFont val="Arial"/>
        <color theme="1"/>
      </rPr>
      <t>, кори и краснухи, полисахаридной брюшнотифозной, конъюгированной пневмококковой вакциной, вакцинами против вируса папилломы человека в соответствии с инструкциями по их применению и Национальным календарем профилактических прививок и прививок по эпидемическим показаниям Российской Федерации.&lt;br&gt;
Допускается введение вакцины Менактра с другими инактивированными вакцинами в один день разными шприцами в разные участки тела.&lt;br&gt;
При раздельном введении вакцины Менактра с другими инактивированными либо живыми вакцинами (кроме БЦЖ) допускается их введение с любым интервалом между собой.&lt;br&gt;
Интервал до и после введения вакцины БЦЖ составляет 1&amp;nbsp;месяц.&lt;br&gt;
При совместном применении вакцины Менактра и вакцины против дифтерии, столбняка и коклюша (бесклеточной) у детей в возрасте от 4 до 6&amp;nbsp;лет включительно предпочтительно вводить одновременно обе указанные вакцины, или следует вводить вакцину Менактра перед применением вакцины против дифтерии, столбняка и коклюша (бесклеточной). Снижение иммунного ответа на вакцину Менактра было продемонстрированно при ее введении через месяц после введения вакцины против дифтерии, столбняка и коклюша (бесклеточной).&lt;br&gt;
Титры пневмококковых антител против некоторых серотипов, содержащихся в 7-валентной конъюгированной вакцине (ПКВ7), были снижены после одновременного введения вакцины Менактра и вакцины ПКВ7.&lt;br&gt;
Отсутствуют данные по оценке иммунного ответа на введение вакцины Менактра после введения вакцины против дифтерии, столбняка и коклюша (бесклеточной) у детей до 4&amp;nbsp;лет или на введение вакцины Менактра лицам младше 11&amp;nbsp;лет после введения других вакцин, содержащих дифтерийный анатоксин.&lt;br&gt;
БЦЖ вакцина не должна применяться одновременно с вакциной Менактра.&lt;/p&gt;</t>
    </r>
  </si>
  <si>
    <t>Вакцинация против паротита может быть проведена одновременно (в один день) с другими календарными прививками (против кори, краснухи, полиомиелита, гепатита В, коклюша, дифтерии, столбняка, гриппа, гемофильной инфекции) при условии введения в разные участки тела или не ранее чем через 1 мес после предшествующей прививки.</t>
  </si>
  <si>
    <t>&lt;p&gt;Вакцинация против паротита может быть проведена одновременно (в один день) с другими календарными прививками (против кори, краснухи, полиомиелита, гепатита В, коклюша, дифтерии, столбняка, гриппа, гемофильной инфекции) при условии введения в разные участки тела или не ранее чем через 1&amp;nbsp;мес после предшествующей прививки.&lt;/p&gt;</t>
  </si>
  <si>
    <r>
      <rPr>
        <rFont val="Arial"/>
        <i/>
        <color theme="1"/>
      </rPr>
      <t>Младенцы и дети в возрасте от 6 недель до 5 лет</t>
    </r>
    <r>
      <rPr>
        <rFont val="Arial"/>
        <color theme="1"/>
      </rPr>
      <t xml:space="preserve">
Препарат Превенар 13 можно применять с любыми из следующих вакцинных антигенов, как с моновалентными, так и с комбинированными вакцинами, такими как вакцина против дифтерии, вакцина против столбняка, вакцина с бесклеточным или цельноклеточным коклюшным компонентом, вакцина против </t>
    </r>
    <r>
      <rPr>
        <rFont val="Arial"/>
        <i/>
        <color theme="1"/>
      </rPr>
      <t>Haemophilus influenzae</t>
    </r>
    <r>
      <rPr>
        <rFont val="Arial"/>
        <color theme="1"/>
      </rPr>
      <t xml:space="preserve"> типа </t>
    </r>
    <r>
      <rPr>
        <rFont val="Arial"/>
        <i/>
        <color theme="1"/>
      </rPr>
      <t>b</t>
    </r>
    <r>
      <rPr>
        <rFont val="Arial"/>
        <color theme="1"/>
      </rPr>
      <t xml:space="preserve">, инактивированная полиомиелитная вакцина, вакцина против гепатита B, (для получения рекомендаций по вакцине Инфанрикс Гекса см. раздел 4.4), вакцина против менингококка серогруппы С, вакцины против кори, эпидемического паротита, краснухи, ветряной оспы, и вакцина против ротавируса.
Препарат Превенар 13 также можно применять в период с 12 до 23 месяцев одновременно с менингококковой полисахаридной вакциной серогрупп A, C, W, Y со столбнячным анатоксином у детей, получивших первичную вакцинацию препаратом Превенар 13 (в соответствии с местными рекомендациями).
</t>
    </r>
    <r>
      <rPr>
        <rFont val="Arial"/>
        <i/>
        <color theme="1"/>
      </rPr>
      <t>Дети и подростки в возрасте от 6 до 17 лет</t>
    </r>
    <r>
      <rPr>
        <rFont val="Arial"/>
        <color theme="1"/>
      </rPr>
      <t xml:space="preserve">
В настоящее время данные об одновременном применении с другими вакцинами отсутствуют.
</t>
    </r>
    <r>
      <rPr>
        <rFont val="Arial"/>
        <i/>
        <color theme="1"/>
      </rPr>
      <t>Взрослые пациенты в возрасте от 18 до 49 лет</t>
    </r>
    <r>
      <rPr>
        <rFont val="Arial"/>
        <color theme="1"/>
      </rPr>
      <t xml:space="preserve">
Данные об одновременном применении с другими вакцинами отсутствуют.
</t>
    </r>
    <r>
      <rPr>
        <rFont val="Arial"/>
        <i/>
        <color theme="1"/>
      </rPr>
      <t>Взрослые в возрасте 50 лет и старше</t>
    </r>
    <r>
      <rPr>
        <rFont val="Arial"/>
        <color theme="1"/>
      </rPr>
      <t xml:space="preserve">
Препарат Превенар 13 может применяться совместно с сезонной трехвалентной инактивированной гриппозной вакциной (ТИГВ).
В двух исследованиях, которые проводились у взрослых в возрасте 50-59 и 65 лет и старше, было продемонстрировано, что препарат Превенар 13 можно вводить одновременно с трехвалентной инактивированной гриппозной вакциной (ТИГВ). Ответы на все три антигена ТИГВ были сопоставимыми, когда вводили ТИГВ отдельно или в комбинации с препаратом Превенар 13.
Когда препарат Превенар 13 вводили одновременно с ТИГВ, иммунные ответы на Превенар 13 были более слабыми, чем при введении одного Превенар 13, однако долгосрочный эффект на уровни антител в циркулирующей крови отсутствовал.
В третьем исследовании с участием взрослых в возрасте 50-93 года было продемонстрировано, что препарат Превенар 13 можно вводить одновременно с сезонной четырехвалентной инактивированной вакциной против сезонного гриппа (ЧИГВ). Иммунные ответы на все четыре штамма ЧИГВ были не ниже при применении препарата Превенар 13 одновременно с ЧИГВ, чем при применении только ЧИГВ.
Иммунные ответы на препарат Превенар 13 были не ниже при применении Превенар 13 одновременно с ЧИГВ, чем при применении только препарата Превенар 13. Как и в случае одновременного применения с трехвалентными вакцинами, иммунные ответы на некоторые пневмококковые серотипы были ниже, чем когда обе вакцины применялись одновременно.
Одновременное применение с другими вакцинами не изучалось.
Разные инъекционные вакцины всегда следует вводить в разные места.
Одновременное применение препарата Превенар 13 и 23-валентной пневмококковой полисахаридной вакцины не изучалось. В клинических исследованиях, когда Превенар 13 вводили через 1 год после 23-валентной пневмококковой полисахаридной вакцины, иммунные ответы были более слабыми для всех серотипов, чем когда Превенар 13 вводили лицам, ранее не иммунизированным 23-валентной пневмококковой полисахаридной вакциной. Клиническая значимость этого явления неизвестна.
</t>
    </r>
    <r>
      <rPr>
        <rFont val="Arial"/>
        <i/>
        <color theme="1"/>
      </rPr>
      <t>4.4. Особые указания и меры предосторожности при применении</t>
    </r>
    <r>
      <rPr>
        <rFont val="Arial"/>
        <color theme="1"/>
      </rPr>
      <t xml:space="preserve">
[...] При одновременном применении вакцины Превенар 13 и Инфанрикс Гекса наблюдалось повышение частоты сообщений о развитии судорог (с повышением температуры или без него) и гипотонических-гипореактивных эпизодов (ГГЭ) [...].</t>
    </r>
  </si>
  <si>
    <r>
      <rPr>
        <rFont val="Arial"/>
        <i/>
        <color theme="1"/>
      </rPr>
      <t>&lt;p&gt;&lt;i&gt;Младенцы и дети в возрасте от 6&amp;nbsp;недель до 5&amp;nbsp;лет</t>
    </r>
    <r>
      <rPr>
        <rFont val="Arial"/>
        <color theme="1"/>
      </rPr>
      <t>&lt;/i&gt;&lt;br&gt;
Препарат Превенар&amp;nbsp;13 можно применять с любыми из следующих вакцинных антигенов, как с моновалентными, так и с комбинированными вакцинами, такими как вакцина против дифтерии, вакцина против столбняка, вакцина с бесклеточным или цельноклеточным коклюшным компонентом, вакцина против &lt;i&gt;</t>
    </r>
    <r>
      <rPr>
        <rFont val="Arial"/>
        <i/>
        <color theme="1"/>
      </rPr>
      <t>Haemophilus influenzae</t>
    </r>
    <r>
      <rPr>
        <rFont val="Arial"/>
        <color theme="1"/>
      </rPr>
      <t>&lt;/i&gt; типа &lt;i&gt;</t>
    </r>
    <r>
      <rPr>
        <rFont val="Arial"/>
        <i/>
        <color theme="1"/>
      </rPr>
      <t>b</t>
    </r>
    <r>
      <rPr>
        <rFont val="Arial"/>
        <color theme="1"/>
      </rPr>
      <t xml:space="preserve">&lt;/i&gt;, инактивированная полиомиелитная вакцина, вакцина против гепатита B, (для получения рекомендаций по вакцине Инфанрикс Гекса см. раздел 4.4), вакцина против менингококка серогруппы С, вакцины против кори, эпидемического паротита, краснухи, ветряной оспы, и вакцина против ротавируса.&lt;br&gt;
Препарат Превенар&amp;nbsp;13 также можно применять в период с 12 до 23&amp;nbsp;месяцев одновременно с менингококковой полисахаридной вакциной серогрупп A, C, W, Y со столбнячным анатоксином у детей, получивших первичную вакцинацию препаратом Превенар&amp;nbsp;13 (в соответствии с местными рекомендациями).&lt;/p&gt;
</t>
    </r>
    <r>
      <rPr>
        <rFont val="Arial"/>
        <i/>
        <color theme="1"/>
      </rPr>
      <t>&lt;p&gt;&lt;i&gt;Дети и подростки в возрасте от 6 до 17&amp;nbsp;лет</t>
    </r>
    <r>
      <rPr>
        <rFont val="Arial"/>
        <color theme="1"/>
      </rPr>
      <t xml:space="preserve">&lt;/i&gt;&lt;br&gt;
В настоящее время данные об одновременном применении с другими вакцинами отсутствуют.&lt;/p&gt;
</t>
    </r>
    <r>
      <rPr>
        <rFont val="Arial"/>
        <i/>
        <color theme="1"/>
      </rPr>
      <t>&lt;p&gt;&lt;i&gt;Взрослые пациенты в возрасте от 18 до 49&amp;nbsp;лет</t>
    </r>
    <r>
      <rPr>
        <rFont val="Arial"/>
        <color theme="1"/>
      </rPr>
      <t xml:space="preserve">&lt;/i&gt;&lt;br&gt;
Данные об одновременном применении с другими вакцинами отсутствуют.&lt;/p&gt;
</t>
    </r>
    <r>
      <rPr>
        <rFont val="Arial"/>
        <i/>
        <color theme="1"/>
      </rPr>
      <t>&lt;p&gt;&lt;i&gt;Взрослые в возрасте 50&amp;nbsp;лет и старше</t>
    </r>
    <r>
      <rPr>
        <rFont val="Arial"/>
        <color theme="1"/>
      </rPr>
      <t xml:space="preserve">&lt;/i&gt;&lt;br&gt;
Препарат Превенар&amp;nbsp;13 может применяться совместно с сезонной трехвалентной инактивированной гриппозной вакциной (ТИГВ).&lt;br&gt;
В двух исследованиях, которые проводились у взрослых в возрасте 50-59 и 65&amp;nbsp;лет и старше, было продемонстрировано, что препарат Превенар 13 можно вводить одновременно с трехвалентной инактивированной гриппозной вакциной (ТИГВ). Ответы на все три антигена ТИГВ были сопоставимыми, когда вводили ТИГВ отдельно или в комбинации с препаратом Превенар&amp;nbsp;13.&lt;br&gt;
Когда препарат Превенар&amp;nbsp;13 вводили одновременно с ТИГВ, иммунные ответы на Превенар&amp;nbsp;13 были более слабыми, чем при введении одного Превенар&amp;nbsp;13, однако долгосрочный эффект на уровни антител в циркулирующей крови отсутствовал.
В третьем исследовании с участием взрослых в возрасте 50-93&amp;nbsp;года было продемонстрировано, что препарат Превенар&amp;nbsp;13 можно вводить одновременно с сезонной четырехвалентной инактивированной вакциной против сезонного гриппа (ЧИГВ). Иммунные ответы на все четыре штамма ЧИГВ были не ниже при применении препарата Превенар&amp;nbsp;13 одновременно с ЧИГВ, чем при применении только ЧИГВ.
Иммунные ответы на препарат Превенар&amp;nbsp;13 были не ниже при применении Превенар&amp;nbsp;13 одновременно с ЧИГВ, чем при применении только препарата Превенар&amp;nbsp;13. Как и в случае одновременного применения с трехвалентными вакцинами, иммунные ответы на некоторые пневмококковые серотипы были ниже, чем когда обе вакцины применялись одновременно.&lt;/p&gt;
&lt;p&gt;Одновременное применение с другими вакцинами не изучалось.&lt;br&gt;
Разные инъекционные вакцины всегда следует вводить в разные места.&lt;/p&gt;
&lt;p&gt;Одновременное применение препарата Превенар&amp;nbsp;13 и 23-валентной пневмококковой полисахаридной вакцины не изучалось. В клинических исследованиях, когда Превенар&amp;nbsp;13 вводили через 1&amp;nbsp;год после 23-валентной пневмококковой полисахаридной вакцины, иммунные ответы были более слабыми для всех серотипов, чем когда Превенар&amp;nbsp;13 вводили лицам, ранее не иммунизированным 23-валентной пневмококковой полисахаридной вакциной. Клиническая значимость этого явления неизвестна.&lt;/p&gt;
</t>
    </r>
    <r>
      <rPr>
        <rFont val="Arial"/>
        <i/>
        <color theme="1"/>
      </rPr>
      <t>&lt;p&gt;&lt;i&gt;4.4. Особые указания и меры предосторожности при применении</t>
    </r>
    <r>
      <rPr>
        <rFont val="Arial"/>
        <color theme="1"/>
      </rPr>
      <t>&lt;/i&gt;&lt;br&gt;
[...] При одновременном применении вакцины Превенар&amp;nbsp;13 и Инфанрикс Гекса наблюдалось повышение частоты сообщений о развитии судорог (с повышением температуры или без него) и гипотонических-гипореактивных эпизодов (ГГЭ) [...].&lt;/p&gt;</t>
    </r>
  </si>
  <si>
    <r>
      <rPr>
        <rFont val="Arial"/>
        <color theme="1"/>
      </rPr>
      <t xml:space="preserve">Прививку вакциной Синфлорикс можно проводить одновременно с любой из следующих моновалентных или комбинированных вакцин (включая комбинированные вакцины (AКаДС-ГепВ-ИПВ/Хиб и АКцДС-ГепВ/Хиб): дифтерийно-столбнячная бесклеточная коклюшная вакцина (AКаДС), дифтерийно-столбнячная цельноклеточная коклюшная вакцина (AKцДС), вакцина для профилактики инфекции, вызываемой </t>
    </r>
    <r>
      <rPr>
        <rFont val="Arial"/>
        <i/>
        <color theme="1"/>
      </rPr>
      <t>Haemophilus influenzae</t>
    </r>
    <r>
      <rPr>
        <rFont val="Arial"/>
        <color theme="1"/>
      </rPr>
      <t xml:space="preserve"> тип </t>
    </r>
    <r>
      <rPr>
        <rFont val="Arial"/>
        <i/>
        <color theme="1"/>
      </rPr>
      <t>b</t>
    </r>
    <r>
      <rPr>
        <rFont val="Arial"/>
        <color theme="1"/>
      </rPr>
      <t xml:space="preserve"> (Хиб), вакцина против гепатита В, вакцина для профилактики полиомиелита инактивированная (ИПВ), вакцина против кори, эпидемического паротита и краснухи, вакцина против ветряной оспы, вакцина менингококковая серогруппы C конъюгированная (конъюгаты CRM₁₉₇ и ТТ), пероральная вакцина против полиомиелита (ОПВ), вакцина против ротавирусной инфекции.
</t>
    </r>
    <r>
      <rPr>
        <rFont val="Arial"/>
        <i/>
        <color theme="1"/>
      </rPr>
      <t>Инъекции различными вакцинами нужно всегда делать в разные участки тела!</t>
    </r>
    <r>
      <rPr>
        <rFont val="Arial"/>
        <color theme="1"/>
      </rPr>
      <t xml:space="preserve">
Иммунный ответ и профиль безопасности совместно вводимых вакцин остаются неизменными, за исключением иммунного ответа на инактивированную вакцину против полиомиелита (инактивированный вирус полиомиелита 2-го типа), в отношении которой наблюдалась неоднородность результатов (значения серопротекции варьировали в диапазоне от 78% до 100%). Клиническое значение данного явления неизвестно.
Наблюдалось усиление иммунного ответа к капсульному полисахариду </t>
    </r>
    <r>
      <rPr>
        <rFont val="Arial"/>
        <i/>
        <color theme="1"/>
      </rPr>
      <t>Haemophilus influenzae</t>
    </r>
    <r>
      <rPr>
        <rFont val="Arial"/>
        <color theme="1"/>
      </rPr>
      <t xml:space="preserve"> тип </t>
    </r>
    <r>
      <rPr>
        <rFont val="Arial"/>
        <i/>
        <color theme="1"/>
      </rPr>
      <t>b</t>
    </r>
    <r>
      <rPr>
        <rFont val="Arial"/>
        <color theme="1"/>
      </rPr>
      <t>, конъюгированному со столбнячным анатоксином, а также дифтерийному и столбнячному антигенам.</t>
    </r>
  </si>
  <si>
    <r>
      <rPr>
        <rFont val="Arial"/>
        <color theme="1"/>
      </rPr>
      <t xml:space="preserve">&lt;p&gt;Прививку вакциной Синфлорикс можно проводить одновременно с любой из следующих моновалентных или комбинированных вакцин (включая комбинированные вакцины (AКаДС-ГепВ-ИПВ/Хиб и АКцДС-ГепВ/Хиб): дифтерийно-столбнячная бесклеточная коклюшная вакцина (AКаДС), дифтерийно-столбнячная цельноклеточная коклюшная вакцина (AKцДС), вакцина для профилактики инфекции, вызываемой </t>
    </r>
    <r>
      <rPr>
        <rFont val="Arial"/>
        <i/>
        <color theme="1"/>
      </rPr>
      <t>&lt;i&gt;Haemophilus influenzae&lt;/i&gt;</t>
    </r>
    <r>
      <rPr>
        <rFont val="Arial"/>
        <color theme="1"/>
      </rPr>
      <t xml:space="preserve"> тип &lt;i&gt;</t>
    </r>
    <r>
      <rPr>
        <rFont val="Arial"/>
        <i/>
        <color theme="1"/>
      </rPr>
      <t>b&lt;/i&gt;</t>
    </r>
    <r>
      <rPr>
        <rFont val="Arial"/>
        <color theme="1"/>
      </rPr>
      <t xml:space="preserve"> (Хиб), вакцина против гепатита В, вакцина для профилактики полиомиелита инактивированная (ИПВ), вакцина против кори, эпидемического паротита и краснухи, вакцина против ветряной оспы, вакцина менингококковая серогруппы C конъюгированная (конъюгаты CRM₁₉₇ и ТТ), пероральная вакцина против полиомиелита (ОПВ), вакцина против ротавирусной инфекции.&lt;/p&gt;
</t>
    </r>
    <r>
      <rPr>
        <rFont val="Arial"/>
        <i/>
        <color theme="1"/>
      </rPr>
      <t>&lt;p&gt;&lt;i&gt;Инъекции различными вакцинами нужно всегда делать в разные участки тела!</t>
    </r>
    <r>
      <rPr>
        <rFont val="Arial"/>
        <color theme="1"/>
      </rPr>
      <t>&lt;/i&gt;&lt;/p&gt;
&lt;p&gt;Иммунный ответ и профиль безопасности совместно вводимых вакцин остаются неизменными, за исключением иммунного ответа на инактивированную вакцину против полиомиелита (инактивированный вирус полиомиелита 2-го типа), в отношении которой наблюдалась неоднородность результатов (значения серопротекции варьировали в диапазоне от 78% до 100%). Клиническое значение данного явления неизвестно.&lt;/p&gt;
&lt;p&gt;Наблюдалось усиление иммунного ответа к капсульному полисахариду &lt;i&gt;</t>
    </r>
    <r>
      <rPr>
        <rFont val="Arial"/>
        <i/>
        <color theme="1"/>
      </rPr>
      <t>Haemophilus influenzae&lt;/i&gt;</t>
    </r>
    <r>
      <rPr>
        <rFont val="Arial"/>
        <color theme="1"/>
      </rPr>
      <t xml:space="preserve"> тип &lt;i&gt;</t>
    </r>
    <r>
      <rPr>
        <rFont val="Arial"/>
        <i/>
        <color theme="1"/>
      </rPr>
      <t>b&lt;/i&gt;</t>
    </r>
    <r>
      <rPr>
        <rFont val="Arial"/>
        <color theme="1"/>
      </rPr>
      <t>, конъюгированному со столбнячным анатоксином, а также дифтерийному и столбнячному антигенам.&lt;/p&gt;</t>
    </r>
  </si>
  <si>
    <t>Пневмококковую вакцину можно вводить одновременно с вакциной для профилактики гриппа (которую вводят в другую руку). Такое введение не приводит к повышению частоты побочных эффектов или снижению интенсивности иммунного ответа на введение каждой из вакцин. Пневмококковую вакцину можно вводить одновременно (в один день) с другими вакцинами (за исключением вакцин для профилактики туберкулеза) в разные участки тела с использованием разных шприцев.</t>
  </si>
  <si>
    <t>&lt;p&gt;Пневмококковую вакцину можно вводить одновременно с вакциной для профилактики гриппа (которую вводят в другую руку). Такое введение не приводит к повышению частоты побочных эффектов или снижению интенсивности иммунного ответа на введение каждой из вакцин. Пневмококковую вакцину можно вводить одновременно (в один день) с другими вакцинами (за исключением вакцин для профилактики туберкулеза) в разные участки тела с использованием разных шприцев.&lt;/p&gt;</t>
  </si>
  <si>
    <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t>
  </si>
  <si>
    <t>&lt;p&gt;Прививки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прививок.&lt;/p&gt;</t>
  </si>
  <si>
    <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 и Календаря прививок по эпидемиологическим показаниям. При неодновременном введении между живыми вакцинами рекомендуется интервал 1 месяц; между живой и неживой вакцинами допустим любой интервал.</t>
  </si>
  <si>
    <t>&lt;p&gt;Прививки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 и Календаря прививок по эпидемиологическим показаниям. При неодновременном введении между живыми вакцинами рекомендуется интервал 1 месяц; между живой и неживой вакцинами допустим любой интервал.&lt;/p&gt;</t>
  </si>
  <si>
    <t>Допускается одновременное введение вакцины ПОЛИМИЛЕКС® с другими вакцинами (в т.ч. вакцинами Национального календаря профилактических прививок и прививок по эпидемическим показаниям, кроме БЦЖ и БЦЖ-М) при условии их введения разными шприцами в разные участки тела. При необходимости раздельного (не в один календарные день) введения вакцины ПОЛИМИЛЕКС® и других вакцин, допустим любой интервал между введениями, т.к. вакцина ПОЛИМИЛЕКС® является инактивированной.</t>
  </si>
  <si>
    <t>&lt;p&gt;Допускается одновременное введение вакцины ПОЛИМИЛЕКС® с другими вакцинами (в т.ч. вакцинами Национального календаря профилактических прививок и прививок по эпидемическим показаниям, кроме БЦЖ и БЦЖ-М) при условии их введения разными шприцами в разные участки тела. При необходимости раздельного (не в один календарные день) введения вакцины ПОЛИМИЛЕКС® и других вакцин, допустим любой интервал между введениями, т.к. вакцина ПОЛИМИЛЕКС® является инактивированной.&lt;/p&gt;</t>
  </si>
  <si>
    <t>Во время проведения курса лечебно-профилактической вакцинации проведение вакцинации другими препаратами запрещается. После окончания вакцинации против бешенства проведение прививок другими вакцинами допускается не ранее чем через 2 месяца.
Профилактическую вакцинацию проводят не ранее чем через 1 месяц после вакцинации против другого инфекционного заболевания.</t>
  </si>
  <si>
    <t>&lt;p&gt;Во время проведения курса лечебно-профилактической вакцинации проведение вакцинации другими препаратами запрещается. После окончания вакцинации против бешенства проведение прививок другими вакцинами допускается не ранее чем через 2&amp;nbsp;месяца.&lt;br&gt;
Профилактическую вакцинацию проводят не ранее чем через 1&amp;nbsp;месяц после вакцинации против другого инфекционного заболевания.&lt;/p&gt;</t>
  </si>
  <si>
    <t>Во время проведения курса лечебно-профилактической вакцинации проведение вакцинации другими препаратами запрещается, за исключением препаратов, назначаемых по жизненным показаниям. После окончания вакцинации против бешенства проведение прививок другими вакцинами допускается не ранее чем через 2 месяца.
Профилактическую вакцинацию проводят не ранее чем через 1 месяц после вакцинации против другого инфекционного заболевания.</t>
  </si>
  <si>
    <t>&lt;p&gt;Во время проведения курса лечебно-профилактической вакцинации проведение вакцинации другими препаратами запрещается, за исключением препаратов, назначаемых по жизненным показаниям. После окончания вакцинации против бешенства проведение прививок другими вакцинами допускается не ранее чем через 2&amp;nbsp;месяца.&lt;/p&gt;
&lt;p&gt;Профилактическую вакцинацию проводят не ранее чем через 1&amp;nbsp;месяц после вакцинации против другого инфекционного заболевания.&lt;/p&gt;</t>
  </si>
  <si>
    <t>Согласно п. 2,3 схемы применения антирабических препаратов Рабивак-Внуково-32 применяется комплексно вместе с антирабическим иммуноглобулином (АИГ). Во время проведения курса лечебно-профилактической иммунизации проведение вакцинации другими препаратами запрещается. После окончания вакцинации против бешенства проведение прививок другими вакцинами допускается не ранее чем через 2 месяца. Профилактическую вакцинацию проводят не ранее чем через 1 месяц после вакцинации против другого инфекционного заболевания.</t>
  </si>
  <si>
    <t>&lt;p&gt;Согласно п.&amp;nbsp;2,3 схемы применения антирабических препаратов Рабивак-Внуково-32 применяется комплексно вместе с антирабическим иммуноглобулином (АИГ). Во время проведения курса лечебно-профилактической иммунизации проведение вакцинации другими препаратами запрещается. После окончания вакцинации против бешенства проведение прививок другими вакцинами допускается не ранее чем через 2&amp;nbsp;месяца. Профилактическую вакцинацию проводят не ранее чем через 1&amp;nbsp;месяц после вакцинации против другого инфекционного заболевания.&lt;/p&gt;</t>
  </si>
  <si>
    <r>
      <rPr>
        <rFont val="Arial"/>
        <color theme="1"/>
      </rPr>
      <t xml:space="preserve">Препарат РотаТек® можно вводить детям одновременно с любыми следующими антигенами, входящими в состав как моновалентных, так и комбинированных вакцин: дифтерийным анатоксином, столбнячным анатоксином, коклюшной вакциной, конъюгированной вакциной против </t>
    </r>
    <r>
      <rPr>
        <rFont val="Arial"/>
        <i/>
        <color theme="1"/>
      </rPr>
      <t>Haemophilus influenzae</t>
    </r>
    <r>
      <rPr>
        <rFont val="Arial"/>
        <color theme="1"/>
      </rPr>
      <t xml:space="preserve"> тип </t>
    </r>
    <r>
      <rPr>
        <rFont val="Arial"/>
        <i/>
        <color theme="1"/>
      </rPr>
      <t>b</t>
    </r>
    <r>
      <rPr>
        <rFont val="Arial"/>
        <color theme="1"/>
      </rPr>
      <t>, инактивированной полиомиелитной вакциной, вакциной против вирусного гепатита В, гексавалентной вакциной (содержащей вышеперечисленные компоненты), конъюгированной пневмококковой вакциной, конъюгированной менингококковой вакциной серогруппы С. Не было отмечено снижения иммунного ответа при одновременном введении нескольких вакцин и вакцины РотаТек®.
Одновременное введение пероральной полиовакцины (ОПВ) и вакцины РотаТек® не влияло на иммунный ответ, вызываемый ОПВ, но несколько снижало иммунный ответ на вакцину РотаТек®, однако нет данных, подтверждающих снижение степени защиты от тяжелых форм ротавирусного гастроэнтерита. Иммунный ответ на вакцину РотаТек® не изменялся при введении ОПВ через две недели после введения вакцины РотаТек®</t>
    </r>
  </si>
  <si>
    <r>
      <rPr>
        <rFont val="Arial"/>
        <color theme="1"/>
      </rPr>
      <t>&lt;p&gt;Препарат РотаТек® можно вводить детям одновременно с любыми следующими антигенами, входящими в состав как моновалентных, так и комбинированных вакцин: дифтерийным анатоксином, столбнячным анатоксином, коклюшной вакциной, конъюгированной вакциной против &lt;i&gt;</t>
    </r>
    <r>
      <rPr>
        <rFont val="Arial"/>
        <i/>
        <color theme="1"/>
      </rPr>
      <t>Haemophilus influenzae&lt;/i&gt;</t>
    </r>
    <r>
      <rPr>
        <rFont val="Arial"/>
        <color theme="1"/>
      </rPr>
      <t xml:space="preserve"> тип &lt;i&gt;</t>
    </r>
    <r>
      <rPr>
        <rFont val="Arial"/>
        <i/>
        <color theme="1"/>
      </rPr>
      <t>b</t>
    </r>
    <r>
      <rPr>
        <rFont val="Arial"/>
        <color theme="1"/>
      </rPr>
      <t>&lt;/i&gt;, инактивированной полиомиелитной вакциной, вакциной против вирусного гепатита В, гексавалентной вакциной (содержащей вышеперечисленные компоненты), конъюгированной пневмококковой вакциной, конъюгированной менингококковой вакциной серогруппы С. Не было отмечено снижения иммунного ответа при одновременном введении нескольких вакцин и вакцины РотаТек®.&lt;/p&gt;
&lt;p&gt;Одновременное введение пероральной полиовакцины (ОПВ) и вакцины РотаТек® не влияло на иммунный ответ, вызываемый ОПВ, но несколько снижало иммунный ответ на вакцину РотаТек®, однако нет данных, подтверждающих снижение степени защиты от тяжелых форм ротавирусного гастроэнтерита. Иммунный ответ на вакцину РотаТек® не изменялся при введении ОПВ через две недели после введения вакцины РотаТек®&lt;/p&gt;</t>
    </r>
  </si>
  <si>
    <t xml:space="preserve">Вакцинация против краснухи может быть проведена одновременно (в один день) с другими календарными прививками (против коклюша, дифтерии, столбняка, эпидемического паротита, кори, полиомиелита, гепатита В) или не ранее чем через 1 месяц после предшествующей прививки. При одновременной вакцинации препараты вводят в разные места, смешивание вакцин в одном шприце запрещается. </t>
  </si>
  <si>
    <t>&lt;p&gt;Вакцинация против краснухи может быть проведена одновременно (в один день) с другими календарными прививками (против коклюша, дифтерии, столбняка, эпидемического паротита, кори, полиомиелита, гепатита В) или не ранее чем через 1&amp;nbsp;месяц после предшествующей прививки. При одновременной вакцинации препараты вводят в разные места, смешивание вакцин в одном шприце запрещается.&lt;/p&gt;</t>
  </si>
  <si>
    <t>Вакцина может быть введена одновременно (в один день) с другими вакцинами Национального календаря профилактических прививок (против эпидемического паротита, кори, коклюша, дифтерии, столбняка, полиомиелита, гепатита В) отдельными шприцами в разные участки тела или через 1 мес. после предыдущей вакцинации.</t>
  </si>
  <si>
    <t>&lt;p&gt;Вакцина может быть введена одновременно (в один день) с другими вакцинами Национального календаря профилактических прививок (против эпидемического паротита, кори, коклюша, дифтерии, столбняка, полиомиелита, гепатита В) отдельными шприцами в разные участки тела или через 1&amp;nbsp;мес. после предыдущей вакцинации.&lt;/p&gt;</t>
  </si>
  <si>
    <t>AC-анатоксин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AC-анатоксин запрещено смешивать в одном шприце с любыми препаратами для парентерального введения.</t>
  </si>
  <si>
    <t>&lt;p&gt;AC-анатоксин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AC-анатоксин запрещено смешивать в одном шприце с любыми препаратами для парентерального введения.&lt;/p&gt;</t>
  </si>
  <si>
    <r>
      <rPr>
        <rFont val="Arial"/>
        <color theme="1"/>
      </rPr>
      <t xml:space="preserve">Вакцина ВАКТА® может вводиться одновременно с другими вакцинами детям от 1 года до 17 лет: живой вирусной вакциной против кори, краснухи, паротита, ветряной оспы, коньюгированной 7-валентной пневмококковой вакциной, пероральной или инактивированной полиомиелитной вакциной, дифтерийным, столбнячным анатоксинами и бесклеточной вакциной против коклюша, вакциной для профилактики инфекции, вызываемой </t>
    </r>
    <r>
      <rPr>
        <rFont val="Arial"/>
        <i/>
        <color theme="1"/>
      </rPr>
      <t>Haemophilus influenzae</t>
    </r>
    <r>
      <rPr>
        <rFont val="Arial"/>
        <color theme="1"/>
      </rPr>
      <t xml:space="preserve"> тип </t>
    </r>
    <r>
      <rPr>
        <rFont val="Arial"/>
        <i/>
        <color theme="1"/>
      </rPr>
      <t>b</t>
    </r>
    <r>
      <rPr>
        <rFont val="Arial"/>
        <color theme="1"/>
      </rPr>
      <t>. Данные по применению с другими вакцинами ограничены.
При одновременном применении вакцин их необходимо вводить в разные участки тела и использовать разные шприцы.
Для взрослых старше 18 лет существуют ограниченные данные исследований, где вакцину ВАКТА® использовали одновременно с противодифтерийной, полиомиелитной (пероральной и инактивированной), противостолбнячной вакцинами, пероральной вакциной против брюшного тифа, противохолерной вакциной, вакциной против Японского энцефалита, антирабической вакциной и вакциной против желтой лихорадки. При этом иммунный ответ ни на одну из вакцин не снижался, частота нежелательных явлений не возрастала.
В исследованиях было показано, что одновременно с вакциной ВАКТА® можно назначать вакцину против гепатита В, при этом иммуногенность и частота нежелательных явлений также не меняются.</t>
    </r>
  </si>
  <si>
    <r>
      <rPr>
        <rFont val="Arial"/>
        <color theme="1"/>
      </rPr>
      <t>&lt;p&gt;Вакцина ВАКТА® может вводиться одновременно с другими вакцинами детям от 1&amp;nbsp;года до 17&amp;nbsp;лет: живой вирусной вакциной против кори, краснухи, паротита, ветряной оспы, коньюгированной 7-валентной пневмококковой вакциной, пероральной или инактивированной полиомиелитной вакциной, дифтерийным, столбнячным анатоксинами и бесклеточной вакциной против коклюша, вакциной для профилактики инфекции, вызываемой &lt;i&gt;</t>
    </r>
    <r>
      <rPr>
        <rFont val="Arial"/>
        <i/>
        <color theme="1"/>
      </rPr>
      <t>Haemophilus influenzae&lt;/i&gt;</t>
    </r>
    <r>
      <rPr>
        <rFont val="Arial"/>
        <color theme="1"/>
      </rPr>
      <t xml:space="preserve"> тип &lt;i&gt;</t>
    </r>
    <r>
      <rPr>
        <rFont val="Arial"/>
        <i/>
        <color theme="1"/>
      </rPr>
      <t>b&lt;/i&gt;</t>
    </r>
    <r>
      <rPr>
        <rFont val="Arial"/>
        <color theme="1"/>
      </rPr>
      <t>. Данные по применению с другими вакцинами ограничены.&lt;/p&gt;
&lt;p&gt;При одновременном применении вакцин их необходимо вводить в разные участки тела и использовать разные шприцы.&lt;/p&gt;
&lt;p&gt;Для взрослых старше 18&amp;nbsp;лет существуют ограниченные данные исследований, где вакцину ВАКТА® использовали одновременно с противодифтерийной, полиомиелитной (пероральной и инактивированной), противостолбнячной вакцинами, пероральной вакциной против брюшного тифа, противохолерной вакциной, вакциной против Японского энцефалита, антирабической вакциной и вакциной против желтой лихорадки. При этом иммунный ответ ни на одну из вакцин не снижался, частота нежелательных явлений не возрастала.&lt;/p&gt;
&lt;p&gt;В исследованиях было показано, что одновременно с вакциной ВАКТА® можно назначать вакцину против гепатита В, при этом иммуногенность и частота нежелательных явлений также не меняются.&lt;/p&gt;</t>
    </r>
  </si>
  <si>
    <r>
      <rPr>
        <rFont val="Arial"/>
        <color theme="1"/>
      </rPr>
      <t xml:space="preserve">Вакцина ВАКТА® может вводиться одновременно с другими вакцинами детям от 1 года до 17 лет: живой вирусной вакциной против кори, краснухи, паротита, ветряной оспы, коньюгированной 7-валентной пневмококковой вакциной, пероральной или инактивированной полиомиелитной вакциной, дифтерийным, столбнячным анатоксинами и бесклеточной вакциной против коклюша, вакциной для профилактики инфекции, вызываемой </t>
    </r>
    <r>
      <rPr>
        <rFont val="Arial"/>
        <i/>
        <color theme="1"/>
      </rPr>
      <t>Haemophilus influenzae</t>
    </r>
    <r>
      <rPr>
        <rFont val="Arial"/>
        <color theme="1"/>
      </rPr>
      <t xml:space="preserve"> тип </t>
    </r>
    <r>
      <rPr>
        <rFont val="Arial"/>
        <i/>
        <color theme="1"/>
      </rPr>
      <t>b</t>
    </r>
    <r>
      <rPr>
        <rFont val="Arial"/>
        <color theme="1"/>
      </rPr>
      <t>. Данные по применению с другими вакцинами ограничены.
При одновременном применении вакцин их необходимо вводить в разные участки тела и использовать разные шприцы.
Для взрослых старше 18 лет существуют ограниченные данные исследований, где вакцину ВАКТА® использовали одновременно с противодифтерийной, полиомиелитной (пероральной и инактивированной), противостолбнячной вакцинами, пероральной вакциной против брюшного тифа, противохолерной вакциной, вакциной против Японского энцефалита, антирабической вакциной и вакциной против желтой лихорадки. При этом иммунный ответ ни на одну из вакцин не снижался, частота нежелательных явлений не возрастала.
В исследованиях было показано, что одновременно с вакциной ВАКТА® можно назначать вакцину против гепатита В, при этом иммуногенность и частота нежелательных явлений также не меняются.</t>
    </r>
  </si>
  <si>
    <r>
      <rPr>
        <rFont val="Arial"/>
        <color theme="1"/>
      </rPr>
      <t>&lt;p&gt;Вакцина ВАКТА® может вводиться одновременно с другими вакцинами детям от 1&amp;nbsp;года до 17&amp;nbsp;лет: живой вирусной вакциной против кори, краснухи, паротита, ветряной оспы, коньюгированной 7-валентной пневмококковой вакциной, пероральной или инактивированной полиомиелитной вакциной, дифтерийным, столбнячным анатоксинами и бесклеточной вакциной против коклюша, вакциной для профилактики инфекции, вызываемой &lt;i&gt;</t>
    </r>
    <r>
      <rPr>
        <rFont val="Arial"/>
        <i/>
        <color theme="1"/>
      </rPr>
      <t>Haemophilus influenzae&lt;/i&gt;</t>
    </r>
    <r>
      <rPr>
        <rFont val="Arial"/>
        <color theme="1"/>
      </rPr>
      <t xml:space="preserve"> тип &lt;i&gt;</t>
    </r>
    <r>
      <rPr>
        <rFont val="Arial"/>
        <i/>
        <color theme="1"/>
      </rPr>
      <t>b&lt;/i&gt;</t>
    </r>
    <r>
      <rPr>
        <rFont val="Arial"/>
        <color theme="1"/>
      </rPr>
      <t>. Данные по применению с другими вакцинами ограничены.&lt;/p&gt;
&lt;p&gt;При одновременном применении вакцин их необходимо вводить в разные участки тела и использовать разные шприцы.&lt;/p&gt;
&lt;p&gt;Для взрослых старше 18&amp;nbsp;лет существуют ограниченные данные исследований, где вакцину ВАКТА® использовали одновременно с противодифтерийной, полиомиелитной (пероральной и инактивированной), противостолбнячной вакцинами, пероральной вакциной против брюшного тифа, противохолерной вакциной, вакциной против Японского энцефалита, антирабической вакциной и вакциной против желтой лихорадки. При этом иммунный ответ ни на одну из вакцин не снижался, частота нежелательных явлений не возрастала.&lt;/p&gt;
&lt;p&gt;В исследованиях было показано, что одновременно с вакциной ВАКТА® можно назначать вакцину против гепатита В, при этом иммуногенность и частота нежелательных явлений также не меняются.&lt;/p&gt;</t>
    </r>
  </si>
  <si>
    <t>Клинические исследования взаимодействия с другими вакцинами не проводились.
Допускается одновременное введение вакцины Клещ-Э-Вак с другими инактивированными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Клещ-Э-Вак и других вакцин, допустим любой интервал между введениями, т.к. вакцина Клещ-Э-Вак является инактивированной.</t>
  </si>
  <si>
    <t>&lt;p&gt;Клинические исследования взаимодействия с другими вакцинами не проводились.&lt;/p&gt;
&lt;p&gt;Допускается одновременное введение вакцины Клещ-Э-Вак с другими инактивированными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Клещ-Э-Вак и других вакцин, допустим любой интервал между введениями, т.к. вакцина Клещ-Э-Вак является инактивированной.&lt;/p&gt;</t>
  </si>
  <si>
    <t>Допускается одновременное введение вакцин (кроме антирабической вакцины) с использованием разных шприцов и в разные анатомические области тела. Одновременным считается введение вакцин в пределах одного календарного дня.
При необходимости раздельного (не в один календарный день) введения вакцины ЭнцеВир и других вакцин, допустим любой интервал между введениями, т.к. вакцина ЭнцеВир является инактивированной.</t>
  </si>
  <si>
    <t>&lt;p&gt;Допускается одновременное введение вакцин (кроме антирабической вакцины) с использованием разных шприцов и в разные анатомические области тела. Одновременным считается введение вакцин в пределах одного календарного дня.&lt;br&gt;
При необходимости раздельного (не в один календарный день) введения вакцины ЭнцеВир и других вакцин, допустим любой интервал между введениями, т.к. вакцина ЭнцеВир является инактивированной.&lt;/p&gt;</t>
  </si>
  <si>
    <t>Допускается одновременное введение вакцин (кроме антирабической вакцины и вакцин для профилактики туберкулеза), с использованием разных шприцов и в разные анатомические области тела. Одновременным считается введение вакцин в пределах одного календарного дня.
При необходимости раздельного (не в один календарный день) введения вакцины ЭнцеВир Нео детский и других вакцин, допустим любой интервал между введениями, т.к. вакцина ЭнцеВир Нео детский является инактивированной</t>
  </si>
  <si>
    <t>&lt;p&gt;Допускается одновременное введение вакцин (кроме антирабической вакцины и вакцин для профилактики туберкулеза), с использованием разных шприцов и в разные анатомические области тела. Одновременным считается введение вакцин в пределах одного календарного дня.&lt;br&gt;
При необходимости раздельного (не в один календарный день) введения вакцины ЭнцеВир Нео детский и других вакцин, допустим любой интервал между введениями, т.к. вакцина ЭнцеВир Нео детский является инактивированной&lt;/p&gt;</t>
  </si>
  <si>
    <t>Клинические исследования взаимодействия с другими вакцинами не проводились.
Допускается одновременное введение Вакцины клещевого энцефалита культуральной очищенной концентрированной инактивированной сухой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клещевого энцефалита культуральной очищенной концентрированной инактивированной сухой и других вакцин, допустим любой интервал между введениями, т.к. Вакцина клещевого энцефалита культуральная очищенная концентрированная инактивированная сухая является инактивированной.</t>
  </si>
  <si>
    <t>&lt;p&gt;Клинические исследования взаимодействия с другими вакцинами не проводились.&lt;br&gt;&lt;br&gt;
Допускается одновременное введение Вакцины клещевого энцефалита культуральной очищенной концентрированной инактивированной сухой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клещевого энцефалита культуральной очищенной концентрированной инактивированной сухой и других вакцин, допустим любой интервал между введениями, т.к. Вакцина клещевого энцефалита культуральная очищенная концентрированная инактивированная сухая является инактивированной.&lt;/p&gt;</t>
  </si>
  <si>
    <r>
      <rPr>
        <rFont val="Arial"/>
        <color theme="1"/>
      </rPr>
      <t xml:space="preserve">Вакцину Варилрикс можно вводить одновременно с инактивированными вакцинами национального календаря профилактических прививок и календаря прививок по эпидемическим показаниям, за исключением антирабической вакцины.
Вакцину Варилрикс можно назначать в один день с вакцинами для профилактики кори, краснухи и паротита.
В клинических исследованиях продемонстрировано, что вакцину Варилрикс можно применять одновременно с любой из перечисленных ниже моновалентных или комбинированных вакцин:
• вакцина для профилактики кори, краснухи и паротита;
• вакцина для профилактики дифтерии, столбняка, коклюша (бесклеточная);
• вакцина для профилактики дифтерии, столбняка, коклюша (бесклеточная) с пониженным количеством антигенов;
• вакцина для профилактики инфекции, вызываемой </t>
    </r>
    <r>
      <rPr>
        <rFont val="Arial"/>
        <i/>
        <color theme="1"/>
      </rPr>
      <t>Haemophilus influenzae</t>
    </r>
    <r>
      <rPr>
        <rFont val="Arial"/>
        <color theme="1"/>
      </rPr>
      <t xml:space="preserve"> тип </t>
    </r>
    <r>
      <rPr>
        <rFont val="Arial"/>
        <i/>
        <color theme="1"/>
      </rPr>
      <t>b</t>
    </r>
    <r>
      <rPr>
        <rFont val="Arial"/>
        <color theme="1"/>
      </rPr>
      <t xml:space="preserve">;
• вакцина для профилактики полиомиелита инактивированная;
• вакцина для профилактики гепатита B;
• шестивалентная вакцина (вакцина для профилактики дифтерии, столбняка, коклюша (бесклеточная), гепатита B, полиомиелита вместе с вакциной для профилактики инфекции, вызываемой </t>
    </r>
    <r>
      <rPr>
        <rFont val="Arial"/>
        <i/>
        <color theme="1"/>
      </rPr>
      <t>Haemophilus influenzae</t>
    </r>
    <r>
      <rPr>
        <rFont val="Arial"/>
        <color theme="1"/>
      </rPr>
      <t xml:space="preserve"> тип </t>
    </r>
    <r>
      <rPr>
        <rFont val="Arial"/>
        <i/>
        <color theme="1"/>
      </rPr>
      <t>b</t>
    </r>
    <r>
      <rPr>
        <rFont val="Arial"/>
        <color theme="1"/>
      </rPr>
      <t xml:space="preserve">);
• вакцина для профилактики гепатита A;
• вакцина для профилактики менингококковой инфекции, вызываемой </t>
    </r>
    <r>
      <rPr>
        <rFont val="Arial"/>
        <i/>
        <color theme="1"/>
      </rPr>
      <t>Neisseria meningitidis</t>
    </r>
    <r>
      <rPr>
        <rFont val="Arial"/>
        <color theme="1"/>
      </rPr>
      <t xml:space="preserve"> серогруппы B;
• вакцина для профилактики менингококковой инфекции серогруппы C;
• вакцина для профилактики менингококковой инфекции серогрупп A, C, W, Y;
• вакцина пневмококковая конъюгированная.
Если вакцина Варилрикс подлежит применению одновременно с другой вакциной для парентерального введения, вакцины вводят в разные участки тела.
При применении вакцины Варилрикс с коревой вакциной, в случае если прививки не были сделаны в один день, рекомендуется соблюдать интервал 30 дней.
Лицам с повышенным риском тяжелого и осложненного течения ветряной оспы вакцину Варилрикс не следует назначать одновременно с другими живыми аттенуированными вакцинами, за исключением комбинированной вакцины против кори, краснухи и паротита. Однако если эти вакцины не были назначены одновременно, то интервал между их назначением для достижения максимального уровня антител должен составлять не менее 30 дней.</t>
    </r>
  </si>
  <si>
    <r>
      <rPr>
        <rFont val="Arial"/>
        <color theme="1"/>
      </rPr>
      <t xml:space="preserve">&lt;p&gt;Вакцину Варилрикс можно вводить одновременно с инактивированными вакцинами национального календаря профилактических прививок и календаря прививок по эпидемическим показаниям, за исключением антирабической вакцины.&lt;br&gt;
Вакцину Варилрикс можно назначать в один день с вакцинами для профилактики кори, краснухи и паротита.&lt;/p&gt;
&lt;p&gt;В клинических исследованиях продемонстрировано, что вакцину Варилрикс можно применять одновременно с любой из перечисленных ниже моновалентных или комбинированных вакцин:
&lt;ul&gt;&lt;li&gt;вакцина для профилактики кори, краснухи и паротита;&lt;/li&gt;
&lt;li&gt;вакцина для профилактики дифтерии, столбняка, коклюша (бесклеточная);&lt;/li&gt;
&lt;li&gt;вакцина для профилактики дифтерии, столбняка, коклюша (бесклеточная) с пониженным количеством антигенов;&lt;/li&gt;
&lt;li&gt;вакцина для профилактики инфекции, вызываемой </t>
    </r>
    <r>
      <rPr>
        <rFont val="Arial"/>
        <i/>
        <color theme="1"/>
      </rPr>
      <t>&lt;i&gt;Haemophilus influenzae&lt;/i&gt;</t>
    </r>
    <r>
      <rPr>
        <rFont val="Arial"/>
        <color theme="1"/>
      </rPr>
      <t xml:space="preserve"> тип &lt;i&gt;</t>
    </r>
    <r>
      <rPr>
        <rFont val="Arial"/>
        <i/>
        <color theme="1"/>
      </rPr>
      <t>b&lt;/i&gt;</t>
    </r>
    <r>
      <rPr>
        <rFont val="Arial"/>
        <color theme="1"/>
      </rPr>
      <t>;&lt;/li&gt;
&lt;li&gt;вакцина для профилактики полиомиелита инактивированная;&lt;/li&gt;
&lt;li&gt;вакцина для профилактики гепатита B;&lt;/li&gt;
&lt;li&gt;шестивалентная вакцина (вакцина для профилактики дифтерии, столбняка, коклюша (бесклеточная), гепатита B, полиомиелита вместе с вакциной для профилактики инфекции, вызываемой &lt;i&gt;</t>
    </r>
    <r>
      <rPr>
        <rFont val="Arial"/>
        <i/>
        <color theme="1"/>
      </rPr>
      <t>Haemophilus influenzae</t>
    </r>
    <r>
      <rPr>
        <rFont val="Arial"/>
        <color theme="1"/>
      </rPr>
      <t>&lt;/i&gt; тип &lt;i&gt;</t>
    </r>
    <r>
      <rPr>
        <rFont val="Arial"/>
        <i/>
        <color theme="1"/>
      </rPr>
      <t>b&lt;/i&gt;</t>
    </r>
    <r>
      <rPr>
        <rFont val="Arial"/>
        <color theme="1"/>
      </rPr>
      <t>);&lt;/li&gt;
&lt;li&gt;вакцина для профилактики гепатита A;&lt;/li&gt;
&lt;li&gt;вакцина для профилактики менингококковой инфекции, вызываемой &lt;i&gt;</t>
    </r>
    <r>
      <rPr>
        <rFont val="Arial"/>
        <i/>
        <color theme="1"/>
      </rPr>
      <t>Neisseria meningitidis&lt;/i&gt;</t>
    </r>
    <r>
      <rPr>
        <rFont val="Arial"/>
        <color theme="1"/>
      </rPr>
      <t xml:space="preserve"> серогруппы B;&lt;/li&gt;
&lt;li&gt;вакцина для профилактики менингококковой инфекции серогруппы C;&lt;/li&gt;
&lt;li&gt;вакцина для профилактики менингококковой инфекции серогрупп A, C, W, Y;&lt;/li&gt;
&lt;li&gt;вакцина пневмококковая конъюгированная.&lt;/li&gt;&lt;/ul&gt;
Если вакцина Варилрикс подлежит применению одновременно с другой вакциной для парентерального введения, вакцины вводят в разные участки тела.&lt;br&gt;
При применении вакцины Варилрикс с коревой вакциной, в случае если прививки не были сделаны в один день, рекомендуется соблюдать интервал 30&amp;nbsp;дней.&lt;br&gt;
Лицам с повышенным риском тяжелого и осложненного течения ветряной оспы вакцину Варилрикс не следует назначать одновременно с другими живыми аттенуированными вакцинами, за исключением комбинированной вакцины против кори, краснухи и паротита. Однако если эти вакцины не были назначены одновременно, то интервал между их назначением для достижения максимального уровня антител должен составлять не менее 30&amp;nbsp;дней.&lt;/p&gt;</t>
    </r>
  </si>
  <si>
    <t>Допускается проводить вакцинацию против желтой лихорадки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Однако, чтобы обеспечить максимальный защитный эффект для детей до 15 лет, рекомендуется по возможности соблюдать интервал не менее 2 месяцев между предшествующей вакцинацией против желтой лихорадки и вакцинациями против других заболеваний.
В случае необходимости применения вакцины одновременно с другими прививками, препараты следует вводить в разные анатомические области тела.
Не рекомендовано использование вакцины желтой лихорадки одновременно с живой вакциной для профилактики холеры. При проведении вакцинации в разные дни, интервал между вакцинациями должен быть не менее одного месяца.</t>
  </si>
  <si>
    <t>&lt;p&gt;Допускается проводить вакцинацию против желтой лихорадки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Однако, чтобы обеспечить максимальный защитный эффект для детей до 15&amp;nbsp;лет, рекомендуется по возможности соблюдать интервал не менее 2&amp;nbsp;месяцев между предшествующей вакцинацией против желтой лихорадки и вакцинациями против других заболеваний.&lt;br&gt;
В случае необходимости применения вакцины одновременно с другими прививками, препараты следует вводить в разные анатомические области тела.&lt;br&gt;
Не рекомендовано использование вакцины желтой лихорадки одновременно с живой вакциной для профилактики холеры. При проведении вакцинации в разные дни, интервал между вакцинациями должен быть не менее одного месяца.&lt;/p&gt;</t>
  </si>
  <si>
    <t>Допускается одновременная накожная вакцинация взрослых старше 18 лет живыми вакцинами против туляремии, бруцеллеза и чумы (на разных участках тела).</t>
  </si>
  <si>
    <t>&lt;p&gt;Допускается одновременная накожная вакцинация взрослых старше 18&amp;nbsp;лет живыми вакцинами против туляремии, бруцеллеза и чумы (на разных участках тела).&lt;/p&gt;</t>
  </si>
  <si>
    <t>Допускается одновременная накожная вакцинация взрослых против чумы, бруцеллеза и туляремии на разных участках наружной поверхности верхней трети плеча.</t>
  </si>
  <si>
    <t>&lt;p&gt;Допускается одновременная накожная вакцинация взрослых против чумы, бруцеллеза и туляремии на разных участках наружной поверхности верхней трети плеча.&lt;/p&gt;</t>
  </si>
  <si>
    <t>Допускается одновременная пероральная вакцинация взрослых против чумы и нaкожная против бруцеллеза и туляремии на разных участках наружной поверхности верхней трети плеча.</t>
  </si>
  <si>
    <t>&lt;p&gt;Допускается одновременная пероральная вакцинация взрослых против чумы и нaкожная против бруцеллеза и туляремии на разных участках наружной поверхности верхней трети плеча.&lt;/p&gt;</t>
  </si>
  <si>
    <t>Допускается одновременная накожная вакцинация взрослых против чумы, бруцеллеза и туляремии на разных участках наружной поверхности верхней трети плеча разными шприцами и иглами.</t>
  </si>
  <si>
    <t>&lt;p&gt;Допускается одновременная накожная вакцинация взрослых против чумы, бруцеллеза и туляремии на разных участках наружной поверхности верхней трети плеча разными шприцами и иглами.&lt;/p&gt;</t>
  </si>
  <si>
    <t xml:space="preserve">Инструкция не содержит указаний по взаимодействию с другими вакцинами. </t>
  </si>
  <si>
    <t>&lt;p&gt;&lt;i&gt;Инструкция не содержит указаний по взаимодействию с другими вакцинами.&lt;/i&gt;&lt;/p&gt;</t>
  </si>
  <si>
    <t>Прививки против бруцеллеза проводят не ранее чем через 1 мес после других профилактических прививок или за 1 мес до них.
Допускается одновременная накожная вакцинация живыми вакцинами против бруцеллеза с прививками против одной из следующих инфекций: ку-риккетсиоза, туляремии и чумы.</t>
  </si>
  <si>
    <t>&lt;p&gt;Прививки против бруцеллеза проводят не ранее чем через 1&amp;nbsp;мес после других профилактических прививок или за 1&amp;nbsp;мес до них.&lt;/p&gt;
&lt;p&gt;Допускается одновременная накожная вакцинация живыми вакцинами против бруцеллеза с прививками против одной из следующих инфекций: ку-риккетсиоза, туляремии и чумы.&lt;/p&gt;</t>
  </si>
  <si>
    <t>Интервал между вакцинацией против сибирской язвы и введением других вакцин должен быть не менее одного месяца, а в отношении детских контингентов — не менее двух месяцев.</t>
  </si>
  <si>
    <t>&lt;p&gt;Интервал между вакцинацией против сибирской язвы и введением других вакцин должен быть не менее одного месяца, а в отношении детских контингентов — не менее двух месяцев.&lt;/p&gt;</t>
  </si>
  <si>
    <t>Во время проведения курса постэкспозиционной иммунизации допускается одновременное применение анатоксина столбнячного и противостолбнячной сыворотки. После окончания вакцинации против бешенства проведение вакцинации против других инфекционных заболеваний допускается не ранее чем через 2 месяца. Предэкспозиционную иммунизацию проводят не ранее чем через 1 месяц после вакцинации против другого инфекционного заболевания.</t>
  </si>
  <si>
    <t>&lt;p&gt;Во время проведения курса постэкспозиционной иммунизации допускается одновременное применение анатоксина столбнячного и противостолбнячной сыворотки. После окончания вакцинации против бешенства проведение вакцинации против других инфекционных заболеваний допускается не ранее чем через 2&amp;nbsp;месяца. Предэкспозиционную иммунизацию проводят не ранее чем через 1&amp;nbsp;месяц после вакцинации против другого инфекционного заболевания.&lt;/p&gt;</t>
  </si>
  <si>
    <t>Допускается введение инактивированных вакцин, применяемых в рамках календаря профилактических прививок по эпидемическим показаниям и национального календаря профилактических прививок, в один день разными шприцами в разные участки тела.</t>
  </si>
  <si>
    <t>&lt;p&gt;Допускается введение инактивированных вакцин, применяемых в рамках календаря профилактических прививок по эпидемическим показаниям и национального календаря профилактических прививок, в один день разными шприцами в разные участки тела.&lt;/p&gt;</t>
  </si>
  <si>
    <t>Прививки проводят не ранее чем через 1 месяц после предыдущей иммунизации другими вакцинами. Допускаются одновременные прививки вакцинами против Ку-лихорадки и бруцеллеза. Бруцеллезную вакцину вводят в соответствии с инструкцией по применению препарата в другую руку.</t>
  </si>
  <si>
    <t>&lt;p&gt;Прививки проводят не ранее чем через 1&amp;nbsp;месяц после предыдущей иммунизации другими вакцинами. Допускаются одновременные прививки вакцинами против Ку-лихорадки и бруцеллеза. Бруцеллезную вакцину вводят в соответствии с инструкцией по применению препарата в другую руку.&lt;/p&gt;</t>
  </si>
  <si>
    <t>В соответствии с национальными рекомендациями допускается одновременное введение вакцины ВИАНВАК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ВИАНВАК является неживой.</t>
  </si>
  <si>
    <t>&lt;p&gt;В соответствии с национальными рекомендациями допускается одновременное введение вакцины ВИАНВАК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ВИАНВАК является неживой.&lt;/p.</t>
  </si>
  <si>
    <t>После введения брюшнотифозной вакцины плановые прививки другими препаратами проводят не ранее чем через 1 месяц.</t>
  </si>
  <si>
    <t>&lt;p&gt;После введения брюшнотифозной вакцины плановые прививки другими препаратами проводят не ранее чем через 1&amp;nbsp;месяц.&lt;/p&gt;</t>
  </si>
  <si>
    <t>В соответствии с национальными рекомендациями допускается одновременное введение вакцины Шигеллвак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Шигеллвак является неживой.</t>
  </si>
  <si>
    <t>&lt;p&gt;В соответствии с национальными рекомендациями допускается одновременное введение вакцины Шигеллвак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Шигеллвак является неживой.&lt;/p&gt;</t>
  </si>
  <si>
    <t>Не изучалось.
Ввиду отсутствия данных исследований совместимости, вакцину КовиВак (Вакцина коронавирусная инактивированная цельновирионная концентрированная очищенная) нельзя смешивать с другими вакцинами в одном шприце.</t>
  </si>
  <si>
    <t>&lt;p&gt;Не изучалось.&lt;/p&gt;
&lt;p&gt;Ввиду отсутствия данных исследований совместимости, вакцину КовиВак (Вакцина коронавирусная инактивированная цельновирионная концентрированная очищенная) нельзя смешивать с другими вакцинами в одном шприце.&lt;/p&gt;</t>
  </si>
  <si>
    <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как лекарственного препарата «Спутник Лайт (Векторная вакцина для профилактики коронавирусной инфекции, вызываемой вирусом SARS-CoV-2)», так и гриппозной вакцины в эксперименте при их одновременном введении. Ожидается отсутствие снижения иммуногенности для расщепленных, субъединичных и полимерсубъединичных гриппозных вакцин.
Допускается одновременное введение вакцины Спутник Лайт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В случае раздельного (не в один календарный день) введения вакцины Спутник Лайт и других вакцин, допустим любой интервал между введениями, т.к. вакцина Спутник Лайт является неживой.</t>
  </si>
  <si>
    <t>&lt;p&gt;Взаимодействие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как лекарственного препарата «Спутник Лайт (Векторная вакцина для профилактики коронавирусной инфекции, вызываемой вирусом SARS-CoV-2)», так и гриппозной вакцины в эксперименте при их одновременном введении. Ожидается отсутствие снижения иммуногенности для расщепленных, субъединичных и полимерсубъединичных гриппозных вакцин.&lt;br&gt;
Допускается одновременное введение вакцины Спутник Лайт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2,5—3&amp;nbsp;см, чтобы в случае возникновения местной реакции была возможность дифференцировать, какая вакцина ее вызвала. В случае раздельного (не в один календарный день) введения вакцины Спутник Лайт и других вакцин, допустим любой интервал между введениями, т.к. вакцина Спутник Лайт является неживой.&lt;/p&gt;</t>
  </si>
  <si>
    <t>Не изучалось. Ввиду отсутствия данных исследований совместимости, вакцину Гам-КОВИД-Вак-М (Комбинированная векторная вакцина для профилактики коронавирусной инфекции, вызываемой вирусом SARS-CoV-2) нельзя смешивать с другими вакцинами в одном шприце.</t>
  </si>
  <si>
    <t>&lt;p&gt;Не изучалось. Ввиду отсутствия данных исследований совместимости, вакцину Гам-КОВИД-Вак-М (Комбинированная векторная вакцина для профилактики коронавирусной инфекции, вызываемой вирусом SARS-CoV-2) нельзя смешивать с другими вакцинами в одном шприце.&lt;/p&gt;</t>
  </si>
  <si>
    <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лекарственного препарата Конвасэл в эксперименте при одновременном введении вакцины для профилактики гриппа и вакцины Конвасэл. Ожидается отсутствие снижения иммуногенности для расщепленных, субъединичных и полимерсубъединичных гриппозных вакцин.
Допускается одновременное введение вакцины Конвасэл с другими вакцинами (кроме БЦЖ) при условии их введения разными шприцами в разные участки тела. В случае раздельного (не в один календарный день) введения вакцины Конвасэл и других вакцин, допустим любой интервал между введениями, т.к. вакцина Конвасэл является неживой.</t>
  </si>
  <si>
    <t>&lt;p&gt;Взаимодействие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лекарственного препарата Конвасэл в эксперименте при одновременном введении вакцины для профилактики гриппа и вакцины Конвасэл. Ожидается отсутствие снижения иммуногенности для расщепленных, субъединичных и полимерсубъединичных гриппозных вакцин.&lt;br&gt;
Допускается одновременное введение вакцины Конвасэл с другими вакцинами (кроме БЦЖ) при условии их введения разными шприцами в разные участки тела. В случае раздельного (не в один календарный день) введения вакцины Конвасэл и других вакцин, допустим любой интервал между введениями, т.к. вакцина Конвасэл является неживой.&lt;/p&gt;</t>
  </si>
  <si>
    <r>
      <rPr>
        <rFont val="Arial"/>
        <color theme="1"/>
      </rPr>
      <t xml:space="preserve">Вакцину Рота-V-Эйд можно вводить одновременно с другими вакцинами в рамках программы иммунизации детей, включая комбинированные вакцины против коклюша, дифтерии и столбняка, инактивированную полиомиелитную вакцину, оральную полиомиелитную вакцину, вакцину против </t>
    </r>
    <r>
      <rPr>
        <rFont val="Arial"/>
        <i/>
        <color theme="1"/>
      </rPr>
      <t>Haemophilus influenzae</t>
    </r>
    <r>
      <rPr>
        <rFont val="Arial"/>
        <color theme="1"/>
      </rPr>
      <t xml:space="preserve"> типа </t>
    </r>
    <r>
      <rPr>
        <rFont val="Arial"/>
        <i/>
        <color theme="1"/>
      </rPr>
      <t>b</t>
    </r>
    <r>
      <rPr>
        <rFont val="Arial"/>
        <color theme="1"/>
      </rPr>
      <t>, вакцину против гепатита В и конъюгированную пневмококковую вакцину.
Одновременным считается введение вакцин в пределах одного календарного дня.
В связи с тем, что оральная ротавирусная вакцина может обладать успокаивающим действием при введении ребенку из-за содержания в составе сахарозы, рекомендуется вводить ее перед введением инъекционных вакцин при одновременном применении.</t>
    </r>
  </si>
  <si>
    <r>
      <rPr>
        <rFont val="Arial"/>
        <color theme="1"/>
      </rPr>
      <t>&lt;p&gt;Вакцину Рота-V-Эйд можно вводить одновременно с другими вакцинами в рамках программы иммунизации детей, включая комбинированные вакцины против коклюша, дифтерии и столбняка, инактивированную полиомиелитную вакцину, оральную полиомиелитную вакцину, вакцину против &lt;i&gt;</t>
    </r>
    <r>
      <rPr>
        <rFont val="Arial"/>
        <i/>
        <color theme="1"/>
      </rPr>
      <t>Haemophilus influenzae&lt;/i&gt;</t>
    </r>
    <r>
      <rPr>
        <rFont val="Arial"/>
        <color theme="1"/>
      </rPr>
      <t xml:space="preserve"> типа &lt;i&gt;</t>
    </r>
    <r>
      <rPr>
        <rFont val="Arial"/>
        <i/>
        <color theme="1"/>
      </rPr>
      <t>b&lt;/i&gt;</t>
    </r>
    <r>
      <rPr>
        <rFont val="Arial"/>
        <color theme="1"/>
      </rPr>
      <t>, вакцину против гепатита В и конъюгированную пневмококковую вакцину.&lt;br&gt;
Одновременным считается введение вакцин в пределах одного календарного дня.&lt;br&gt;
В связи с тем, что оральная ротавирусная вакцина может обладать успокаивающим действием при введении ребенку из-за содержания в составе сахарозы, рекомендуется вводить ее перед введением инъекционных вакцин при одновременном применении.&lt;/p&gt;</t>
    </r>
  </si>
  <si>
    <t>Допускается введение вакцин (кроме вакцин для профилактики туберкулеза), применяемых в рамках национального календаря профилактических прививок, в один день разными шприцами в разные участки тела.</t>
  </si>
  <si>
    <t>&lt;p&gt;Допускается введение вакцин (кроме вакцин для профилактики туберкулеза), применяемых в рамках национального календаря профилактических прививок, в один день разными шприцами в разные участки тела.&lt;/p&gt;</t>
  </si>
  <si>
    <r>
      <rPr>
        <rFont val="Arial"/>
        <color theme="1"/>
      </rPr>
      <t xml:space="preserve">В клинических исследованиях продемонстрировано, что вакцину Приорикс-Тетра можно применять одновременно с любой из перечисленных ниже моновалентных или комбинированных вакцин:
• шестикомпонентная адсорбированная вакцина АаКДС-ГепВ-ИПВ/Хиб;
• бесклеточная коклюшно-дифтерийно-столбнячная вакцина (АаКДС);
• вакцина для профилактики инфекций, вызываемых </t>
    </r>
    <r>
      <rPr>
        <rFont val="Arial"/>
        <i/>
        <color theme="1"/>
      </rPr>
      <t>Haemophilus influenzae</t>
    </r>
    <r>
      <rPr>
        <rFont val="Arial"/>
        <color theme="1"/>
      </rPr>
      <t xml:space="preserve"> тип </t>
    </r>
    <r>
      <rPr>
        <rFont val="Arial"/>
        <i/>
        <color theme="1"/>
      </rPr>
      <t>b</t>
    </r>
    <r>
      <rPr>
        <rFont val="Arial"/>
        <color theme="1"/>
      </rPr>
      <t xml:space="preserve"> (Хиб);
• вакцина для профилактики полиомиелита инактивированная (ИПВ);
• вакцина для профилактики вирусного гепатита B (ГепB);
• вакцина для профилактики вирусного гепатита А;
• вакцина для профилактики пневмококковых инфекций конъюгированная.
Если вакцина Приорикс-Тетра подлежит применению одновременно с другой вакциной для парентерального введения, введение вакцин выполняют в разные участки тела.</t>
    </r>
  </si>
  <si>
    <r>
      <rPr>
        <rFont val="Arial"/>
        <color theme="1"/>
      </rPr>
      <t>&lt;p&gt;В клинических исследованиях продемонстрировано, что вакцину Приорикс-Тетра можно применять одновременно с любой из перечисленных ниже моновалентных или комбинированных вакцин:
&lt;ul&gt;&lt;li&gt;шестикомпонентная адсорбированная вакцина АаКДС-ГепВ-ИПВ/Хиб;&lt;/li&gt;
&lt;li&gt;бесклеточная коклюшно-дифтерийно-столбнячная вакцина (АаКДС);&lt;/li&gt;
&lt;li&gt;вакцина для профилактики инфекций, вызываемых &lt;i&gt;</t>
    </r>
    <r>
      <rPr>
        <rFont val="Arial"/>
        <i/>
        <color theme="1"/>
      </rPr>
      <t>Haemophilus influenzae&lt;/i&gt;</t>
    </r>
    <r>
      <rPr>
        <rFont val="Arial"/>
        <color theme="1"/>
      </rPr>
      <t xml:space="preserve"> тип </t>
    </r>
    <r>
      <rPr>
        <rFont val="Arial"/>
        <i/>
        <color theme="1"/>
      </rPr>
      <t>&lt;i&gt;b&lt;/i&gt;</t>
    </r>
    <r>
      <rPr>
        <rFont val="Arial"/>
        <color theme="1"/>
      </rPr>
      <t xml:space="preserve"> (Хиб);&lt;/li&gt;
&lt;li&gt;вакцина для профилактики полиомиелита инактивированная (ИПВ);&lt;/li&gt;
&lt;li&gt;вакцина для профилактики вирусного гепатита B (ГепB);&lt;/li&gt;
&lt;li&gt;вакцина для профилактики вирусного гепатита А;&lt;/li&gt;
&lt;li&gt;вакцина для профилактики пневмококковых инфекций конъюгированная.&lt;/li&gt;&lt;/ul&gt;
Если вакцина Приорикс-Тетра подлежит применению одновременно с другой вакциной для парентерального введения, введение вакцин выполняют в разные участки тела.&lt;/p&gt;</t>
    </r>
  </si>
  <si>
    <r>
      <rPr>
        <rFont val="Arial"/>
        <color theme="1"/>
      </rPr>
      <t xml:space="preserve">Вакцину Менвео можно вводить одновременно с вакциной для профилактики менингококковой инфекции, вызываемой </t>
    </r>
    <r>
      <rPr>
        <rFont val="Arial"/>
        <i/>
        <color theme="1"/>
      </rPr>
      <t>Neisseria meningitidis</t>
    </r>
    <r>
      <rPr>
        <rFont val="Arial"/>
        <color theme="1"/>
      </rPr>
      <t xml:space="preserve"> серогруппы B (Бексеро).
Детям в возрасте от 2 до 23 месяцев, вакцинированным в ходе клинических исследований, вакцину Менвео вводили одновременно с вакцинами, содержащими следующие антигены: дифтерийный анатоксин, коклюшный антиген бесклеточный, столбнячный анатоксин, капсульный полисахарид </t>
    </r>
    <r>
      <rPr>
        <rFont val="Arial"/>
        <i/>
        <color theme="1"/>
      </rPr>
      <t>Haemophilus influenzae</t>
    </r>
    <r>
      <rPr>
        <rFont val="Arial"/>
        <color theme="1"/>
      </rPr>
      <t xml:space="preserve"> типа b (Hib), инактивированный вирус полиомиелита, антиген вируса гепатита В, инактивированный вирус гепатита А, капсульные антигены 7-валетной и 13-валетной пневмококковой конъюгированной вакцины (ПКВ 7 и ПКВ 13), пятивалентный ротавирус, a также вирусы кори, эпидемического паротита, краснухи и ветряной оспы. Увеличение реактогенности или изменение профиля безопасности рутинной вакцинации не наблюдалось.
В ходе 2 клинических исследований с участием детей, которых начинали вакцинировать в возрасте 2 месяцев, вакцину Менвео вводили одновременно с плановыми вакцинами для детей, такими как противодифтерийная вакцина, противококлюшная вакцина (бесклеточная), противостолбнячная вакцина, инактивированная вакцина против полиомиелита типов 1, 2 и 3, вакцина против гепатита В (ВГВ), вакцина против инфекции, вызываемой </t>
    </r>
    <r>
      <rPr>
        <rFont val="Arial"/>
        <i/>
        <color theme="1"/>
      </rPr>
      <t>Haemophilus influenzae</t>
    </r>
    <r>
      <rPr>
        <rFont val="Arial"/>
        <color theme="1"/>
      </rPr>
      <t xml:space="preserve"> типа b (Hib), пятивалентная ротавирусная вакцина и 7-валентная пневмококковая конъюгированная вакцина.
Четвертую дозу вакцины Менвео вводили детям в возрасте от 12 месяцев одновременно со следующими вакцинами: 7-валетной пневмококковой конъюгированной вакциной, комбинированной вакциной для профилактики кори, эпидемического паротита, краснухи и вакциной для профилактики ветряной оспы или комбинированной вакциной для профилактики кори, эпидемического паротита, краснухи и ветряной оспы, а также инактивированной вакциной против гепатита А.
Одновременное введение вакцин не вызвало иммунной интерференции (клинически значимого изменения в выработке антител против каждого из антигенов, входящих в состав вакцин); исключение составил антиген серотипа 6В, входящий в состав пневмококковой вакцины, после введения 3 дозы.
Интерференция не наблюдалась после введения 4 дозы пневмококковых вакцин всех серотипов.
В ходе клинического исследования с участием детей (в возрасте ≥7 месяцев), вакцину Менвео вводили участникам одновременно с комбинированной вакциной для профилактики кори, эпидемического паротита, краснухи и вакциной для профилактики ветряной оспы или комбинированной вакциной для профилактики кори, эпидемического паротита, краснухи и ветряной оспы в возрасте 12 месяцев. Одновременное введение вакцин не вызвало иммунной интерференции.
Для детей в возрасте от 2 до 10 лет данные по оценке безопасности и иммуногенности других детских вакцин при введении одновременно с вакциной Менвео отсутствуют.
Подросткам в возрасте от 11 до 18 лет вакцину Менвео можно вводить одновременно с АаКДС с уменьшенным содержанием дифтерийного и коклюшного антигенов и рекомбинантной четырехвалентной вакциной против вируса папилломы человека (ВПЧ) типов 6, 11, 16 и 18.
Для данной возрастной группы оценка вакцины Менвео проводилась в рамках 2 клинических исследований, в ходе которых вакцина вводилась совместно с вакциной АаКДС с уменьшенным содержанием дифтерийного и коклюшного антигенов или вакцинами АаКДС с уменьшенным содержанием дифтерийного и коклюшного антигенов и ВПЧ. Признаки увеличения степени реактогенности и изменения профиля безопасности вакцины не наблюдались на протяжении обоих исследований. Совместное введение не оказало отрицательного влияния на развитие серологического иммунного ответа на компоненты вакцины Менвео и вакцины АаКДС с уменьшенным содержанием дифтерийного и коклюшного антигенов или вакцины против ВПЧ. В результате последовательного введения вакцины Менвео через 1 месяц после вакцины АаКДС с уменьшенным содержанием дифтерийного и коклюшного антигенов наблюдалось снижение иммунного ответа на серогруппу W₁₃₅ при оценке доли вакцинированных с серологическим ответом.
Но поскольку у не менее чем 95% вакцинированных после вакцинации уровень hSBA против серогруппы С составлял ≥8, клиническая значимость этих данных неизвестна.
Взрослым вакцину Менвео можно вводить одновременно с вакциной для профилактики гепатита А, вакциной для профилактики гепатита В, вакциной против желтой лихорадки, брюшнотифозной вакциной (полисахарид Vi), вакциной против японского энцефалита и антирабической вакциной.
Совместное введение вакцины Менвео с вакциной для профилактики гепатита А и вакциной для профилактики гепатита В, либо с брюшнотифозной вакциной и вакциной против желтой лихорадки, либо с вакциной против японского энцефалита и антирабической вакциной было оценено в ходе клинического исследования у взрослых. Значимая интерференция серологических иммунных ответов на антигены вирусов гепатита А и В, полисахарида Vi брюшного тифа, желтой лихорадки, японского энцефалита и бешенства после завершения курса вакцинации не наблюдалась. Одновременное введение вакцин не оказало отрицательного влияния на иммунный ответ на вакцину Менвео. Изменения в профиле безопасности вакцины не наблюдались.
Одновременное применение вакцины Менвео с другими вакцинами, кроме перечисленных выше, не изучалось. При необходимости одновременного введения Менвео с другими инъекционными вакцинами, вакцины должны вводиться в разные участки тела, предпочтительно контралатерально.</t>
    </r>
  </si>
  <si>
    <r>
      <rPr>
        <rFont val="Arial"/>
        <color theme="1"/>
      </rPr>
      <t xml:space="preserve">&lt;p&gt;Вакцину Менвео можно вводить одновременно с вакциной для профилактики менингококковой инфекции, вызываемой </t>
    </r>
    <r>
      <rPr>
        <rFont val="Arial"/>
        <i/>
        <color theme="1"/>
      </rPr>
      <t>&lt;i&gt;Neisseria meningitidis&lt;/i&gt;</t>
    </r>
    <r>
      <rPr>
        <rFont val="Arial"/>
        <color theme="1"/>
      </rPr>
      <t xml:space="preserve"> серогруппы&amp;nbsp;B (Бексеро).&lt;/p&gt;
&lt;p&gt;Детям в возрасте от 2 до 23&amp;nbsp;месяцев, вакцинированным в ходе клинических исследований, вакцину Менвео вводили одновременно с вакцинами, содержащими следующие антигены: дифтерийный анатоксин, коклюшный антиген бесклеточный, столбнячный анатоксин, капсульный полисахарид </t>
    </r>
    <r>
      <rPr>
        <rFont val="Arial"/>
        <i/>
        <color theme="1"/>
      </rPr>
      <t>Haemophilus influenzae</t>
    </r>
    <r>
      <rPr>
        <rFont val="Arial"/>
        <color theme="1"/>
      </rPr>
      <t xml:space="preserve"> типа b (Hib), инактивированный вирус полиомиелита, антиген вируса гепатита В, инактивированный вирус гепатита А, капсульные антигены 7-валетной и 13-валетной пневмококковой конъюгированной вакцины (ПКВ&amp;nbsp;7 и ПКВ&amp;nbsp;13), пятивалентный ротавирус, a также вирусы кори, эпидемического паротита, краснухи и ветряной оспы. Увеличение реактогенности или изменение профиля безопасности рутинной вакцинации не наблюдалось.&lt;/p&gt;
&lt;p&gt;В ходе 2&amp;nbsp;клинических исследований с участием детей, которых начинали вакцинировать в возрасте 2&amp;nbsp;месяцев, вакцину Менвео вводили одновременно с плановыми вакцинами для детей, такими как противодифтерийная вакцина, противококлюшная вакцина (бесклеточная), противостолбнячная вакцина, инактивированная вакцина против полиомиелита типов 1, 2 и 3, вакцина против гепатита В (ВГВ), вакцина против инфекции, вызываемой </t>
    </r>
    <r>
      <rPr>
        <rFont val="Arial"/>
        <i/>
        <color theme="1"/>
      </rPr>
      <t>&lt;i&gt;Haemophilus influenzae&lt;/i&gt;</t>
    </r>
    <r>
      <rPr>
        <rFont val="Arial"/>
        <color theme="1"/>
      </rPr>
      <t xml:space="preserve"> типа b (Hib), пятивалентная ротавирусная вакцина и 7-валентная пневмококковая конъюгированная вакцина.&lt;/p&gt;
&lt;p&gt;Четвертую дозу вакцины Менвео вводили детям в возрасте от 12&amp;nbsp;месяцев одновременно со следующими вакцинами: 7-валетной пневмококковой конъюгированной вакциной, комбинированной вакциной для профилактики кори, эпидемического паротита, краснухи и вакциной для профилактики ветряной оспы или комбинированной вакциной для профилактики кори, эпидемического паротита, краснухи и ветряной оспы, а также инактивированной вакциной против гепатита А.&lt;/p&gt;
&lt;p&gt;Одновременное введение вакцин не вызвало иммунной интерференции (клинически значимого изменения в выработке антител против каждого из антигенов, входящих в состав вакцин); исключение составил антиген серотипа&amp;nbsp;6В, входящий в состав пневмококковой вакцины, после введения 3&amp;nbsp;дозы.&lt;/p&gt;
&lt;p&gt;Интерференция не наблюдалась после введения 4 дозы пневмококковых вакцин всех серотипов.&lt;/p&gt;
&lt;p&gt;В ходе клинического исследования с участием детей (в возрасте ≥7&amp;nbsp;месяцев), вакцину Менвео вводили участникам одновременно с комбинированной вакциной для профилактики кори, эпидемического паротита, краснухи и вакциной для профилактики ветряной оспы или комбинированной вакциной для профилактики кори, эпидемического паротита, краснухи и ветряной оспы в возрасте 12&amp;nbsp;месяцев. Одновременное введение вакцин не вызвало иммунной интерференции.&lt;/p&gt;
&lt;p&gt;Для детей в возрасте от 2 до 10&amp;nbsp;лет данные по оценке безопасности и иммуногенности других детских вакцин при введении одновременно с вакциной Менвео отсутствуют.
Подросткам в возрасте от 11 до 18&amp;nbsp;лет вакцину Менвео можно вводить одновременно с АаКДС с уменьшенным содержанием дифтерийного и коклюшного антигенов и рекомбинантной четырехвалентной вакциной против вируса папилломы человека (ВПЧ) типов 6, 11, 16 и 18.&lt;/p&gt;
&lt;p&gt;Для данной возрастной группы оценка вакцины Менвео проводилась в рамках 2&amp;nbsp;клинических исследований, в ходе которых вакцина вводилась совместно с вакциной АаКДС с уменьшенным содержанием дифтерийного и коклюшного антигенов или вакцинами АаКДС с уменьшенным содержанием дифтерийного и коклюшного антигенов и ВПЧ. Признаки увеличения степени реактогенности и изменения профиля безопасности вакцины не наблюдались на протяжении обоих исследований. Совместное введение не оказало отрицательного влияния на развитие серологического иммунного ответа на компоненты вакцины Менвео и вакцины АаКДС с уменьшенным содержанием дифтерийного и коклюшного антигенов или вакцины против ВПЧ. В результате последовательного введения вакцины Менвео через 1&amp;nbsp;месяц после вакцины АаКДС с уменьшенным содержанием дифтерийного и коклюшного антигенов наблюдалось снижение иммунного ответа на серогруппу&amp;nbsp;W₁₃₅ при оценке доли вакцинированных с серологическим ответом.&lt;/p&gt;
&lt;p&gt;Но поскольку у не менее чем 95% вакцинированных после вакцинации уровень hSBA против серогруппы&amp;nbsp;С составлял ≥8, клиническая значимость этих данных неизвестна.
Взрослым вакцину Менвео можно вводить одновременно с вакциной для профилактики гепатита А, вакциной для профилактики гепатита В, вакциной против желтой лихорадки, брюшнотифозной вакциной (полисахарид&amp;nbsp;Vi), вакциной против японского энцефалита и антирабической вакциной.&lt;/p&gt;
&lt;p&gt;Совместное введение вакцины Менвео с вакциной для профилактики гепатита А и вакциной для профилактики гепатита В, либо с брюшнотифозной вакциной и вакциной против желтой лихорадки, либо с вакциной против японского энцефалита и антирабической вакциной было оценено в ходе клинического исследования у взрослых. Значимая интерференция серологических иммунных ответов на антигены вирусов гепатита А и В, полисахарида&amp;nbsp;Vi брюшного тифа, желтой лихорадки, японского энцефалита и бешенства после завершения курса вакцинации не наблюдалась. Одновременное введение вакцин не оказало отрицательного влияния на иммунный ответ на вакцину Менвео. Изменения в профиле безопасности вакцины не наблюдались.&lt;/p&gt;
&lt;p&gt;Одновременное применение вакцины Менвео с другими вакцинами, кроме перечисленных выше, не изучалось. При необходимости одновременного введения Менвео с другими инъекционными вакцинами, вакцины должны вводиться в разные участки тела, предпочтительно контралатерально.&lt;/p&gt;</t>
    </r>
  </si>
  <si>
    <t>Вакцинация может быть проведена одновременно (в один день) с любыми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При этом препараты вводят отдельными шприцами в разные участки тела. При необходимости раздельного (не в один календарный день) введения вакцины Флю-м Тетра и других вакцин, допустим любой интервал между введениями, т.к. вакцина Флю-М Тетра является инактивированной. Интервал до и после введения вакцины для профилактики туберкулеза и вакцины Флю-М Тетра составляет 1 месяц.</t>
  </si>
  <si>
    <t>&lt;p&gt;Вакцинация может быть проведена одновременно (в один день) с любыми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При этом препараты вводят отдельными шприцами в разные участки тела. При необходимости раздельного (не в один календарный день) введения вакцины Флю-м Тетра и других вакцин, допустим любой интервал между введениями, т.к. вакцина Флю-М Тетра является инактивированной. Интервал до и после введения вакцины для профилактики туберкулеза и вакцины Флю-М Тетра составляет 1&amp;nbsp;месяц.&lt;/p&gt;</t>
  </si>
  <si>
    <t>Согласно официальным рекомендациям, инактивированные вакцины могут применяться одновременно с другими вакцинами, применяемыми для плановой иммунизации.
В случае одновременного введения препараты должны вводиться в разные участки тела с использованием разных шприцев.</t>
  </si>
  <si>
    <t>&lt;p&gt;Согласно официальным рекомендациям, инактивированные вакцины могут применяться одновременно с другими вакцинами, применяемыми для плановой иммунизации.&lt;br&gt;
В случае одновременного введения препараты должны вводиться в разные участки тела с использованием разных шприцев.&lt;/p&gt;</t>
  </si>
  <si>
    <t>Проверено Елена Савинова. Раздел 2, подраздел "Другие препараты и препарат Ваксигрип Тетра".</t>
  </si>
  <si>
    <r>
      <rPr>
        <rFont val="Arial"/>
        <i/>
        <color theme="1"/>
      </rPr>
      <t>Другие живые вакцины</t>
    </r>
    <r>
      <rPr>
        <rFont val="Arial"/>
        <color theme="1"/>
      </rPr>
      <t xml:space="preserve">
Лицам, получившим прививки живыми вакцинами (полиовакцина, коревая, паротитная, краснушная, БЦЖ, вакцина против желтой лихорадки), вакцинацию Окаваксом следует проводить не ранее чем через 4 недели спустя.
</t>
    </r>
    <r>
      <rPr>
        <rFont val="Arial"/>
        <i/>
        <color theme="1"/>
      </rPr>
      <t>Инактивированные вакцины</t>
    </r>
    <r>
      <rPr>
        <rFont val="Arial"/>
        <color theme="1"/>
      </rPr>
      <t xml:space="preserve">
За исключением антирабической вакцины, разрешено одновременное применение Окавакса и инактивированных вакцин национального календаря профилактических прививок и календаря прививок по эпидемическим показаниям, при условии их введения разными шприцами в разные участки тела.</t>
    </r>
  </si>
  <si>
    <r>
      <rPr>
        <rFont val="Arial"/>
        <i/>
        <color theme="1"/>
      </rPr>
      <t>&lt;p&gt;&lt;i&gt;Другие живые вакцины</t>
    </r>
    <r>
      <rPr>
        <rFont val="Arial"/>
        <color theme="1"/>
      </rPr>
      <t xml:space="preserve">&lt;/i&gt;&lt;br&gt;
Лицам, получившим прививки живыми вакцинами (полиовакцина, коревая, паротитная, краснушная, БЦЖ, вакцина против желтой лихорадки), вакцинацию Окаваксом следует проводить не ранее чем через 4&amp;nbsp;недели спустя.&lt;/p&gt;
</t>
    </r>
    <r>
      <rPr>
        <rFont val="Arial"/>
        <i/>
        <color theme="1"/>
      </rPr>
      <t>&lt;p&gt;&lt;i&gt;Инактивированные вакцины</t>
    </r>
    <r>
      <rPr>
        <rFont val="Arial"/>
        <color theme="1"/>
      </rPr>
      <t>&lt;/i&gt;&lt;br&gt;
За исключением антирабической вакцины, разрешено одновременное применение Окавакса и инактивированных вакцин национального календаря профилактических прививок и календаря прививок по эпидемическим показаниям, при условии их введения разными шприцами в разные участки тела.&lt;/p&gt;</t>
    </r>
  </si>
  <si>
    <t>Пневмо 23 можно вводить одновременно (в один день) с другими вакцинами (за исключением вакцин для профилактики туберкулеза) в разные участки тела использованием разных шприцев.</t>
  </si>
  <si>
    <t>&lt;p&gt;Пневмо&amp;nbsp;23 можно вводить одновременно (в один день) с другими вакцинами (за исключением вакцин для профилактики туберкулеза) в разные участки тела использованием разных шприцев.&lt;/p&gt;</t>
  </si>
  <si>
    <r>
      <rPr>
        <rFont val="Arial"/>
        <color theme="1"/>
      </rPr>
      <t xml:space="preserve">ВАРИВАКС нельзя смешивать с какой-либо другой вакциной или другим лекарственным препаратом в одном шприце. Другие инъекционные вакцины или другие лекарственные препараты должны вводиться в виде отдельных инъекций в разные участки тела.
ВАРИВАКС вводили детям преддошкольного возраста в разные участки тела одновременно с комбинированной вакциной против кори, эпидемического паротита и краснухи, конъюгированной вакциной против </t>
    </r>
    <r>
      <rPr>
        <rFont val="Arial"/>
        <i/>
        <color theme="1"/>
      </rPr>
      <t>Haemophilus influenzae</t>
    </r>
    <r>
      <rPr>
        <rFont val="Arial"/>
        <color theme="1"/>
      </rPr>
      <t xml:space="preserve"> типа</t>
    </r>
    <r>
      <rPr>
        <rFont val="Arial"/>
        <i/>
        <color theme="1"/>
      </rPr>
      <t xml:space="preserve"> b</t>
    </r>
    <r>
      <rPr>
        <rFont val="Arial"/>
        <color theme="1"/>
      </rPr>
      <t>, вакциной против гепатита B, вакциной против дифтерии/столбняка/цельноклеточной коклюшной вакциной и оральной вакциной против полиомиелита. Не было получено доказательств клинически значимой разницы иммунного ответа на введение любого из антигенов при совместном применении с вакциной ВАРИВАКС. Если вакцина против ветряной оспы (живая, аттенуированная) (штамм Oka/Merck) не вводится одновременно с вакциной против кори, эпидемического паротита и краснухи, следует соблюдать интервал продолжительностью не менее 1 месяца между введением двух живых вирусных вакцин.
Одновременное введение вакцины ВАРИВАКС и четырехвалентной, пятивалентной или шестивалентной вакцин, содержащих компоненты против дифтерии, столбняка и бесклеточной вакцины против коклюша (аАКДС) не изучали.</t>
    </r>
  </si>
  <si>
    <t>&lt;p&gt;ВАРИВАКС нельзя смешивать с какой-либо другой вакциной или другим лекарственным препаратом в одном шприце. Другие инъекционные вакцины или другие лекарственные препараты должны вводиться в виде отдельных инъекций в разные участки тела.&lt;br&gt;&lt;br&gt;
ВАРИВАКС вводили детям преддошкольного возраста в разные участки тела одновременно с комбинированной вакциной против кори, эпидемического паротита и краснухи, конъюгированной вакциной против &lt;i&gt;Haemophilus influenzae&lt;/i&gt; типа &lt;i&gt;b&lt;/i&gt;, вакциной против гепатита B, вакциной против дифтерии/столбняка/цельноклеточной коклюшной вакциной и оральной вакциной против полиомиелита. Не было получено доказательств клинически значимой разницы иммунного ответа на введение любого из антигенов при совместном применении с вакциной ВАРИВАКС. Если вакцина против ветряной оспы (живая, аттенуированная) (штамм Oka/Merck) не вводится одновременно с вакциной против кори, эпидемического паротита и краснухи, следует соблюдать интервал продолжительностью не менее 1&amp;nbsp;месяца между введением двух живых вирусных вакцин.&lt;br&gt;&lt;br&gt;
Одновременное введение вакцины ВАРИВАКС и четырехвалентной, пятивалентной или шестивалентной вакцин, содержащих компоненты против дифтерии, столбняка и бесклеточной вакцины против коклюша (аАКДС) не изучали.&lt;/p&gt;</t>
  </si>
  <si>
    <r>
      <rPr>
        <rFont val="Arial"/>
        <color theme="1"/>
      </rPr>
      <t xml:space="preserve">Допускается одновременное введение вакцины ПНЕМОТЕКС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ПНЕМОТЕКС и других вакцин, допустим любой интервал между введениями, т.к. вакцина ПНЕМОТЕКС не является живой вакциной.
</t>
    </r>
    <r>
      <rPr>
        <rFont val="Arial"/>
        <i/>
        <color theme="1"/>
      </rPr>
      <t>Дети в возрасте от 2 месяцев до 5 лет</t>
    </r>
    <r>
      <rPr>
        <rFont val="Arial"/>
        <color theme="1"/>
      </rPr>
      <t xml:space="preserve">
Препарат ПНЕМОТЕКС сочетается с любыми другими вакцинами, входящими в национальный календарь профилактических прививок детей первых лет жизни, за исключением БЦЖ. Одновременное введение препарата ПНЕМОТЕКС с любыми следующими антигенами, входящими в состав как моновалентных, так и комбинированных вакцин: дифтерийным, столбнячным, бесклеточным или цельноклеточным коклюшным, </t>
    </r>
    <r>
      <rPr>
        <rFont val="Arial"/>
        <i/>
        <color theme="1"/>
      </rPr>
      <t>Haemophilus influenza</t>
    </r>
    <r>
      <rPr>
        <rFont val="Arial"/>
        <color theme="1"/>
      </rPr>
      <t xml:space="preserve">e тип </t>
    </r>
    <r>
      <rPr>
        <rFont val="Arial"/>
        <i/>
        <color theme="1"/>
      </rPr>
      <t>b</t>
    </r>
    <r>
      <rPr>
        <rFont val="Arial"/>
        <color theme="1"/>
      </rPr>
      <t xml:space="preserve">, полиомиелитным, гепатит А, гепатит В, коревым, эпидемического паротита, краснухи, ветряной оспы и ротавирусной инфекции — не влияет на иммуногенность данных вакцин.
</t>
    </r>
    <r>
      <rPr>
        <rFont val="Arial"/>
        <i/>
        <color theme="1"/>
      </rPr>
      <t>Дети и подростки в возрасте от 6 до 17 лет</t>
    </r>
    <r>
      <rPr>
        <rFont val="Arial"/>
        <color theme="1"/>
      </rPr>
      <t xml:space="preserve">
Данные о применении препарата ПНЕМОТЕКС одновременно с вакциной против папилломавирусной инфекции человека, конъюгированной менингококковой вакциной, вакциной против столбняка, дифтерии и коклюша, клещевого энцефалита отсутствуют.
</t>
    </r>
    <r>
      <rPr>
        <rFont val="Arial"/>
        <i/>
        <color theme="1"/>
      </rPr>
      <t>Лица в возрасте от 18 до 49 лет</t>
    </r>
    <r>
      <rPr>
        <rFont val="Arial"/>
        <color theme="1"/>
      </rPr>
      <t xml:space="preserve">
Данные по одновременному применению препарата ПНЕМОТЕКС с другими вакцинами отсутствуют.
</t>
    </r>
    <r>
      <rPr>
        <rFont val="Arial"/>
        <i/>
        <color theme="1"/>
      </rPr>
      <t>Лица в возрасте от 50 лет</t>
    </r>
    <r>
      <rPr>
        <rFont val="Arial"/>
        <color theme="1"/>
      </rPr>
      <t xml:space="preserve">
Препарат ПНЕМОТЕКС может использоваться совместно с тривалентной инактивированной вакциной против сезонного гриппа (ТГВ).</t>
    </r>
  </si>
  <si>
    <r>
      <rPr>
        <rFont val="Arial"/>
        <color theme="1"/>
      </rPr>
      <t xml:space="preserve">&lt;p&gt;Допускается одновременное введение вакцины ПНЕМОТЕКС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ПНЕМОТЕКС и других вакцин, допустим любой интервал между введениями, т.к. вакцина ПНЕМОТЕКС не является живой вакциной.&lt;br&gt;&lt;br&gt;
</t>
    </r>
    <r>
      <rPr>
        <rFont val="Arial"/>
        <i/>
        <color theme="1"/>
      </rPr>
      <t>&lt;i&gt;Дети в возрасте от 2&amp;nbsp;месяцев до 5&amp;nbsp;лет&lt;/i&gt;&lt;br&gt;</t>
    </r>
    <r>
      <rPr>
        <rFont val="Arial"/>
        <color theme="1"/>
      </rPr>
      <t xml:space="preserve">
Препарат ПНЕМОТЕКС сочетается с любыми другими вакцинами, входящими в национальный календарь профилактических прививок детей первых лет жизни, за исключением БЦЖ. Одновременное введение препарата ПНЕМОТЕКС с любыми следующими антигенами, входящими в состав как моновалентных, так и комбинированных вакцин: дифтерийным, столбнячным, бесклеточным или цельноклеточным коклюшным, </t>
    </r>
    <r>
      <rPr>
        <rFont val="Arial"/>
        <i/>
        <color theme="1"/>
      </rPr>
      <t>&lt;i&gt;Haemophilus influenza</t>
    </r>
    <r>
      <rPr>
        <rFont val="Arial"/>
        <color theme="1"/>
      </rPr>
      <t>e&lt;/i&gt; тип &lt;i&gt;</t>
    </r>
    <r>
      <rPr>
        <rFont val="Arial"/>
        <i/>
        <color theme="1"/>
      </rPr>
      <t>b&lt;/i&gt;</t>
    </r>
    <r>
      <rPr>
        <rFont val="Arial"/>
        <color theme="1"/>
      </rPr>
      <t xml:space="preserve">, полиомиелитным, гепатит А, гепатит В, коревым, эпидемического паротита, краснухи, ветряной оспы и ротавирусной инфекции — не влияет на иммуногенность данных вакцин.&lt;br&gt;&lt;br&gt;
</t>
    </r>
    <r>
      <rPr>
        <rFont val="Arial"/>
        <i/>
        <color theme="1"/>
      </rPr>
      <t>&lt;i&gt;Дети и подростки в возрасте от 6 до 17&amp;nbsp;лет&lt;/i&gt;&lt;br&gt;</t>
    </r>
    <r>
      <rPr>
        <rFont val="Arial"/>
        <color theme="1"/>
      </rPr>
      <t xml:space="preserve">
Данные о применении препарата ПНЕМОТЕКС одновременно с вакциной против папилломавирусной инфекции человека, конъюгированной менингококковой вакциной, вакциной против столбняка, дифтерии и коклюша, клещевого энцефалита отсутствуют.&lt;br&gt;&lt;br&gt;
</t>
    </r>
    <r>
      <rPr>
        <rFont val="Arial"/>
        <i/>
        <color theme="1"/>
      </rPr>
      <t>&lt;i&gt;Лица в возрасте от 18 до 49&amp;nbsp;лет&lt;/i&gt;&lt;br&gt;</t>
    </r>
    <r>
      <rPr>
        <rFont val="Arial"/>
        <color theme="1"/>
      </rPr>
      <t xml:space="preserve">
Данные по одновременному применению препарата ПНЕМОТЕКС с другими вакцинами отсутствуют.&lt;br&gt;&lt;br&gt;
</t>
    </r>
    <r>
      <rPr>
        <rFont val="Arial"/>
        <i/>
        <color theme="1"/>
      </rPr>
      <t>&lt;i&gt;Лица в возрасте от 50&amp;nbsp;лет&lt;/i&gt;&lt;br&gt;</t>
    </r>
    <r>
      <rPr>
        <rFont val="Arial"/>
        <color theme="1"/>
      </rPr>
      <t xml:space="preserve">
Препарат ПНЕМОТЕКС может использоваться совместно с тривалентной инактивированной вакциной против сезонного гриппа (ТГВ).&lt;/p&gt;</t>
    </r>
  </si>
  <si>
    <r>
      <rPr>
        <rFont val="Arial"/>
        <color theme="1"/>
      </rPr>
      <t xml:space="preserve">Вакцину Приорикс® можно вводить одновременно (в один день) со следующими моновалентными и комбинированными вакцинами: вакцина для профилактики дифтерии, столбняка, коклюша (бесклеточная), гепатита B, полиомиелита (инактивированная) и инфекций, вызываемых </t>
    </r>
    <r>
      <rPr>
        <rFont val="Arial"/>
        <i/>
        <color theme="1"/>
      </rPr>
      <t>Haemophilus influenzae</t>
    </r>
    <r>
      <rPr>
        <rFont val="Arial"/>
        <color theme="1"/>
      </rPr>
      <t xml:space="preserve"> тип b (АКаДС-ВГВ-ИПВ/Хиб), вакцина для профилактики дифтерии, столбняка, коклюша (бесклеточная) (АКаДС)вакцина для профилактики дифтерии, столбняка, коклюша (бесклеточная) с уменьшенным содержанием антигенов, вакцина для профилактики инфекции, вызываемой </t>
    </r>
    <r>
      <rPr>
        <rFont val="Arial"/>
        <i/>
        <color theme="1"/>
      </rPr>
      <t>Haemophilus influenzae</t>
    </r>
    <r>
      <rPr>
        <rFont val="Arial"/>
        <color theme="1"/>
      </rPr>
      <t xml:space="preserve"> тип b (Хиб), вакцина для профилактики полиомиелита инактивированная, вакцина для профилактики вирусного гепатита В, вакцина для профилактики вирусного гепатита А, вакцина менингококковая серогрупп A, C, W₁₃₅, Y конъюгированная, вакцина для профилактики ветряной оспы, вакцина для профилактики пневмококковых инфекций конъюгированная.
Кроме того, в соответствии с общепринятой практикой допускается совместное введение комбинированной вакцины для профилактики кори, краснухи и паротита с пероральной полиомиелитной живой вакциной или с вакциной для профилактики дифтерии, столбняка, коклюша (цельноклеточной).
При совместном введении вакцины Приорикс® с другими вакцинами инъекции различными вакцинами делают отдельными шприцами в разные участки тела.
Если введение вакцины Приорикс® с другими живыми аттенуированными вакцинами невозможно выполнить одновременно, интервал между инъекциями различных вакцин должен составлять не менее 1 месяца.
</t>
    </r>
    <r>
      <rPr>
        <rFont val="Arial"/>
        <i/>
        <color theme="1"/>
      </rPr>
      <t>Не допускается смешивать вакцину Приорикс® с другими вакцинами в одном шприце.</t>
    </r>
    <r>
      <rPr>
        <rFont val="Arial"/>
        <color theme="1"/>
      </rPr>
      <t xml:space="preserve">
Вакцина Приорикс® может быть использована для проведения повторной прививки лицам, ранее вакцинированным другой комбинированной вакциной против кори, паротита и краснухи или соответствующими монопрепаратами.</t>
    </r>
  </si>
  <si>
    <r>
      <rPr>
        <rFont val="Arial"/>
        <color theme="1"/>
      </rPr>
      <t>&lt;p&gt;Вакцину Приорикс® можно вводить одновременно (в один день) со следующими моновалентными и комбинированными вакцинами: вакцина для профилактики дифтерии, столбняка, коклюша (бесклеточная), гепатита B, полиомиелита (инактивированная) и инфекций, вызываемых &lt;i&gt;</t>
    </r>
    <r>
      <rPr>
        <rFont val="Arial"/>
        <i/>
        <color theme="1"/>
      </rPr>
      <t>Haemophilus influenzae&lt;/i&gt;</t>
    </r>
    <r>
      <rPr>
        <rFont val="Arial"/>
        <color theme="1"/>
      </rPr>
      <t xml:space="preserve"> тип b (АКаДС-ВГВ-ИПВ/Хиб), вакцина для профилактики дифтерии, столбняка, коклюша (бесклеточная) (АКаДС)вакцина для профилактики дифтерии, столбняка, коклюша (бесклеточная) с уменьшенным содержанием антигенов, вакцина для профилактики инфекции, вызываемой </t>
    </r>
    <r>
      <rPr>
        <rFont val="Arial"/>
        <i/>
        <color theme="1"/>
      </rPr>
      <t>&lt;i&gt;Haemophilus influenzae</t>
    </r>
    <r>
      <rPr>
        <rFont val="Arial"/>
        <color theme="1"/>
      </rPr>
      <t xml:space="preserve">&lt;/i&gt; тип b (Хиб), вакцина для профилактики полиомиелита инактивированная, вакцина для профилактики вирусного гепатита В, вакцина для профилактики вирусного гепатита А, вакцина менингококковая серогрупп A, C, W₁₃₅, Y конъюгированная, вакцина для профилактики ветряной оспы, вакцина для профилактики пневмококковых инфекций конъюгированная.&lt;/p&gt;
&lt;p&gt;Кроме того, в соответствии с общепринятой практикой допускается совместное введение комбинированной вакцины для профилактики кори, краснухи и паротита с пероральной полиомиелитной живой вакциной или с вакциной для профилактики дифтерии, столбняка, коклюша (цельноклеточной).&lt;/p&gt;
&lt;p&gt;При совместном введении вакцины Приорикс® с другими вакцинами инъекции различными вакцинами делают отдельными шприцами в разные участки тела.&lt;/p&gt;
&lt;p&gt;Если введение вакцины Приорикс® с другими живыми аттенуированными вакцинами невозможно выполнить одновременно, интервал между инъекциями различных вакцин должен составлять не менее 1&amp;nbsp;месяца.&lt;/p&gt;
</t>
    </r>
    <r>
      <rPr>
        <rFont val="Arial"/>
        <i/>
        <color theme="1"/>
      </rPr>
      <t>&lt;p&gt;&lt;i&gt;Не допускается смешивать вакцину Приорикс® с другими вакцинами в одном шприце.</t>
    </r>
    <r>
      <rPr>
        <rFont val="Arial"/>
        <color theme="1"/>
      </rPr>
      <t>&lt;/i&gt;&lt;/p&gt;
&lt;p&gt;Вакцина Приорикс® может быть использована для проведения повторной прививки лицам, ранее вакцинированным другой комбинированной вакциной против кори, паротита и краснухи или соответствующими монопрепаратами.&lt;/p&gt;</t>
    </r>
  </si>
  <si>
    <r>
      <rPr>
        <rFont val="Arial"/>
        <color theme="1"/>
      </rPr>
      <t xml:space="preserve">В рамках клинических исследований у детей в возрасте от 6 недель до 23 месяцев включительно была подтверждена возможность одновременного введения вакцины МенКвадфи и следующих вакцин: вакцины для профилактики кори, паротита и краснухи (КПК); вакцины для профилактики ветряной оспы (ВО); вакцины для профилактики дифтерии, столбняка, коклюша (с бесклеточным коклюшным компонентом) (АбКДС), включая комбинированные с вакциной для профилактики гепатита B (ГВ), инактивированной вакциной для профилактики полиомиелита (ИПВ) или вакциной для профилактики </t>
    </r>
    <r>
      <rPr>
        <rFont val="Arial"/>
        <i/>
        <color theme="1"/>
      </rPr>
      <t>Haemophilus influenzae</t>
    </r>
    <r>
      <rPr>
        <rFont val="Arial"/>
        <color theme="1"/>
      </rPr>
      <t xml:space="preserve"> тип </t>
    </r>
    <r>
      <rPr>
        <rFont val="Arial"/>
        <i/>
        <color theme="1"/>
      </rPr>
      <t>b</t>
    </r>
    <r>
      <rPr>
        <rFont val="Arial"/>
        <color theme="1"/>
      </rPr>
      <t xml:space="preserve"> (Хиб) (т.е., например, с такой вакциной как АбКДС-ИПВ-ГВ-Хиб или АбКДС-ИПВ/Хиб); совместно с пневмококковой 13-валентной полисахаридной конъюгированной вакциной (ПКВ-13) и вакциной для профилактики ротавирусной инфекции.
Не наблюдалось влияния на иммунный ответ при одновременном введении вакцины МенКвадфи с вакциной для профилактики менингококковой инфекции, вызываемой серогруппой В (MenB).
В рамках клинических исследований у детей и подростков в возрасте от 10 до 17 лет включительно была подтверждена возможность одновременного введения вакцины МенКвадфи и вакцины для профилактики дифтерии (с уменьшенным содержанием антигена), коклюша (с уменьшенным содержанием антигена, бесклеточной) и столбняка, комбинированной, адсорбированной (АбкдС) или АбкдС-ИПВ, а также четырехвалентной вакцины для профилактики вируса папилломы человека рекомбинантной, адсорбированной (ВПЧ) или девятивалентной вакцины для профилактики вируса папилломы человека (9ВПЧ). Однако одновременное введение этих вакцин может повлиять на иммунный ответ на некоторые из антигенов.
В рамках клинических исследований у детей и подростков в возрасте от 10 до 17 лет включительно, ранее не вакцинированных против менингококковой инфекции, в результате совместного введения вакцины АбкдС с вакциной МенКвадфи и вакциной для профилактики ВПЧ наблюдался иммунный ответ не меньшей эффективности к коклюшному анатоксину (КА) и более низкие титры антител к филаментозному гемагглютинину (ФГА), пертактину (ПРН) и агглютиногенам фимбрий (ФИМ) по сравнению с совместным применением только вакцины АбкдС и вакцины для профилактики ВПЧ (иммунный ответ оценивался после полного завершения вакцинации против ВПЧ). Клинические последствия формирования иммунного ответа на введение коклюшного анатоксина, которые также наблюдаются в результате совместного применения с прочими четырехвалентными менингококковыми конъюгированными вакцинами, неизвестны.
В рамках клинического исследования оценивали гуморальный ответ на ревакцинирующую дозу препарата МенКвадфи при введении отдельно или одновременно с вакцинами для профилактики менингококковой инфекции, вызываемой </t>
    </r>
    <r>
      <rPr>
        <rFont val="Arial"/>
        <i/>
        <color theme="1"/>
      </rPr>
      <t>Neisseria meningitidis</t>
    </r>
    <r>
      <rPr>
        <rFont val="Arial"/>
        <color theme="1"/>
      </rPr>
      <t xml:space="preserve"> серогруппы B (МenВ рекомбинантной (рДНК) субъединичной адсорбированной), у детей в возрасте 12-13 месяцев, ранее получивших дозу вакцины МенКвадфи в 3 месяца или дозу вакцины МенВ в 2 и 4 месяца. При совместном применении вакцины МенКвадфи и вакцины MenB не наблюдалось влияния на иммунный ответ в отношении серогрупп A, C, W и Y.
В рамках клинического исследования оценивали гуморальный ответ на ревакцинирующую дозу препарата МенКвадфи при введении отдельно или одновременно с вакциной для профилактики менингококковой инфекции, вызываемой </t>
    </r>
    <r>
      <rPr>
        <rFont val="Arial"/>
        <i/>
        <color theme="1"/>
      </rPr>
      <t>Neisseria meningitidis</t>
    </r>
    <r>
      <rPr>
        <rFont val="Arial"/>
        <color theme="1"/>
      </rPr>
      <t xml:space="preserve"> серогруппы B (МenВ рекомбинантной адсорбированной или рекомбинантной (рДНК) субъединичной адсорбированной), у подростков и взрослых в возрасте от 13 до 26 лет, получивших первичную иммунизацию вакциной МенКвадфи за 3-6 лет до этого. При совместном применении вакцины МенКвадфи и вакцин MenB не наблюдалось влияние на иммунный ответ в отношении серогрупп A, C, W и Y.
Одновременное введение вакцины МенКвадфи и других вакцин, не указанных выше, не изучалось. В соответствии с национальными рекомендациями допускается одновременное введение неограниченного количества вакцин (кроме БЦЖ) с использованием разных шприцев и в разные анатомические области тела. Одновременным считается введение вакцин в пределах одного календарного дня.
При необходимости раздельного (не в один календарный день) введения вакцины МенКвадфи и других вакцин (кроме БЦЖ), допустим любой интервал между введениями, так как вакцина МенКвадфи является инактивированной.</t>
    </r>
  </si>
  <si>
    <r>
      <rPr>
        <rFont val="Arial"/>
        <color theme="1"/>
      </rPr>
      <t>&lt;p&gt;В рамках клинических исследований у детей в возрасте от 6&amp;nbsp;недель до 23&amp;nbsp;месяцев включительно была подтверждена возможность одновременного введения вакцины МенКвадфи и следующих вакцин: вакцины для профилактики кори, паротита и краснухи (КПК); вакцины для профилактики ветряной оспы (ВО); вакцины для профилактики дифтерии, столбняка, коклюша (с бесклеточным коклюшным компонентом) (АбКДС), включая комбинированные с вакциной для профилактики гепатита B (ГВ), инактивированной вакциной для профилактики полиомиелита (ИПВ) или вакциной для профилактики &lt;i&gt;</t>
    </r>
    <r>
      <rPr>
        <rFont val="Arial"/>
        <i/>
        <color theme="1"/>
      </rPr>
      <t>Haemophilus influenzae&lt;/i&gt;</t>
    </r>
    <r>
      <rPr>
        <rFont val="Arial"/>
        <color theme="1"/>
      </rPr>
      <t xml:space="preserve"> тип &lt;i&gt;</t>
    </r>
    <r>
      <rPr>
        <rFont val="Arial"/>
        <i/>
        <color theme="1"/>
      </rPr>
      <t>b&lt;/i&gt;</t>
    </r>
    <r>
      <rPr>
        <rFont val="Arial"/>
        <color theme="1"/>
      </rPr>
      <t xml:space="preserve"> (Хиб) (т.е., например, с такой вакциной как АбКДС-ИПВ-ГВ-Хиб или АбКДС-ИПВ/Хиб); совместно с пневмококковой 13-валентной полисахаридной конъюгированной вакциной (ПКВ-13) и вакциной для профилактики ротавирусной инфекции.&lt;br&gt;
Не наблюдалось влияния на иммунный ответ при одновременном введении вакцины МенКвадфи с вакциной для профилактики менингококковой инфекции, вызываемой серогруппой В (MenB).&lt;br&gt;
В рамках клинических исследований у детей и подростков в возрасте от 10 до 17&amp;nbsp;лет включительно была подтверждена возможность одновременного введения вакцины МенКвадфи и вакцины для профилактики дифтерии (с уменьшенным содержанием антигена), коклюша (с уменьшенным содержанием антигена, бесклеточной) и столбняка, комбинированной, адсорбированной (АбкдС) или АбкдС-ИПВ, а также четырехвалентной вакцины для профилактики вируса папилломы человека рекомбинантной, адсорбированной (ВПЧ) или девятивалентной вакцины для профилактики вируса папилломы человека (9ВПЧ). Однако одновременное введение этих вакцин может повлиять на иммунный ответ на некоторые из антигенов.&lt;br&gt;
В рамках клинических исследований у детей и подростков в возрасте от 10 до 17&amp;nbsp;лет включительно, ранее не вакцинированных против менингококковой инфекции, в результате совместного введения вакцины АбкдС с вакциной МенКвадфи и вакциной для профилактики ВПЧ наблюдался иммунный ответ не меньшей эффективности к коклюшному анатоксину (КА) и более низкие титры антител к филаментозному гемагглютинину (ФГА), пертактину (ПРН) и агглютиногенам фимбрий (ФИМ) по сравнению с совместным применением только вакцины АбкдС и вакцины для профилактики ВПЧ (иммунный ответ оценивался после полного завершения вакцинации против ВПЧ). Клинические последствия формирования иммунного ответа на введение коклюшного анатоксина, которые также наблюдаются в результате совместного применения с прочими четырехвалентными менингококковыми конъюгированными вакцинами, неизвестны.&lt;br&gt;
В рамках клинического исследования оценивали гуморальный ответ на ревакцинирующую дозу препарата МенКвадфи при введении отдельно или одновременно с вакцинами для профилактики менингококковой инфекции, вызываемой &lt;i&gt;</t>
    </r>
    <r>
      <rPr>
        <rFont val="Arial"/>
        <i/>
        <color theme="1"/>
      </rPr>
      <t>Neisseria meningitidis&lt;/i&gt;</t>
    </r>
    <r>
      <rPr>
        <rFont val="Arial"/>
        <color theme="1"/>
      </rPr>
      <t xml:space="preserve"> серогруппы B (МenВ рекомбинантной (рДНК) субъединичной адсорбированной), у детей в возрасте 12-13&amp;nbsp;месяцев, ранее получивших дозу вакцины МенКвадфи в 3&amp;nbsp;месяца или дозу вакцины МенВ в 2 и 4&amp;nbsp;месяца. При совместном применении вакцины МенКвадфи и вакцины MenB не наблюдалось влияния на иммунный ответ в отношении серогрупп A, C, W и Y.&lt;br&gt;
В рамках клинического исследования оценивали гуморальный ответ на ревакцинирующую дозу препарата МенКвадфи при введении отдельно или одновременно с вакциной для профилактики менингококковой инфекции, вызываемой </t>
    </r>
    <r>
      <rPr>
        <rFont val="Arial"/>
        <i/>
        <color theme="1"/>
      </rPr>
      <t>&lt;i&gt;Neisseria meningitidis&lt;/i&gt;</t>
    </r>
    <r>
      <rPr>
        <rFont val="Arial"/>
        <color theme="1"/>
      </rPr>
      <t xml:space="preserve"> серогруппы B (МenВ рекомбинантной адсорбированной или рекомбинантной (рДНК) субъединичной адсорбированной), у подростков и взрослых в возрасте от 13 до 26&amp;nbsp;лет, получивших первичную иммунизацию вакциной МенКвадфи за 3-6&amp;nbsp;лет до этого. При совместном применении вакцины МенКвадфи и вакцин MenB не наблюдалось влияние на иммунный ответ в отношении серогрупп A, C, W и Y.&lt;br&gt;
Одновременное введение вакцины МенКвадфи и других вакцин, не указанных выше, не изучалось. В соответствии с национальными рекомендациями допускается одновременное введение неограниченного количества вакцин (кроме БЦЖ) с использованием разных шприцев и в разные анатомические области тела. Одновременным считается введение вакцин в пределах одного календарного дня.&lt;br&gt;
При необходимости раздельного (не в один календарный день) введения вакцины МенКвадфи и других вакцин (кроме БЦЖ), допустим любой интервал между введениями, так как вакцина МенКвадфи является инактивированной.&lt;/p&gt;</t>
    </r>
  </si>
  <si>
    <t>Вакцину Бексеро можно вводить одновременно с любыми из указанных вакцинных антигенов в составе моновалентных или комбинированных вакцин: вакцина для профилактики дифтерии, столбняка, коклюша (бесклеточная), вакцина для профилактики инфекций, вызываемых Haemophilus influenzae типа b, вакцина для профилактики полиомиелита (инактивированная), вакцина для профилактики гепатита В, семивалентная пневмококковая конъюгированная вакцина, вакцины для профилактики кори, эпидемического паротита, краснухи, ветряной оспы, вакцина для профилактики менингококковых инфекций серогрупп A, C, W, Y, конъюгированная.
В клинических исследованиях продемонстрировано, что введение вакцины Бексеро не влияло на иммунный ответ на одновременно введенные вакцины для плановой иммунопрофилактики.
В различных исследованиях были получены противоречивые результаты в отношении ответа на вакцину, содержащую инактивированный вирус полиомиелита типа 2 и конъюгат пневмококка серотипа 6B, но эти данные не свидетельствуют о клинически значимом влиянии.
Совместное введение с вакциной Бексеро не повлияло на профили безопасности одновременно вводимых вакцин, исключение составило увеличение частоты повышения температуры тела, болезненности в месте инъекции, изменения пищевых привычек и раздражительности.
Исследования одновременного применения вакцины Бексеро с другими вакцинами, не перечисленными выше, не проводились.
Введение вакцин, содержащих цельноклеточный компонент коклюша, одновременно с вакциной Бексеро не изучалось и поэтому не рекомендуется.
При одновременном назначении других вакцин и вакцины Бексеро различные иммунобиологические препараты следует вводить в различные участки тела.</t>
  </si>
  <si>
    <t>&lt;p&gt;Вакцину Бексеро можно вводить одновременно с любыми из указанных вакцинных антигенов в составе моновалентных или комбинированных вакцин: вакцина для профилактики дифтерии, столбняка, коклюша (бесклеточная), вакцина для профилактики инфекций, вызываемых &lt;i&gt;Haemophilus influenzae&lt;/i&gt; типа &lt;i&gt;b&lt;/i&gt;, вакцина для профилактики полиомиелита (инактивированная), вакцина для профилактики гепатита В, семивалентная пневмококковая конъюгированная вакцина, вакцины для профилактики кори, эпидемического паротита, краснухи, ветряной оспы, вакцина для профилактики менингококковых инфекций серогрупп A, C, W, Y, конъюгированная.&lt;br&gt;&lt;br&gt;
В клинических исследованиях продемонстрировано, что введение вакцины Бексеро не влияло на иммунный ответ на одновременно введенные вакцины для плановой иммунопрофилактики.&lt;br&gt;&lt;br&gt;
В различных исследованиях были получены противоречивые результаты в отношении ответа на вакцину, содержащую инактивированный вирус полиомиелита типа 2 и конъюгат пневмококка серотипа 6B, но эти данные не свидетельствуют о клинически значимом влиянии.&lt;br&gt;&lt;br&gt;
Совместное введение с вакциной Бексеро не повлияло на профили безопасности одновременно вводимых вакцин, исключение составило увеличение частоты повышения температуры тела, болезненности в месте инъекции, изменения пищевых привычек и раздражительности.&lt;br&gt;&lt;br&gt;
Исследования одновременного применения вакцины Бексеро с другими вакцинами, не перечисленными выше, не проводились.&lt;br&gt;&lt;br&gt;
Введение вакцин, содержащих цельноклеточный компонент коклюша, одновременно с вакциной Бексеро не изучалось и поэтому не рекомендуется.&lt;br&gt;&lt;br&gt;
При одновременном назначении других вакцин и вакцины Бексеро различные иммунобиологические препараты следует вводить в различные участки тела.&lt;/p&gt;</t>
  </si>
  <si>
    <t>Не изучалось. Ввиду отсутствия данных исследований совместимости, лекарственный препарат Гам-КОВИД-Вак-Д (Комбинированная векторная вакцина для профилактики коронавирусной инфекции, вызываемой вирусом SARS-CoV-2) нельзя смешивать с другими иммунобиологическими лекарственными препаратами в одном шприце.</t>
  </si>
  <si>
    <t>&lt;p&gt;Не изучалось. Ввиду отсутствия данных исследований совместимости, лекарственный препарат Гам-КОВИД-Вак-Д (Комбинированная векторная вакцина для профилактики коронавирусной инфекции, вызываемой вирусом SARS-CoV-2) нельзя смешивать с другими иммунобиологическими лекарственными препаратами в одном шприце.&lt;/p&gt;</t>
  </si>
  <si>
    <t>Допускается одновременное проведение вакцинации Энцепур® детский и введение других вакцин отдельными шприцами в разные участки тела.</t>
  </si>
  <si>
    <t>&lt;p&gt;Допускается одновременное проведение вакцинации Энцепур®&amp;nbsp;детский и введение других вакцин отдельными шприцами в разные участки тела.&lt;/p&gt;</t>
  </si>
  <si>
    <t>Допускается одновременное проведение вакцинации Энцепур взрослый и введение других вакцин отдельными шприцами в разные участки тела.</t>
  </si>
  <si>
    <t>&lt;p&gt;Допускается одновременное проведение вакцинации Энцепур&amp;nbsp;взрослый и введение других вакцин отдельными шприцами в разные участки тела.&lt;/p&gt;</t>
  </si>
  <si>
    <t>Допускается введение вакцины ПолиовакСин одновременно с другими вакцинами Национального календаря профилактических прививок разными шприцами в разные участки тела, за исключением вакцин БЦЖ и БЦЖ–М.
He допускается смешивание вакцины ПолиовакСин с другими вакцинами в одном шприце или ампуле/флаконе.</t>
  </si>
  <si>
    <t>&lt;p&gt;Допускается введение вакцины ПолиовакСин одновременно с другими вакцинами Национального календаря профилактических прививок разными шприцами в разные участки тела, за исключением вакцин БЦЖ и БЦЖ–М.&lt;/p&gt;
&lt;p&gt;He допускается смешивание вакцины ПолиовакСин с другими вакцинами в одном шприце или ампуле/флаконе.&lt;/p&gt;</t>
  </si>
  <si>
    <t>Вакцина Акт-Хиб может применяться одновременно с другими вакцинами Национального календаря профилактических прививок и Календаря профилактических прививок по эпидемическим показаниям при условии использования разных шприцев и введения в разные части тела.
Нет достоверных данных о возможном взаимном влиянии при использовании с другими вакцинами.
Восстановленную вакцину нельзя смешивать с другими вакцинами.</t>
  </si>
  <si>
    <t>&lt;p&gt;Вакцина Акт-Хиб может применяться одновременно с другими вакцинами Национального календаря профилактических прививок и Календаря профилактических прививок по эпидемическим показаниям при условии использования разных шприцев и введения в разные части тела.&lt;/p&gt;
&lt;p&gt;Нет достоверных данных о возможном взаимном влиянии при использовании с другими вакцинами.&lt;/p&gt;
&lt;p&gt;Восстановленную вакцину нельзя смешивать с другими вакцинами.&lt;/p&gt;</t>
  </si>
  <si>
    <t>Вакцина Хиберикс® может вводиться одновременно (в один день) с другими живыми или инактивированными вакцинами Национального календаря профилактических прививок (за исключением антирабической вакцины), при этом вакцины должны быть введены разными шприцами в разные участки тела.
Хиберикс® можно вводить в одном шприце с вакциной Инфанрикс® (Вакцина для профилактики дифтерии, столбняка, коклюша (бесклеточная) трехкомпонентная адсорбированная жидкая).</t>
  </si>
  <si>
    <t>&lt;p&gt;Вакцина Хиберикс® может вводиться одновременно (в один день) с другими живыми или инактивированными вакцинами Национального календаря профилактических прививок (за исключением антирабической вакцины), при этом вакцины должны быть введены разными шприцами в разные участки тела.&lt;/p&gt;
&lt;p&gt;Хиберикс® можно вводить в одном шприце с вакциной Инфанрикс® (Вакцина для профилактики дифтерии, столбняка, коклюша (бесклеточная) трехкомпонентная адсорбированная жидкая).&lt;/p&gt;</t>
  </si>
  <si>
    <t>Допускается одновременное введение вакцинации ФСМЕ-ИММУН® Джуниор (Вакцина клещевого энцефалита культуральная инактивированная очищенная сорбированная) и введение других инактивированных или живых вакцин (кроме антирабической и БЦЖ) отдельными шприцами в разные участки тела в соответствии с календарем прививок.</t>
  </si>
  <si>
    <t>&lt;p&gt;Допускается одновременное введение вакцинации ФСМЕ-ИММУН®&amp;nbsp;Джуниор (Вакцина клещевого энцефалита культуральная инактивированная очищенная сорбированная) и введение других инактивированных или живых вакцин (кроме антирабической и БЦЖ) отдельными шприцами в разные участки тела в соответствии с календарем прививок.&lt;/p&gt;</t>
  </si>
  <si>
    <t>Специальных исследований взаимодействия с другими вакцинами не проводилось. Применение других вакцин одновременно с ФСМЕ-ИММУН® должно осуществляться только в соответствии с официальными рекомендациями. При необходимости одновременного введения других вакцин их следует вводить в другие места и предпочтительно в разные конечности.</t>
  </si>
  <si>
    <t>&lt;p&gt;Специальных исследований взаимодействия с другими вакцинами не проводилось. Применение других вакцин одновременно с ФСМЕ-ИММУН® должно осуществляться только в соответствии с официальными рекомендациями. При необходимости одновременного введения других вакцин их следует вводить в другие места и предпочтительно в разные конечности.&lt;/p&gt;</t>
  </si>
  <si>
    <t>Не изучалось. Ввиду отсутствия данных исследований совместимости, вакцину Сай-Би-Вак нельзя смешивать с другими вакцинами в одном шприце.</t>
  </si>
  <si>
    <t>&lt;p&gt;Не изучалось. Ввиду отсутствия данных исследований совместимости, вакцину Сай-Би-Вак нельзя смешивать с другими вакцинами в одном шприце.&lt;/p&gt;</t>
  </si>
  <si>
    <t>Допускается одновременное введение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аАКДС-Геп В+Hib и других вакцин, допустим любой интервал между введениями, т.к. вакцина аАКДС-Геп В+Hib является инактивированной.</t>
  </si>
  <si>
    <t>&lt;p&gt;Допускается одновременное введение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аАКДС-Геп В+Hib и других вакцин, допустим любой интервал между введениями, т.к. вакцина аАКДС-Геп В+Hib является инактивированной.&lt;/p&gt;</t>
  </si>
  <si>
    <t xml:space="preserve">&lt;p&gt;&lt;i&gt;Инструкция не содержит указаний по взаимодействию с другими вакцинами.&lt;/i&gt;&lt;/p&gt; </t>
  </si>
  <si>
    <r>
      <rPr>
        <rFont val="Arial"/>
        <color theme="1"/>
      </rPr>
      <t>Вакцину Шингрикс можно вводить одновременно с инактивированной вакциной для профилактики сезонного гриппа, не содержащей адъювант, 23-валентной пневмококковой полисахаридной вакциной (PPV23) или с вакциной для профилактики дифтерии, столбняка и коклюша (бесклеточная) с уменьшенным содержанием антигенов (А</t>
    </r>
    <r>
      <rPr>
        <rFont val="Arial"/>
        <color theme="1"/>
        <sz val="7.0"/>
      </rPr>
      <t>б</t>
    </r>
    <r>
      <rPr>
        <rFont val="Arial"/>
        <color theme="1"/>
      </rPr>
      <t>КДС).
При одновременном введении с другой вакциной в виде инъекции вакцины должны вводиться в разные участки.
Не рекомендуется одновременное введение с другими вакцинами, кроме перечисленных выше, так как исследования взаимодействия не проводились.</t>
    </r>
  </si>
  <si>
    <t>&lt;p&gt;Вакцину Шингрикс можно вводить одновременно с инактивированной вакциной для профилактики сезонного гриппа, не содержащей адъювант, 23-валентной пневмококковой полисахаридной вакциной (PPV23) или с вакциной для профилактики дифтерии, столбняка и коклюша (бесклеточная) с уменьшенным содержанием антигенов (А&lt;sub&gt;б&lt;/sub&gt;КДС).&lt;/p&gt;
&lt;p&gt;При одновременном введении с другой вакциной в виде инъекции вакцины должны вводиться в разные участки.&lt;/p&gt;
&lt;p&gt;Не рекомендуется одновременное введение с другими вакцинами, кроме перечисленных выше, так как исследования взаимодействия не проводились.&lt;/p&gt;</t>
  </si>
  <si>
    <t>Вакцина ТРИВЭЙД может быть назначена одновременно (в один день) с другими вакцинами национального календаря профилактических прививок (за исключением вакцин против туберкулеза) и календаря профилактических прививок по эпидемическим показаниям. В этом случае вакцины вводят разными шприцами в разные участки тела. Интервал между прививками против разных инфекций при раздельном их применении (не в один день) при введении живых вакцин должен составлять не менее 1 мес., между живой и неживой вакцинами допустим любой интервал.</t>
  </si>
  <si>
    <t>&lt;p&gt;Вакцина ТРИВЭЙД может быть назначена одновременно (в один день) с другими вакцинами национального календаря профилактических прививок (за исключением вакцин против туберкулеза) и календаря профилактических прививок по эпидемическим показаниям. В этом случае вакцины вводят разными шприцами в разные участки тела. Интервал между прививками против разных инфекций при раздельном их применении (не в один день) при введении живых вакцин должен составлять не менее 1&amp;nbsp;мес., между живой и неживой вакцинами допустим любой интервал.&lt;/p&gt;</t>
  </si>
  <si>
    <t>Допускается одновременное введение вакцины Бэби-Хиб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между введениями, т.к. вакцина Бэби-Хиб является неживой.</t>
  </si>
  <si>
    <t>&lt;p&gt;Допускается одновременное введение вакцины Бэби-Хиб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между введениями, т.к. вакцина Бэби-Хиб является неживой.&lt;/p&gt;</t>
  </si>
  <si>
    <t>АД-М анатоксин можно вводить одновременно с полиомиелитной вакциной и другими препаратами национального календаря прививок.</t>
  </si>
  <si>
    <t>&lt;p&gt;АД-М анатоксин можно вводить одновременно с полиомиелитной вакциной и другими препаратами национального календаря прививок.&lt;p&gt;</t>
  </si>
  <si>
    <t>Взаимодействие с другими лекарственными препаратами и другие виды взаимодействия не изучались.</t>
  </si>
  <si>
    <t>&lt;p&gt;Взаимодействие с другими лекарственными препаратами и другие виды взаимодействия не изучались.&lt;/p&gt;</t>
  </si>
  <si>
    <t>Прививки против других заболеваний можно проводить не ранее чем через 30 дней после вакцинации/ревакцинации против оспы.</t>
  </si>
  <si>
    <t>&lt;p&gt;Прививки против других заболеваний можно проводить не ранее чем через 30&amp;nbsp;дней после вакцинации/ревакцинации против оспы.&lt;/p&gt;</t>
  </si>
  <si>
    <t>Прививки вакциной АКДС–Геп В можно проводить одновременно с другими вакцинами национального календаря профилактических прививок (за исключением вакцины БЦЖ).
При раздельном введении интервал между введениями вакцин должен составлять 1 месяц.</t>
  </si>
  <si>
    <t>&lt;p&gt;Прививки вакциной АКДС–Геп В можно проводить одновременно с другими вакцинами национального календаря профилактических прививок (за исключением вакцины БЦЖ).&lt;/p&gt;
&lt;p&gt;При раздельном введении интервал между введениями вакцин должен составлять 1&amp;nbsp;месяц.&lt;/p&gt;</t>
  </si>
  <si>
    <t>Вакцинацию проводят не ранее чем через 1 месяц после предыдущей иммунизации другими вакцинами.</t>
  </si>
  <si>
    <t>&lt;p&gt;Вакцинацию проводят не ранее чем через 1&amp;nbsp;месяц после предыдущей иммунизации другими вакцинами.&lt;/p&gt;</t>
  </si>
  <si>
    <t>Специальные исследования лекарственных взаимодействий с препаратом ОспаВир не проводились.</t>
  </si>
  <si>
    <t>&lt;p&gt;Специальные исследования лекарственных взаимодействий с препаратом ОспаВир не проводились.&lt;/p&gt;</t>
  </si>
  <si>
    <t>Прививки против других заболеваний можно проводить не ранее чем через 30 дней после вакцинации против оспы.
Вакцину нельзя смешивать в одном шприце с другими вакцинами.</t>
  </si>
  <si>
    <t>&lt;p&gt;Прививки против других заболеваний можно проводить не ранее чем через 30&amp;nbsp;дней после вакцинации против оспы.&lt;br&gt;
Вакцину нельзя смешивать в одном шприце с другими вакцинами.&lt;/p&gt;</t>
  </si>
  <si>
    <t>В соответствии с национальными рекомендациями допускается одновременное введение вакцины ФЛЕКСВАК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ФЛЕКСВАК является неживой.</t>
  </si>
  <si>
    <t>&lt;p&gt;В соответствии с национальными рекомендациями допускается одновременное введение вакцины ФЛЕКСВАК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ФЛЕКСВАК является неживой.&lt;/p&gt;</t>
  </si>
  <si>
    <t>Допускается проводить вакцинацию против желтой лихорадки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Однако, чтобы обеспечить максимальный защитный эффект для детей до 15 лет, рекомендуется, по возможности, соблюдать интервал не менее 2 месяцев между предшествовавшей вакцинацией против желтой лихорадки и вакцинациями против других заболеваний.
В случае необходимости применения вакцины одновременно с другими прививками, препараты следует вводить в разные анатомические области тела.
Не рекомендовано использование вакцины желтой лихорадки одновременно с живой вакциной для профилактики холеры. При проведении вакцинаций в разные дни, интервал между вакцинациями должен быть не менее одного месяца.
При неодновременном (не в один день) введении живых вакцин рекомендуется интервал 1 месяц между их введением; между введением живой и неживой вакцин допустим любой интервал.</t>
  </si>
  <si>
    <t>&lt;p&gt;Допускается проводить вакцинацию против желтой лихорадки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туберкулеза.&lt;br&gt;
Однако, чтобы обеспечить максимальный защитный эффект для детей до 15&amp;nbsp;лет, рекомендуется, по возможности, соблюдать интервал не менее 2&amp;nbsp;месяцев между предшествовавшей вакцинацией против желтой лихорадки и вакцинациями против других заболеваний.&lt;br&gt;
В случае необходимости применения вакцины одновременно с другими прививками, препараты следует вводить в разные анатомические области тела.&lt;br&gt;
Не рекомендовано использование вакцины желтой лихорадки одновременно с живой вакциной для профилактики холеры. При проведении вакцинаций в разные дни, интервал между вакцинациями должен быть не менее одного месяца.&lt;br&gt;
При неодновременном (не в один день) введении живых вакцин рекомендуется интервал 1&amp;nbsp;месяц между их введением; между введением живой и неживой вакцин допустим любой интервал.&lt;/p&gt;</t>
  </si>
  <si>
    <t>Интервал после последней прививки другими вакцинами должен быть не менее 1 месяца.</t>
  </si>
  <si>
    <t>&lt;p&gt;Интервал после последней прививки другими вакцинами должен быть не менее 1&amp;nbsp;месяца.&lt;/p&gt;</t>
  </si>
  <si>
    <t>В соответствии с национальными рекомендациями допускается одновременное введение Вакцины гепатита В рекомбинантной (рДНК)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гепатита В рекомбинантная (рДНК) является неживой.</t>
  </si>
  <si>
    <t>&lt;p&gt;В соответствии с национальными рекомендациями допускается одновременное введение Вакцины гепатита В рекомбинантной (рДНК)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гепатита В рекомбинантная (рДНК) является неживой.&lt;/p&gt;</t>
  </si>
  <si>
    <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 кроме БЦЖ.</t>
  </si>
  <si>
    <t>&lt;p&gt;Прививки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 кроме БЦЖ.&lt;/p&gt;</t>
  </si>
  <si>
    <t>Иммунизацию вакциной ТЭОВак проводят не ранее чем через месяц после прививки против других инфекций [...].</t>
  </si>
  <si>
    <t>&lt;p&gt;Иммунизацию вакциной ТЭОВак проводят не ранее чем через месяц после прививки против других инфекций [...].&lt;/p&gt;</t>
  </si>
  <si>
    <t>Вакцина гриппозная может применяться одновременно с другими вакцинами Национального календаря профилактических прививок инактивированными вакцинами календаря профилактических прививок по эпидемическим показаниям, вводимых взрослым. При этом должны учитываться противопоказания к каждой из применяемых вакцин, препараты должны вводиться в разные участки тела разными шприцами.</t>
  </si>
  <si>
    <t>&lt;p&gt;Вакцина гриппозная может применяться одновременно с другими вакцинами Национального календаря профилактических прививок инактивированными вакцинами календаря профилактических прививок по эпидемическим показаниям, вводимых взрослым. При этом должны учитываться противопоказания к каждой из применяемых вакцин, препараты должны вводиться в разные участки тела разными шприцами.&lt;/p&gt;</t>
  </si>
  <si>
    <t>Вакцина МоноГриппол плюс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t>
  </si>
  <si>
    <t>&lt;p&gt;Вакцина МоноГриппол плюс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шприцами.&lt;/p&gt;</t>
  </si>
  <si>
    <t>Вакцина МоноГриппол Heo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t>
  </si>
  <si>
    <t>&lt;p&gt;Вакцина МоноГриппол Heo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шприцами.&lt;/p&gt;</t>
  </si>
  <si>
    <t>Вакцина МоноГриппол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t>
  </si>
  <si>
    <t>&lt;p&gt;Вакцина МоноГриппол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шприцами.&lt;/p&gt;</t>
  </si>
  <si>
    <t>Допускается одновременное (в пределах одного календарного дня) введение вакцины с любыми другими вакцинами, кроме интраназальных. При неодновременном введении с другими живыми вакцинами рекомендуется интервал 1 месяц, между введением живой и неживой вакцин допустим любой интервал.</t>
  </si>
  <si>
    <t>&lt;p&gt;Допускается одновременное (в пределах одного календарного дня) введение вакцины с любыми другими вакцинами, кроме интраназальных. При неодновременном введении с другими живыми вакцинами рекомендуется интервал 1&amp;nbsp;месяц, между введением живой и неживой вакцин допустим любой интервал.&lt;/p&gt;</t>
  </si>
  <si>
    <t>Вакцина может применяться одновременно с инактивированными и живыми вакцинами национального календаря профилактических прививок и инактивированными вакцинами календаря профилактических прививок по эпидемическим показаниям (за исключением антирабических). Препараты следует вводить в разные участки тела разными шприцами.</t>
  </si>
  <si>
    <t>&lt;p&gt;Вакцина может применяться одновременно с инактивированными и живыми вакцинами национального календаря профилактических прививок и инактивированными вакцинами календаря профилактических прививок по эпидемическим показаниям (за исключением антирабических). Препараты следует вводить в разные участки тела разными шприцами.&lt;/p&gt;</t>
  </si>
  <si>
    <t>Вакцина Гриппол Нео может применяться одновременно с другими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t>
  </si>
  <si>
    <t>&lt;p&gt;Вакцина Гриппол Нео может применяться одновременно с другими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шприцами.&lt;/p&gt;</t>
  </si>
  <si>
    <t>Допускается одновременное введение вакцины в пределах одного календарного дня с любыми другими вакцинами, кроме интраназальных.</t>
  </si>
  <si>
    <t xml:space="preserve">&lt;p&gt;Допускается одновременное введение вакцины в пределах одного календарного дня с любыми другими вакцинами, кроме интраназальных.&lt;/p&gt; </t>
  </si>
  <si>
    <t>Вакцина против краснухи может вводиться одновременно (в один день) с другими живыми и инактивированными вакцинами Национального календаря профилактических прививок России. В других случаях вакцинация проводится через 1 месяц после предыдущей прививки. При одновременной иммунизации препараты вводят в разные места, смешивание вакцин в одном шприце запрещается.</t>
  </si>
  <si>
    <t>&lt;p&gt;Вакцина против краснухи может вводиться одновременно (в один день) с другими живыми и инактивированными вакцинами Национального календаря профилактических прививок России. В других случаях вакцинация проводится через 1&amp;nbsp;месяц после предыдущей прививки. При одновременной иммунизации препараты вводят в разные места, смешивание вакцин в одном шприце запрещается.&lt;/p&gt;</t>
  </si>
  <si>
    <t>Препарат можно вводить одновременно (разными шприцами в разные участки тела) с вакциной клещевого энцефалита и вакциной туляремийной. Лицам, полноценно привитым от столбняка, рекомендуется вводить анатоксин ботулинический.
При необходимости раздельного (не в один календарный день) введения вакцины Тетраанатоксин очищенный адсорбированный и других вакцин, допустим любой интервал между введениями.</t>
  </si>
  <si>
    <t>&lt;p&gt;Препарат можно вводить одновременно (разными шприцами в разные участки тела) с вакциной клещевого энцефалита и вакциной туляремийной. Лицам, полноценно привитым от столбняка, рекомендуется вводить анатоксин ботулинический.&lt;br&gt;
При необходимости раздельного (не в один календарный день) введения вакцины Тетраанатоксин очищенный адсорбированный и других вакцин, допустим любой интервал между введениями.&lt;/p&gt;</t>
  </si>
  <si>
    <t>Данные, полученные при одновременном введении вакцины Гексаксим и пневмококковой полисахаридной конъюгированной вакцины, продемонстрировали отсутствие клинически значимого влияния на иммунный ответ на каждый отдельный антиген.
Данные, полученные при одновременном введении ревакцинирующей дозы вакцины Гексаксим с вакцинами для профилактики кори, эпидемического паротита, краснухи и ветряной оспы, продемонстрировали отсутствие клинически значимого влияния на иммунный ответ на каждый отдельный антиген.
Данные, полученные при одновременном введении с ротавирусными вакцинами, продемонстрировали отсутствие клинически значимого влияния на иммунный ответ на каждый отдельный антиген вакцины Гексаксим при первичной вакцинации.
Данные, полученные при совместном применении вакцины Гексаксим с менингококковой конъюгированной вакциной против серогруппы С или менингококковой конъюгированной вакциной против серогрупп A, C, W и Y, продемонстрировали отсутствие клинически значимого влияния на иммунный ответ на каждый антиген.
При одновременном введении с другими вакцинами препараты следует вводить в разные участки тела.
Вакцину Гексаксим нельзя смешивать в одном шприце с любыми другими вакцинами, вводимыми парентерально.</t>
  </si>
  <si>
    <t>&lt;p&gt;Данные, полученные при одновременном введении вакцины Гексаксим и пневмококковой полисахаридной конъюгированной вакцины, продемонстрировали отсутствие клинически значимого влияния на иммунный ответ на каждый отдельный антиген.&lt;br&gt;
Данные, полученные при одновременном введении ревакцинирующей дозы вакцины Гексаксим с вакцинами для профилактики кори, эпидемического паротита, краснухи и ветряной оспы, продемонстрировали отсутствие клинически значимого влияния на иммунный ответ на каждый отдельный антиген.&lt;br&gt;
Данные, полученные при одновременном введении с ротавирусными вакцинами, продемонстрировали отсутствие клинически значимого влияния на иммунный ответ на каждый отдельный антиген вакцины Гексаксим при первичной вакцинации.&lt;br&gt;
Данные, полученные при совместном применении вакцины Гексаксим с менингококковой конъюгированной вакциной против серогруппы С или менингококковой конъюгированной вакциной против серогрупп A, C, W и Y, продемонстрировали отсутствие клинически значимого влияния на иммунный ответ на каждый антиген.&lt;br&gt;&lt;br&gt;
При одновременном введении с другими вакцинами препараты следует вводить в разные участки тела.&lt;br&gt;
Вакцину Гексаксим нельзя смешивать в одном шприце с любыми другими вакцинами, вводимыми парентерально.&lt;/p&gt;</t>
  </si>
  <si>
    <t>Допускается введение неживых вакцин с любым интервалом между собой, между живой и неживой вакцинами, а также допустим любой интервал в соответствии с методическими рекомендациями по проведению профилактических прививок (в соответствии с приказом Министерства здравоохранения РФ от 6 декабря 2021 г. № 1122н «Об утверждении национального календаря профилактических прививок, календаря профилактических прививок по эпидемическим показаниям и порядка проведения профилактических прививок»).</t>
  </si>
  <si>
    <t>&lt;p&gt;Допускается введение неживых вакцин с любым интервалом между собой, между живой и неживой вакцинами, а также допустим любой интервал в соответствии с методическими рекомендациями по проведению профилактических прививок (в соответствии с приказом Министерства здравоохранения РФ от 6&amp;nbsp;декабря 2021&amp;nbsp;г. №&amp;nbsp;1122н «Об утверждении национального календаря профилактических прививок, календаря профилактических прививок по эпидемическим показаниям и порядка проведения профилактических прививок»).&lt;/p&gt;</t>
  </si>
  <si>
    <t>Одновременное применение вакцины Цегардекс с другими вакцинами не изучалось.
Допускается одновременное введение вакцины Цегардекс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Цегардекс и других вакцин, допустим любой интервал между введениями, т.к. вакцина Цегардекс является инактивированной.</t>
  </si>
  <si>
    <t>&lt;p&gt;Одновременное применение вакцины Цегардекс с другими вакцинами не изучалось.&lt;br&gt;
Допускается одновременное введение вакцины Цегардекс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2,5—3&amp;nbsp;см,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Цегардекс и других вакцин, допустим любой интервал между введениями, т.к. вакцина Цегардекс является инактивированной.&lt;/p&gt;</t>
  </si>
  <si>
    <t>Вакцину МЕНВЭЙД можно вводить одновременно (в один день) с другими вакцинами (за исключением вакцин для профилактики туберкулеза) в разные участки тела с использованием разных шприцев. При раздельном введении вакцины МЕНВЭЙД с другими инактивированными или живыми вакцинами, кроме вакцин для профилактики туберкулеза, допускается их введение с любым интервалом между собой. Интервал до и после введения вакцины против туберкулеза составляет 1 месяц.
Подтверждена безопасность одновременного применения вакцины МЕНВЭЙД со следующими вакцинами: вакцинами против кори и краснухи, вакциной против желтой лихорадки в соответствии с инструкциями по их применению и Национальным календарем профилактических прививок и прививок по эпидемическим показаниям Российской Федерации.</t>
  </si>
  <si>
    <t>&lt;p&gt;Вакцину МЕНВЭЙД можно вводить одновременно (в один день) с другими вакцинами (за исключением вакцин для профилактики туберкулеза) в разные участки тела с использованием разных шприцев. При раздельном введении вакцины МЕНВЭЙД с другими инактивированными или живыми вакцинами, кроме вакцин для профилактики туберкулеза, допускается их введение с любым интервалом между собой. Интервал до и после введения вакцины против туберкулеза составляет 1&amp;nbsp;месяц.&lt;br&gt;
Подтверждена безопасность одновременного применения вакцины МЕНВЭЙД со следующими вакцинами: вакцинами против кори и краснухи, вакциной против желтой лихорадки в соответствии с инструкциями по их применению и Национальным календарем профилактических прививок и прививок по эпидемическим показаниям Российской Федерации.&lt;/p&gt;</t>
  </si>
  <si>
    <r>
      <rPr>
        <rFont val="Arial"/>
        <color theme="1"/>
      </rPr>
      <t xml:space="preserve">Разные инъекционные вакцины всегда следует вводить в разные части тела.
Запрещено смешивать препарат Превенар 20 с другими вакцинами в одном шприце.
В соответствии с национальными рекомендациями допускается одновременное введение вакцины Превенар 20 с другими вакцинами в рамках Национального календаря профилактических прививок (если применимо) и прививок по эпидемическим показаниям (кроме БЦЖ)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Превенар 20 и других вакцин, допустим любой интервал между введениями, т.к. вакцина Превенар 20 является инактивированной.
</t>
    </r>
    <r>
      <rPr>
        <rFont val="Arial"/>
        <i/>
        <color theme="1"/>
      </rPr>
      <t>Дети</t>
    </r>
    <r>
      <rPr>
        <rFont val="Arial"/>
        <color theme="1"/>
      </rPr>
      <t xml:space="preserve">
В результате клинических исследований было установлено, что у младенцев и детей в возрасте от 6 недель до 5 лет препарат Превенар 20 можно вводить одновременно с любыми из следующих вакцинных антигенов, как в виде моновалентных, так и в составе комбинированных вакцин: дифтерия, столбняк, бесклеточный коклюшный компонент, гепатит B, </t>
    </r>
    <r>
      <rPr>
        <rFont val="Arial"/>
        <i/>
        <color theme="1"/>
      </rPr>
      <t>Haemophilus influenzae</t>
    </r>
    <r>
      <rPr>
        <rFont val="Arial"/>
        <color theme="1"/>
      </rPr>
      <t xml:space="preserve"> типа </t>
    </r>
    <r>
      <rPr>
        <rFont val="Arial"/>
        <i/>
        <color theme="1"/>
      </rPr>
      <t>b</t>
    </r>
    <r>
      <rPr>
        <rFont val="Arial"/>
        <color theme="1"/>
      </rPr>
      <t xml:space="preserve">, инактивированные вакцины против полиомиелита, вакцины против кори, эпидемического паротита, краснухи и ветряной оспы.
Вакцина продемонстрировала благоприятный профиль безопасности при введении с вакцинами против гриппа и ротавируса.
</t>
    </r>
    <r>
      <rPr>
        <rFont val="Arial"/>
        <i/>
        <color theme="1"/>
      </rPr>
      <t>Взрослые в возрасте 18 лет и старше</t>
    </r>
    <r>
      <rPr>
        <rFont val="Arial"/>
        <color theme="1"/>
      </rPr>
      <t xml:space="preserve">
В результате клинических исследований было установлено, что препарат Превенар 20 можно вводить одновременно с вакциной против сезонного гриппа (4-валентной вакциной, на основе поверхностных антигенов, инактивированной, адъювантной). У пациентов с сопутствующими заболеваниями, связанными с высоким риском развития угрожающей жизни пневмококковой инфекции, может быть рассмотрен вопрос об отдельном введении 4-валентной противогриппозной вакцины и препарата Превенар 20 (например, с интервалом около 4 недель). В двойном слепом рандомизированном исследовании (B7471004) у взрослых в возрасте 65 лет и старше иммунный ответ формально был не ниже, однако при одновременном введении с вакциной против сезонного гриппа (4-валентной вакциной, на основе поверхностных антигенов, инактивированной, адъювантной) наблюдались численно более низкие значения титров для всех серотипов пневмококка, входящих в состав препарата Превенар 20, по сравнению с введением только Превенар 20. Клиническая значимость этих данных неизвестна.
Данные об одновременном применении препарата Превенар 20 с другими вакцинами отсутствуют.</t>
    </r>
  </si>
  <si>
    <r>
      <rPr>
        <rFont val="Arial"/>
        <color theme="1"/>
      </rPr>
      <t xml:space="preserve">&lt;p&gt;Разные инъекционные вакцины всегда следует вводить в разные части тела.&lt;br&gt;
Запрещено смешивать препарат Превенар&amp;nbsp;20 с другими вакцинами в одном шприце.&lt;br&gt;
В соответствии с национальными рекомендациями допускается одновременное введение вакцины Превенар&amp;nbsp;20 с другими вакцинами в рамках Национального календаря профилактических прививок (если применимо) и прививок по эпидемическим показаниям (кроме БЦЖ)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2,5—3&amp;nbsp;см,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Превенар&amp;nbsp;20 и других вакцин, допустим любой интервал между введениями, т.к. вакцина Превенар&amp;nbsp;20 является инактивированной.&lt;br&gt;&lt;br&gt;
</t>
    </r>
    <r>
      <rPr>
        <rFont val="Arial"/>
        <i/>
        <color theme="1"/>
      </rPr>
      <t>&lt;i&gt;Дети&lt;/i&gt;&lt;br&gt;</t>
    </r>
    <r>
      <rPr>
        <rFont val="Arial"/>
        <color theme="1"/>
      </rPr>
      <t xml:space="preserve">
В результате клинических исследований было установлено, что у младенцев и детей в возрасте от 6&amp;nbsp;недель до 5&amp;nbsp;лет препарат Превенар&amp;nbsp;20 можно вводить одновременно с любыми из следующих вакцинных антигенов, как в виде моновалентных, так и в составе комбинированных вакцин: дифтерия, столбняк, бесклеточный коклюшный компонент, гепатит&amp;nbsp;B, </t>
    </r>
    <r>
      <rPr>
        <rFont val="Arial"/>
        <i/>
        <color theme="1"/>
      </rPr>
      <t>&lt;i&gt;Haemophilus influenzae&lt;/i&gt;</t>
    </r>
    <r>
      <rPr>
        <rFont val="Arial"/>
        <color theme="1"/>
      </rPr>
      <t xml:space="preserve"> типа &lt;i&gt;</t>
    </r>
    <r>
      <rPr>
        <rFont val="Arial"/>
        <i/>
        <color theme="1"/>
      </rPr>
      <t>b&lt;/i&gt;</t>
    </r>
    <r>
      <rPr>
        <rFont val="Arial"/>
        <color theme="1"/>
      </rPr>
      <t xml:space="preserve">, инактивированные вакцины против полиомиелита, вакцины против кори, эпидемического паротита, краснухи и ветряной оспы.&lt;br&gt;
Вакцина продемонстрировала благоприятный профиль безопасности при введении с вакцинами против гриппа и ротавируса.&lt;br&gt;&lt;br&gt;
</t>
    </r>
    <r>
      <rPr>
        <rFont val="Arial"/>
        <i/>
        <color theme="1"/>
      </rPr>
      <t>&lt;i&gt;Взрослые в возрасте 18&amp;nbsp;лет и старше&lt;/i&gt;&lt;br&gt;</t>
    </r>
    <r>
      <rPr>
        <rFont val="Arial"/>
        <color theme="1"/>
      </rPr>
      <t xml:space="preserve">
В результате клинических исследований было установлено, что препарат Превенар&amp;nbsp;20 можно вводить одновременно с вакциной против сезонного гриппа (4-валентной вакциной, на основе поверхностных антигенов, инактивированной, адъювантной). У пациентов с сопутствующими заболеваниями, связанными с высоким риском развития угрожающей жизни пневмококковой инфекции, может быть рассмотрен вопрос об отдельном введении 4-валентной противогриппозной вакцины и препарата Превенар&amp;nbsp;20 (например, с интервалом около 4 недель). В двойном слепом рандомизированном исследовании (B7471004) у взрослых в возрасте 65&amp;nbsp;лет и старше иммунный ответ формально был не ниже, однако при одновременном введении с вакциной против сезонного гриппа (4-валентной вакциной, на основе поверхностных антигенов, инактивированной, адъювантной) наблюдались численно более низкие значения титров для всех серотипов пневмококка, входящих в состав препарата Превенар 20, по сравнению с введением только Превенар&amp;nbsp;20. Клиническая значимость этих данных неизвестна.&lt;br&gt;
Данные об одновременном применении препарата Превенар&amp;nbsp;20 с другими вакцинами отсутствуют.&lt;/p&gt;</t>
    </r>
  </si>
  <si>
    <t>В соответствии с национальными рекомендациями, иные живые или неживые вакцины (кроме антирабических вакцин) могут быть введены одновременно (в один день) с вакциной аАКДС-М. При одновременном введении с другими вакцинами, каждую вакцину следует вводить разными шприцами, в разные участки тела, предпочтительно, в разные конечности.
В случае раздельного (не в один календарный день) введения вакцины аАКДС-М и других вакцин, допустим любой интервал между введениями, т.к. вакцина аАКДС является неживой.</t>
  </si>
  <si>
    <t>&lt;p&gt;В соответствии с национальными рекомендациями, иные живые или неживые вакцины (кроме антирабических вакцин) могут быть введены одновременно (в один день) с вакциной аАКДС-М. При одновременном введении с другими вакцинами, каждую вакцину следует вводить разными шприцами, в разные участки тела, предпочтительно, в разные конечности.&lt;br&gt;
В случае раздельного (не в один календарный день) введения вакцины аАКДС-М и других вакцин, допустим любой интервал между введениями, т.к. вакцина аАКДС является неживой.&lt;/p&gt;</t>
  </si>
  <si>
    <r>
      <rPr>
        <rFont val="Arial"/>
        <color theme="1"/>
      </rPr>
      <t xml:space="preserve">У младенцев препарат Нименрикс можно вводить одновременно с комбинированной вакциной бАКДС-ВГВ-ИПВ/Хиб, а также с 10-валентной пневмококковой конъюгированной вакциной.
В возрасте 1 года и старше препарат Нименрикс можно применять одновременно с любыми вакцинами из числа следующих: вакцины против вируса гепатита А (ГепА) и вируса гепатита В (ГепВ), вакцина против кори, паротита и краснухи (КПК), вакцина против кори, паротита, краснухи и ветряной оспы (КПКВ), 10-валентная пневмококковая конъюгированная вакцина и безадъювантная вакцина против сезонного гриппа.
На втором году жизни препарат Нименрикс также можно применять одновременно с комбинированными вакцинами против дифтерии, столбняка и коклюша с бесклеточным компонентом (бАКДС), в том числе с комбинациями вакцин бАКДС с вакцинами против гепатита В, инактивированной вакциной против полиомиелита или вакциной против </t>
    </r>
    <r>
      <rPr>
        <rFont val="Arial"/>
        <i/>
        <color theme="1"/>
      </rPr>
      <t>Haemophilus influenzae</t>
    </r>
    <r>
      <rPr>
        <rFont val="Arial"/>
        <color theme="1"/>
      </rPr>
      <t xml:space="preserve"> типа </t>
    </r>
    <r>
      <rPr>
        <rFont val="Arial"/>
        <i/>
        <color theme="1"/>
      </rPr>
      <t xml:space="preserve">b </t>
    </r>
    <r>
      <rPr>
        <rFont val="Arial"/>
        <color theme="1"/>
      </rPr>
      <t>(ВГВ, ИПВ или Хиб), такими как вакцина бАКДС-ВГВ-ИПВ/Хиб, а также 13-валентной пневмококковой конъюгированной вакциной.
Лицам в возрасте 9–25 лет препарат Нименрикс можно вводить одновременно с бивалентной рекомбинантной вакциной против папилломавируса человека (типов 16 и 18) (ВПЧ2).
По мере возможности препарат Нименрикс и вакцину, содержащую столбнячный анатоксин (АС), такую как бАКДС-ВГВ-ИПВ/Хиб, следует применять одновременно, либо необходимо вводить препарат Нименрикс по крайней мере за один месяц до введения вакцины, содержащей АС.
Через один месяц после одновременного применения с 10-валентной конъюгированной пневмококковой вакциной для одного пневмококкового серотипа (серотип 18С, конъюгированный с белком-носителем столбнячного анатоксина) наблюдались меньшие средние геометрические концентрации (СГК) антител и СГТ антител по результатам анализа опсонофагоцитарной активности (ОФА). Клиническая значимость этого наблюдения неизвестна. Влияние одновременного введения на иммунный ответ на другие девять пневмококковых серотипов отсутствует.
Через месяц после одновременного введения вакцины с комбинированной адсорбированной вакциной, содержащей столбнячный анатоксин, дифтерийный анатоксин с уменьшенным содержанием антигена и бесклеточный коклюшный компонент, (Tdap) пациентам в возрасте 9–25 лет наблюдались более низкие значения СГК на каждый коклюшный антиген (коклюшный анатоксин [КА], филаментный гемагглютинин [ФГА] и пертактин [ПРН]). У более чем 98% пациентов показатели концентрации антител к КА, ФГА или ПРН были выше пороговых значений результатов анализа. Клиническая значимость этих наблюдений неизвестна. Влияние одновременного введения вакцин на иммунный ответ на препарат Нименрикс либо столбнячный или дифтерийный антигены, содержащиеся в вакцине Tdap, не наблюдалось.
При необходимости одновременной вакцинации препарат Нименрикс и другими вакцинами их следует всегда вводить в разные части тела.</t>
    </r>
  </si>
  <si>
    <r>
      <rPr>
        <rFont val="Arial"/>
        <color theme="1"/>
      </rPr>
      <t xml:space="preserve">&lt;p&gt;У младенцев препарат Нименрикс можно вводить одновременно с комбинированной вакциной бАКДС-ВГВ-ИПВ/Хиб, а также с 10-валентной пневмококковой конъюгированной вакциной.&lt;br&gt;
В возрасте 1&amp;nbsp;года и старше препарат Нименрикс можно применять одновременно с любыми вакцинами из числа следующих: вакцины против вируса гепатита А (ГепА) и вируса гепатита В (ГепВ), вакцина против кори, паротита и краснухи (КПК), вакцина против кори, паротита, краснухи и ветряной оспы (КПКВ), 10-валентная пневмококковая конъюгированная вакцина и безадъювантная вакцина против сезонного гриппа.&lt;br&gt;
На втором году жизни препарат Нименрикс также можно применять одновременно с комбинированными вакцинами против дифтерии, столбняка и коклюша с бесклеточным компонентом (бАКДС), в том числе с комбинациями вакцин бАКДС с вакцинами против гепатита В, инактивированной вакциной против полиомиелита или вакциной против </t>
    </r>
    <r>
      <rPr>
        <rFont val="Arial"/>
        <i/>
        <color theme="1"/>
      </rPr>
      <t>&lt;i&gt;Haemophilus influenzae&lt;/i&gt;</t>
    </r>
    <r>
      <rPr>
        <rFont val="Arial"/>
        <color theme="1"/>
      </rPr>
      <t xml:space="preserve"> типа&amp;nbsp;&lt;i&gt;</t>
    </r>
    <r>
      <rPr>
        <rFont val="Arial"/>
        <i/>
        <color theme="1"/>
      </rPr>
      <t xml:space="preserve">b&lt;/i&gt; </t>
    </r>
    <r>
      <rPr>
        <rFont val="Arial"/>
        <color theme="1"/>
      </rPr>
      <t>(ВГВ, ИПВ или Хиб), такими как вакцина бАКДС-ВГВ-ИПВ/Хиб, а также 13-валентной пневмококковой конъюгированной вакциной.&lt;br&gt;
Лицам в возрасте 9–25&amp;nbsp;лет препарат Нименрикс можно вводить одновременно с бивалентной рекомбинантной вакциной против папилломавируса человека (типов 16 и 18) (ВПЧ2).&lt;br&gt;
По мере возможности препарат Нименрикс и вакцину, содержащую столбнячный анатоксин (АС), такую как бАКДС-ВГВ-ИПВ/Хиб, следует применять одновременно, либо необходимо вводить препарат Нименрикс по крайней мере за один месяц до введения вакцины, содержащей АС.&lt;br&gt;
Через один месяц после одновременного применения с 10-валентной конъюгированной пневмококковой вакциной для одного пневмококкового серотипа (серотип 18С, конъюгированный с белком-носителем столбнячного анатоксина) наблюдались меньшие средние геометрические концентрации (СГК) антител и СГТ антител по результатам анализа опсонофагоцитарной активности (ОФА). Клиническая значимость этого наблюдения неизвестна. Влияние одновременного введения на иммунный ответ на другие девять пневмококковых серотипов отсутствует.&lt;br&gt;
Через месяц после одновременного введения вакцины с комбинированной адсорбированной вакциной, содержащей столбнячный анатоксин, дифтерийный анатоксин с уменьшенным содержанием антигена и бесклеточный коклюшный компонент, (Tdap) пациентам в возрасте 9–25&amp;nbsp;лет наблюдались более низкие значения СГК на каждый коклюшный антиген (коклюшный анатоксин [КА], филаментный гемагглютинин [ФГА] и пертактин [ПРН]). У более чем 98% пациентов показатели концентрации антител к КА, ФГА или ПРН были выше пороговых значений результатов анализа. Клиническая значимость этих наблюдений неизвестна. Влияние одновременного введения вакцин на иммунный ответ на препарат Нименрикс либо столбнячный или дифтерийный антигены, содержащиеся в вакцине Tdap, не наблюдалось.&lt;br&gt;
При необходимости одновременной вакцинации препарат Нименрикс и другими вакцинами их следует всегда вводить в разные части тела.&lt;/p&gt;</t>
    </r>
  </si>
  <si>
    <t>storage_text_w/o_html</t>
  </si>
  <si>
    <t>storage_text_html</t>
  </si>
  <si>
    <t>storage_date</t>
  </si>
  <si>
    <t>storage_view_number</t>
  </si>
  <si>
    <t>storage_version</t>
  </si>
  <si>
    <t>storage_version_link</t>
  </si>
  <si>
    <r>
      <rPr>
        <rFont val="Arial"/>
        <color theme="1"/>
      </rPr>
      <t xml:space="preserve">Хранить при температуре от 2 до 8 °С.
Восстановленная вакцина — не более 1 часа при температуре от 2 до 8 °С при хранении в асептических условиях, предохраняя от действия солнечного и дневного света.
</t>
    </r>
    <r>
      <rPr>
        <rFont val="Arial"/>
        <i/>
        <color theme="1"/>
      </rPr>
      <t>Условия транспортирования:</t>
    </r>
    <r>
      <rPr>
        <rFont val="Arial"/>
        <color theme="1"/>
      </rPr>
      <t xml:space="preserve">
При температуре от 2 до 8 °С.</t>
    </r>
  </si>
  <si>
    <t>&lt;p&gt;Хранить при температуре от 2 до 8&amp;nbsp;°С.&lt;br&gt;
Восстановленная вакцина — не более 1&amp;nbsp;часа при температуре от 2 до 8&amp;nbsp;°С при хранении в асептических условиях, предохраняя от действия солнечного и дневного света.&lt;br&gt;&lt;br&gt;
&lt;i&gt;Условия транспортирования:&lt;/i&gt;&lt;br&gt;
При температуре от 2 до 8 °С.&lt;/p&gt;</t>
  </si>
  <si>
    <t>https://grls.rosminzdrav.ru/InstrImg/2024/07/22/1506963/e3ee888d-af33-4b32-88c3-937587aac4f5.pdf</t>
  </si>
  <si>
    <r>
      <rPr>
        <rFont val="Arial"/>
        <color theme="1"/>
      </rPr>
      <t xml:space="preserve">Хранить при температуре от 2 до 8 °С.
Восстановленная вакцина — не более 1 часа при температуре от 2 до 8 °С при хранении в асептических условиях, предохраняя от действия солнечного и дневного света.
</t>
    </r>
    <r>
      <rPr>
        <rFont val="Arial"/>
        <i/>
        <color theme="1"/>
      </rPr>
      <t>Условия транспортирования:</t>
    </r>
    <r>
      <rPr>
        <rFont val="Arial"/>
        <color theme="1"/>
      </rPr>
      <t xml:space="preserve">
При температуре от 2 до 8 °С.</t>
    </r>
  </si>
  <si>
    <t>&lt;p&gt;Хранить при температуре от 2 до 8&amp;nbsp;°С.&lt;br&gt;
Восстановленная вакцина — не более 1&amp;nbsp;часа при температуре от 2 до 8&amp;nbsp;°С при хранении в асептических условиях, предохраняя от действия солнечного и дневного света.&lt;br&gt;&lt;br&gt;
&lt;i&gt;Условия транспортирования:&lt;/i&gt;&lt;br&gt;
При температуре от 2 до 8&amp;nbsp;°С.&lt;/p&gt;</t>
  </si>
  <si>
    <t>https://grls.rosminzdrav.ru/InstrImg/2024/07/22/1506933/80d8215a-ed41-4eea-aa3e-718b4060dc85.pdf</t>
  </si>
  <si>
    <t>Хранить в оригинальной упаковке при температуре от 2 до 8 °С.
Хранить в недоступном для детей месте.
Разведенный лекарственный препарат необходимо предохранять от действия солнечного и дневного света (например, цилиндром из черной бумаги).
Разведенный лекарственный препарат пригоден к применению не более 1 часа после разведения при хранении в асептических условиях, при температуре от 2 до 8 °С.
Транспортировать при температуре от 2 до 8 °С.</t>
  </si>
  <si>
    <t>&lt;p&gt;Хранить в оригинальной упаковке при температуре от 2 до 8&amp;nbsp;°С.&lt;br&gt;
Хранить в недоступном для детей месте.&lt;br&gt;
Разведенный лекарственный препарат необходимо предохранять от действия солнечного и дневного света (например, цилиндром из черной бумаги).&lt;br&gt;
Разведенный лекарственный препарат пригоден к применению не более 1&amp;nbsp;часа после разведения при хранении в асептических условиях, при температуре от 2 до 8&amp;nbsp;°С.&lt;br&gt;&lt;br&gt;
Транспортировать при температуре от 2 до 8&amp;nbsp;°С.&lt;/p&gt;</t>
  </si>
  <si>
    <t>Хранить при температуре от 2 до 8 °C.
Не замораживать. Препарат, подвергшийся замораживанию, подлежит уничтожению.
Хранить в недоступном для детей месте.
Транспортировать при температуре от 2 до 8 °С.</t>
  </si>
  <si>
    <t>&lt;p&gt;Хранить при температуре от 2 до 8&amp;nbsp;°C.&lt;br&gt;
Не замораживать. Препарат, подвергшийся замораживанию, подлежит уничтожению.&lt;br&gt;
Хранить в недоступном для детей месте.&lt;br&gt;&lt;br&gt;
Транспортировать при температуре от 2 до 8&amp;nbsp;°С.&lt;/p&gt;</t>
  </si>
  <si>
    <t>https://grls.rosminzdrav.ru/InstrImg/2024/04/26/1504040/c8eb3c33-845e-4af2-aeb5-f70dcdb3f339.pdf</t>
  </si>
  <si>
    <t>При температуре от 2 до 8 °С. Не замораживать.
Препарат во вскрытой ампуле хранению не подлежит.
Условия транспортирования:
При температуре от 2 до 8 °С. Не замораживать.</t>
  </si>
  <si>
    <t>&lt;p&gt;При температуре от 2 до 8&amp;nbsp;°С. Не замораживать.&lt;br&gt;
Препарат во вскрытой ампуле хранению не подлежит.&lt;br&gt;&lt;br&gt;
&lt;i&gt;Условия транспортирования:&lt;/i&gt;&lt;br&gt;
При температуре от 2 до 8&amp;nbsp;°С. Не замораживать.&lt;/p&gt;</t>
  </si>
  <si>
    <t>https://grls.rosminzdrav.ru/InstrImg/2024/06/11/1505783/fc76a782-eb1a-468c-a748-3f0e4fe0cd09.pdf</t>
  </si>
  <si>
    <r>
      <rPr>
        <rFont val="Arial"/>
        <color theme="1"/>
      </rPr>
      <t xml:space="preserve">Следует хранить в сухом, защищенном от света месте при температуре от 4 до 8 °С. Не замораживать.
</t>
    </r>
    <r>
      <rPr>
        <rFont val="Arial"/>
        <i/>
        <color theme="1"/>
      </rPr>
      <t>Условия транспортирования:</t>
    </r>
    <r>
      <rPr>
        <rFont val="Arial"/>
        <color theme="1"/>
      </rPr>
      <t xml:space="preserve">
Следует транспортировать в сухом, защищенном от света месте при температуре от 4 до 8 °C. Не замораживать.</t>
    </r>
  </si>
  <si>
    <t>&lt;p&gt;Следует хранить в сухом, защищенном от света месте при температуре от 4 до 8&amp;nbsp;°С. Не замораживать.&lt;br&gt;&lt;br&gt;
&lt;i&gt;Условия транспортирования:&lt;/i&gt;&lt;br&gt;
Следует транспортировать в сухом, защищенном от света месте при температуре от 4 до 8 °C. Не замораживать.&lt;/p&gt;</t>
  </si>
  <si>
    <t>Препарат хранят и транспортируют в соответствии с СП 3.3.2.1248-03 при температуре от 2 до 8 °С. Замораживание не допускается. Хранить в недоступном для детей месте.</t>
  </si>
  <si>
    <t>&lt;p&gt;Препарат хранят и транспортируют в соответствии с СП&amp;nbsp;3.3.2.1248-03 при температуре от 2 до 8&amp;nbsp;°С. Замораживание не допускается. Хранить в недоступном для детей месте.&lt;/p&gt;</t>
  </si>
  <si>
    <t>Хранить при температуре от 2 до 8 ºС (в холодильнике) в защищенном от света месте. Не замораживать.
Готовую вакцину следует ввести немедленно.</t>
  </si>
  <si>
    <t>&lt;p&gt;Хранить при температуре от 2 до 8&amp;nbsp;ºС (в холодильнике) в защищенном от света месте. Не замораживать.&lt;br&gt;
Готовую вакцину следует ввести немедленно.&lt;/p&gt;</t>
  </si>
  <si>
    <t>Хранить и транспортировать в холодильнике (2-8 °С). Хранить в темном месте, чтобы защитить от света. Не замораживать. Препарат, подвергшийся замораживанию, подлежит уничтожению.
[...] Восстановленная вакцина может находиться при комнатной температуре (21 °С) в течение 8 часов [...].
Получены данные, свидетельствующие о возможности хранения составляющих комплекта в течение 72 часов при температуре не выше 25 °С. Препарат Инфанрикс Гекса следует использовать в течение этого периода; по его истечении неиспользованный препарат должен быть уничтожен.</t>
  </si>
  <si>
    <t>&lt;p&gt;Хранить и транспортировать в холодильнике (2-8&amp;nbsp;°С). Хранить в темном месте, чтобы защитить от света. Не замораживать. Препарат, подвергшийся замораживанию, подлежит уничтожению.&lt;br&gt;
[...] Восстановленная вакцина может находиться при комнатной температуре (21&amp;nbsp;°С) в течение 8&amp;nbsp;часов [...].&lt;br&gt;
Получены данные, свидетельствующие о возможности хранения составляющих комплекта в течение 72&amp;nbsp;часов при температуре не выше 25&amp;nbsp;°С. Препарат Инфанрикс Гекса следует использовать в течение этого периода; по его истечении неиспользованный препарат должен быть уничтожен.&lt;/p&gt;</t>
  </si>
  <si>
    <t>Хранить при температуре от 2 °C до 8 °C. Замораживание не допускается.
Препарат во вскрытой ампуле хранению не подлежит.</t>
  </si>
  <si>
    <t>&lt;p&gt;Хранить при температуре от 2&amp;nbsp;°C до 8&amp;nbsp;°C. Замораживание не допускается.&lt;br&gt;
Препарат во вскрытой ампуле хранению не подлежит.&lt;/p&gt;</t>
  </si>
  <si>
    <t>Хранить при температуре (2-8 °С). Не замораживать.
Препарат во вскрытой ампуле хранению не подлежит.</t>
  </si>
  <si>
    <t>&lt;p&gt;Хранить при температуре (2-8&amp;nbsp;°С). Не замораживать.&lt;br&gt;
Препарат во вскрытой ампуле хранению не подлежит.&lt;/p&gt;</t>
  </si>
  <si>
    <t>https://grls.rosminzdrav.ru/InstrImg/2024/07/31/1507315/766d25c1-1588-432d-8847-d7879b5f35ca.pdf</t>
  </si>
  <si>
    <t>https://grls.rosminzdrav.ru/InstrImg/2024/08/12/1507772/3256d497-6448-48ab-a45d-8d9537a5cf72.pdf</t>
  </si>
  <si>
    <t>Следует хранить в сухом, защищенном от света месте при температуре от 4 до 8 °С. Не замораживать. Препарат, подвергшийся замораживанию, применению не подлежит.
Хранить в местах, недоступных для детей.</t>
  </si>
  <si>
    <t>&lt;p&gt;Следует хранить в сухом, защищенном от света месте при температуре от 4 до 8&amp;nbsp;°С. Не замораживать. Препарат, подвергшийся замораживанию, применению не подлежит.&lt;br&gt;
Хранить в местах, недоступных для детей.&lt;/p&gt;</t>
  </si>
  <si>
    <t>Хранить при температуре от 2 до 8 ºС в оригинальной упаковке для защиты от света. Не замораживать. Вакцина, подвергшаяся замораживанию, применению не подлежит.</t>
  </si>
  <si>
    <t>&lt;p&gt;Хранить при температуре от 2 до 8&amp;nbsp;ºС в оригинальной упаковке для защиты от света. Не замораживать. Вакцина, подвергшаяся замораживанию, применению не подлежит.&lt;/p&gt;</t>
  </si>
  <si>
    <t>https://grls.rosminzdrav.ru/InstrImg/2024/06/26/1506257/5ced0007-6f34-412c-9709-b1f6af04e5f6.pdf</t>
  </si>
  <si>
    <r>
      <rPr>
        <rFont val="Arial"/>
        <color theme="1"/>
      </rPr>
      <t xml:space="preserve">При температуре от 2 до 8 °С. Не замораживать. Допускается кратковременное (не более 24 часов) хранение при температуре выше 25 °С.
Хранить в недоступном для детей месте.
</t>
    </r>
    <r>
      <rPr>
        <rFont val="Arial"/>
        <i/>
        <color theme="1"/>
      </rPr>
      <t>Условия транспортирования:</t>
    </r>
    <r>
      <rPr>
        <rFont val="Arial"/>
        <color theme="1"/>
      </rPr>
      <t xml:space="preserve">
При температуре от 2 до 8 °С. Не замораживать.
Допускается кратковременное (не более 48 часов) транспортирование при температуре не выше 25 °С.</t>
    </r>
  </si>
  <si>
    <t>&lt;p&gt;При температуре от 2 до 8&amp;nbsp;°С. Не замораживать. Допускается кратковременное (не более 24&amp;nbsp;часов) хранение при температуре выше 25&amp;nbsp;°С.&lt;br&gt;
Хранить в недоступном для детей месте.&lt;br&gt;&lt;br&gt;
&lt;i&gt;Условия транспортирования:&lt;/i&gt;&lt;br&gt;
При температуре от 2 до 8&amp;nbsp;°С. Не замораживать.&lt;br&gt;
Допускается кратковременное (не более 48&amp;nbsp;часов) транспортирование при температуре не выше 25&amp;nbsp;°С.&lt;/p&gt;</t>
  </si>
  <si>
    <t>https://grls.rosminzdrav.ru/InstrImg/2024/10/09/1509268/65b9c02a-b2dc-4aaa-90b8-4d39a6b13948.pdf</t>
  </si>
  <si>
    <t>Хранить и транспортировать при температуре от 2 до 8 °С.
Не замораживать!
Препарат вводят сразу после вскрытия первичной упаковки.</t>
  </si>
  <si>
    <t>&lt;p&gt;Хранить и транспортировать при температуре от 2 до 8&amp;nbsp;°С.&lt;br&gt;
Не замораживать!&lt;br&gt;
Препарат вводят сразу после вскрытия первичной упаковки.&lt;/p&gt;</t>
  </si>
  <si>
    <t>Хранить и перевозить при температуре от 2 до 8 °C.
Не замораживать.
Хранить в защищенном от света месте.</t>
  </si>
  <si>
    <t>&lt;p&gt;Хранить и перевозить при температуре от 2 до 8&amp;nbsp;°C.&lt;br&gt;
Не замораживать.&lt;br&gt;
Хранить в защищенном от света месте.&lt;/p&gt;</t>
  </si>
  <si>
    <t>https://grls.rosminzdrav.ru/InstrImg/2024/08/15/1507980/8d222b22-41b7-4c91-91d7-df538cb9c42c.pdf</t>
  </si>
  <si>
    <r>
      <rPr>
        <rFont val="Arial"/>
        <color theme="1"/>
      </rPr>
      <t xml:space="preserve">Хранить при температуре от 2 до 8 °С в защищенном от света месте. Не замораживать.
Хранить в недоступном для детей месте.
</t>
    </r>
    <r>
      <rPr>
        <rFont val="Arial"/>
        <i/>
        <color theme="1"/>
      </rPr>
      <t>Условия транспортирования:</t>
    </r>
    <r>
      <rPr>
        <rFont val="Arial"/>
        <color theme="1"/>
      </rPr>
      <t xml:space="preserve">
При температуре от 2 до 8 °С. Не замораживать.</t>
    </r>
  </si>
  <si>
    <t>&lt;p&gt;Хранить при температуре от 2 до 8&amp;nbsp;°С в защищенном от света месте. Не замораживать.&lt;br&gt;
Хранить в недоступном для детей месте.&lt;br&gt;&lt;br&gt;
&lt;i&gt;Условия транспортирования:&lt;/i&gt;&lt;br&gt;
При температуре от 2 до 8&amp;nbsp;°С. Не замораживать.&lt;/p&gt;</t>
  </si>
  <si>
    <t>https://grls.rosminzdrav.ru/InstrImg/2021/10/06/1474149/b0b90cab-c4b4-46cc-966d-af929ca7275c.pdf</t>
  </si>
  <si>
    <r>
      <rPr>
        <rFont val="Arial"/>
        <color theme="1"/>
      </rPr>
      <t xml:space="preserve">Хранить при температуре от 2 до 8 °С в защищенном от света месте. Не замораживать.
Хранить в недоступном для детей месте.
</t>
    </r>
    <r>
      <rPr>
        <rFont val="Arial"/>
        <i/>
        <color theme="1"/>
      </rPr>
      <t>Условия транспортирования:</t>
    </r>
    <r>
      <rPr>
        <rFont val="Arial"/>
        <color theme="1"/>
      </rPr>
      <t xml:space="preserve">
При температуре от 2 до 8 °С. Не замораживать.</t>
    </r>
  </si>
  <si>
    <r>
      <rPr>
        <rFont val="Arial"/>
        <color theme="1"/>
      </rPr>
      <t xml:space="preserve">Хранить при температуре от 2 до 8 °С.
Не допускается замораживание.
Вакцина в ампулах, содержащих 1,0 мл препарата (взрослая доза) может быть использована для вакцинации 2-х детей (по 0,5 мл) при условии их одновременной вакцинации.
</t>
    </r>
    <r>
      <rPr>
        <rFont val="Arial"/>
        <i/>
        <color theme="1"/>
      </rPr>
      <t>Условия транспортирования:</t>
    </r>
    <r>
      <rPr>
        <rFont val="Arial"/>
        <color theme="1"/>
      </rPr>
      <t xml:space="preserve">
Транспортирование при температуре от 2 до 8 °С. Допускается кратковременное (не более 72 часов) транспортирование при температуре от 9 до 30 °С.
Не допускается замораживание.</t>
    </r>
  </si>
  <si>
    <t>&lt;p&gt;Хранить при температуре от 2 до 8&amp;nbsp;°С.&lt;br&gt;
Не допускается замораживание.&lt;br&gt;
Вакцина в ампулах, содержащих 1,0&amp;nbsp;мл препарата (взрослая доза) может быть использована для вакцинации 2-х&amp;nbsp;детей (по 0,5&amp;nbsp;мл) при условии их одновременной вакцинации.&lt;br&gt;&lt;br&gt;
&lt;i&gt;Условия транспортирования:&lt;/i&gt;&lt;br&gt;
Транспортирование при температуре от 2 до 8&amp;nbsp;°С. Допускается кратковременное (не более 72&amp;nbsp;часов) транспортирование при температуре от 9 до 30&amp;nbsp;°С.&lt;br&gt;
Не допускается замораживание.&lt;/p&gt;</t>
  </si>
  <si>
    <t>Хранить и транспортировать в холодильнике (2 °C — 8 °C).
Замораживание не допускается.
Допускается кратковременное (не более 72 часов) хранение и/или транспортирование при температуре не выше 30 °С.
Препарат во вскрытой ампуле хранению не подлежит.</t>
  </si>
  <si>
    <t>&lt;p&gt;Хранить и транспортировать в холодильнике (2&amp;nbsp;°C&amp;nbsp;—&amp;nbsp;8&amp;nbsp;°C).&lt;br&gt;
Замораживание не допускается.&lt;br&gt;
Допускается кратковременное (не более 72&amp;nbsp;часов) хранение и/или транспортирование при температуре не выше 30&amp;nbsp;°С.&lt;br&gt;&lt;br&gt;
Препарат во вскрытой ампуле хранению не подлежит.&lt;/p&gt;</t>
  </si>
  <si>
    <t>При температуре от 2 до 8 °С. Не замораживать.
Хранить в недоступном для детей месте.</t>
  </si>
  <si>
    <t>&lt;p&gt;При температуре от 2 до 8&amp;nbsp;°С. Не замораживать.&lt;br&gt;
Хранить в недоступном для детей месте.&lt;/p&gt;</t>
  </si>
  <si>
    <t>Хранить и перевозить при температуре от 2 до 8 °С. Не замораживать.
Хранить в защищенном от света месте.
Вакцину следует использовать сразу после извлечения из холодильника.</t>
  </si>
  <si>
    <t>&lt;p&gt;Хранить и перевозить при температуре от 2 до 8&amp;nbsp;°С. Не замораживать.&lt;br&gt;
Хранить в защищенном от света месте.&lt;br&gt;
Вакцину следует использовать сразу после извлечения из холодильника.&lt;/p&gt;</t>
  </si>
  <si>
    <t>https://grls.rosminzdrav.ru/InstrImg/2024/12/17/1512020/2a864a9a-4d20-4872-b696-45be6795479c.pdf</t>
  </si>
  <si>
    <t>При температуре от 2 до 8 °С, в защищенном от света месте.
Не замораживать.
Гардасил следует вводить как можно быстрее после извлечения из холодильника.
Гардасил может находиться вне холодильника (при температуре 25 °C или ниже) не более 72 часов.</t>
  </si>
  <si>
    <t>&lt;p&gt;При температуре от 2 до 8&amp;nbsp;°С, в защищенном от света месте.&lt;br&gt;
Не замораживать.&lt;br&gt;
Гардасил следует вводить как можно быстрее после извлечения из холодильника.&lt;br&gt;
Гардасил может находиться вне холодильника (при температуре 25&amp;nbsp;°C или ниже) не более 72&amp;nbsp;часов.&lt;/p&gt;</t>
  </si>
  <si>
    <t>https://grls.rosminzdrav.ru/InstrImg/2024/05/06/1504148/f9e7d2a4-783f-443b-a62e-29078cfb7066.pdf</t>
  </si>
  <si>
    <r>
      <rPr>
        <rFont val="Arial"/>
        <i/>
        <color theme="1"/>
      </rPr>
      <t>Замороженный лекарственный препарат</t>
    </r>
    <r>
      <rPr>
        <rFont val="Arial"/>
        <color theme="1"/>
      </rPr>
      <t xml:space="preserve">
Хранить в защищенном от света месте, при температуре не выше минус 18 °C. Повторное замораживание не допускается.
Для флаконов по 0,5 мл производства ФГБУ «НИЦЭМ им. Н.Ф. Гамалеи» Минздрава России (филиал «Медгамал» ФГБУ «НИЦЭМ им. Н.Ф. Гамалеи» Минздрава России) и ампул по 0,5 мл производства ОАО «Фармстандарт-УфаВИТА» допускается повышение температуры не выше минус 10 °C не более 3 суток.
</t>
    </r>
    <r>
      <rPr>
        <rFont val="Arial"/>
        <i/>
        <color theme="1"/>
      </rPr>
      <t>Жидкий лекарственный препарат</t>
    </r>
    <r>
      <rPr>
        <rFont val="Arial"/>
        <color theme="1"/>
      </rPr>
      <t xml:space="preserve">
Хранить и перевозить в холодильнике (2-8 °С). Не замораживать.
</t>
    </r>
    <r>
      <rPr>
        <rFont val="Arial"/>
        <i/>
        <color theme="1"/>
      </rPr>
      <t>После размораживания</t>
    </r>
    <r>
      <rPr>
        <rFont val="Arial"/>
        <color theme="1"/>
      </rPr>
      <t xml:space="preserve">
Суммарное время хранения размороженного раствора при комнатной температуре не должно превышать 2 часов.
Повторное замораживание флакона или ампулы с раствором не допускается. Не допускается хранение размороженного лекарственного препарата более 30 минут.
</t>
    </r>
    <r>
      <rPr>
        <rFont val="Arial"/>
        <i/>
        <color theme="1"/>
      </rPr>
      <t>Вскрытый флакон или ампула</t>
    </r>
    <r>
      <rPr>
        <rFont val="Arial"/>
        <color theme="1"/>
      </rPr>
      <t xml:space="preserve">
Допускается хранение лекарственного препарата при комнатной температуре: вскрытой ампулы, закрытой стерильной салфеткой, не более 1 часа. Допускается хранение вскрытого флакона не более 2 часов при комнатной температуре.</t>
    </r>
  </si>
  <si>
    <r>
      <rPr>
        <rFont val="Arial"/>
        <i/>
        <color theme="1"/>
      </rPr>
      <t>&lt;p&gt;&lt;i&gt;Замороженный лекарственный препарат&lt;/i&gt;&lt;br&gt;</t>
    </r>
    <r>
      <rPr>
        <rFont val="Arial"/>
        <color theme="1"/>
      </rPr>
      <t xml:space="preserve">
Хранить в защищенном от света месте, при температуре не выше минус 18&amp;nbsp;°C. Повторное замораживание не допускается.&lt;br&gt;
Для флаконов по 0,5&amp;nbsp;мл производства ФГБУ «НИЦЭМ им. Н.Ф. Гамалеи» Минздрава России (филиал «Медгамал» ФГБУ «НИЦЭМ им. Н.Ф. Гамалеи» Минздрава России) и ампул по 0,5&amp;nbsp;мл производства ОАО «Фармстандарт-УфаВИТА» допускается повышение температуры не выше минус 10&amp;nbsp;°C не более 3&amp;nbsp;суток.&lt;br&gt;
</t>
    </r>
    <r>
      <rPr>
        <rFont val="Arial"/>
        <i/>
        <color theme="1"/>
      </rPr>
      <t>&lt;i&gt;Жидкий лекарственный препарат&lt;/i&gt;&lt;br&gt;</t>
    </r>
    <r>
      <rPr>
        <rFont val="Arial"/>
        <color theme="1"/>
      </rPr>
      <t xml:space="preserve">
Хранить и перевозить в холодильнике (2-8&amp;nbsp;°С). Не замораживать.&lt;br&gt;&lt;br&gt;
</t>
    </r>
    <r>
      <rPr>
        <rFont val="Arial"/>
        <i/>
        <color theme="1"/>
      </rPr>
      <t>&lt;i&gt;После размораживания&lt;/i&gt;&lt;br&gt;</t>
    </r>
    <r>
      <rPr>
        <rFont val="Arial"/>
        <color theme="1"/>
      </rPr>
      <t xml:space="preserve">
Суммарное время хранения размороженного раствора при комнатной температуре не должно превышать 2&amp;nbsp;часов.&lt;br&gt;
Повторное замораживание флакона или ампулы с раствором не допускается. Не допускается хранение размороженного лекарственного препарата более 30&amp;nbsp;минут.&lt;br&gt;
</t>
    </r>
    <r>
      <rPr>
        <rFont val="Arial"/>
        <i/>
        <color theme="1"/>
      </rPr>
      <t>&lt;i&gt;Вскрытый флакон или ампула&lt;/i&gt;&lt;br&gt;</t>
    </r>
    <r>
      <rPr>
        <rFont val="Arial"/>
        <color theme="1"/>
      </rPr>
      <t xml:space="preserve">
Допускается хранение лекарственного препарата при комнатной температуре: вскрытой ампулы, закрытой стерильной салфеткой, не более 1&amp;nbsp;часа. Допускается хранение вскрытого флакона не более 2&amp;nbsp;часов при комнатной температуре.&lt;/p&gt;</t>
    </r>
  </si>
  <si>
    <r>
      <rPr>
        <rFont val="Arial"/>
        <color theme="1"/>
      </rPr>
      <t xml:space="preserve">Хранить при температуре от 2 до 8 °С в защищенном от света месте.
Не допускается хранение восстановленного препарата!
Хранить в недоступном для детей месте.
</t>
    </r>
    <r>
      <rPr>
        <rFont val="Arial"/>
        <i/>
        <color theme="1"/>
      </rPr>
      <t>Условия транспортирования:</t>
    </r>
    <r>
      <rPr>
        <rFont val="Arial"/>
        <color theme="1"/>
      </rPr>
      <t xml:space="preserve">
При температуре от 2 до 8 °С в защищенном от света месте.</t>
    </r>
  </si>
  <si>
    <t>&lt;p&gt;Хранить при температуре от 2 до 8&amp;nbsp;°С в защищенном от света месте.&lt;br&gt;
Не допускается хранение восстановленного препарата!&lt;br&gt;
Хранить в недоступном для детей месте.&lt;br&gt;&lt;br&gt;
&lt;i&gt;Условия транспортирования:&lt;/i&gt;&lt;br&gt;
При температуре от 2 до 8&amp;nbsp;°С в защищенном от света месте.&lt;/p&gt;</t>
  </si>
  <si>
    <r>
      <rPr>
        <rFont val="Arial"/>
        <color theme="1"/>
      </rPr>
      <t xml:space="preserve">При температуре от 2 до 8 °С. Не замораживать!
Хранить в недоступном для детей месте.
</t>
    </r>
    <r>
      <rPr>
        <rFont val="Arial"/>
        <i/>
        <color theme="1"/>
      </rPr>
      <t>Условия транспортирования:</t>
    </r>
    <r>
      <rPr>
        <rFont val="Arial"/>
        <color theme="1"/>
      </rPr>
      <t xml:space="preserve">
При температуре от 2 до 8 °С. Не замораживать!
Производственная площадка ФБУН ГНЦ ВБ "Вектор" Роспотребнадзора, Россия:
Допускается кратковременное (не более 48 часов) транспортирование при температуре не выше 25 °С.</t>
    </r>
  </si>
  <si>
    <t>&lt;p&gt;При температуре от 2 до 8&amp;nbsp;°С. Не замораживать!&lt;br&gt;
Хранить в недоступном для детей месте.&lt;br&gt;&lt;br&gt;
&lt;i&gt;Условия транспортирования:&lt;/i&gt;&lt;br&gt;
При температуре от 2 до 8&amp;nbsp;°С. Не замораживать!&lt;br&gt;
Производственная площадка ФБУН ГНЦ ВБ "Вектор" Роспотребнадзора, Россия:&lt;br&gt;
Допускается кратковременное (не более 48&amp;nbsp;часов) транспортирование при температуре не выше 25&amp;nbsp;°С.&lt;/p&gt;</t>
  </si>
  <si>
    <t>Хранить в соответствии с СП 3.3.2.1248-03 при температуре от 2 до 8 °С в недоступном для детей месте. Замораживание не допускается.
Транспортировать в соответствии с СП 3.3.2.1248-03 при температуре от 2 до 8 °С. Допускается транспортирование при температуре до 25 °С в течение 6 часов. Замораживание не допускается.</t>
  </si>
  <si>
    <t>&lt;p&gt;Хранить в соответствии с СП&amp;nbsp;3.3.2.1248-03 при температуре от 2 до 8&amp;nbsp;°С в недоступном для детей месте. Замораживание не допускается.&lt;br&gt;&lt;br&gt;
Транспортировать в соответствии с СП&amp;nbsp;3.3.2.1248-03 при температуре от 2 до 8&amp;nbsp;°С. Допускается транспортирование при температуре до 25&amp;nbsp;°С в течение 6&amp;nbsp;часов. Замораживание не допускается.&lt;/p&gt;</t>
  </si>
  <si>
    <t>Хранить в защищенном от света месте при температуре от 2 до 8 °С.
Хранить в недоступном для детей месте.
Транспортирование при температуре от 2 до 8 °С. Замораживание не допускается. Допускается транспортирование при температуре до 25 °С в течение 6 часов.</t>
  </si>
  <si>
    <t>&lt;p&gt;Хранить в защищенном от света месте при температуре от 2 до 8&amp;nbsp;°С.&lt;br&gt;
Хранить в недоступном для детей месте.&lt;br&gt;&lt;br&gt;
Транспортирование при температуре от 2 до 8&amp;nbsp;°С. Замораживание не допускается. Допускается транспортирование при температуре до 25&amp;nbsp;°С в течение 6&amp;nbsp;часов.&lt;/p&gt;</t>
  </si>
  <si>
    <t>https://grls.rosminzdrav.ru/InstrImg/2020/11/23/1413288/1b595bd5-6fb2-48d5-83c0-6dd6281b5f0f.pdf</t>
  </si>
  <si>
    <r>
      <rPr>
        <rFont val="Arial"/>
        <color theme="1"/>
      </rPr>
      <t xml:space="preserve">Хранить в защищенном от света месте при температуре от 2 до 8 °С.
Не замораживать!
Препарат, подвергшийся замораживанию, применению не подлежит.
Препарат во вскрытой ампуле или флаконе хранению не подлежит.
</t>
    </r>
    <r>
      <rPr>
        <rFont val="Arial"/>
        <i/>
        <color theme="1"/>
      </rPr>
      <t>Условия транспортирования:</t>
    </r>
    <r>
      <rPr>
        <rFont val="Arial"/>
        <color theme="1"/>
      </rPr>
      <t xml:space="preserve">
В защищенном от света месте при температуре от 2 до 8 °С в условиях, исключающих замораживание.
Допускается транспортирование при температуре не выше 25 °С не более 24 часов.</t>
    </r>
  </si>
  <si>
    <t>&lt;p&gt;Хранить в защищенном от света месте при температуре от 2 до 8&amp;nbsp;°С.&lt;br&gt;
Не замораживать!&lt;br&gt;
Препарат, подвергшийся замораживанию, применению не подлежит.&lt;br&gt;
Препарат во вскрытой ампуле или флаконе хранению не подлежит.&lt;br&gt;&lt;br&gt;
&lt;i&gt;Условия транспортирования:&lt;/i&gt;&lt;br&gt;
В защищенном от света месте при температуре от 2 до 8&amp;nbsp;°С в условиях, исключающих замораживание.&lt;br&gt;
Допускается транспортирование при температуре не выше 25&amp;nbsp;°С не более 24&amp;nbsp;часов.&lt;/p&gt;</t>
  </si>
  <si>
    <t>https://grls.rosminzdrav.ru/InstrImg/2025/05/06/1510260/3226bda3-b919-4e7c-8c50-869db628161b.pdf</t>
  </si>
  <si>
    <t>Хранить при температуре от 2 до 8 °С. Не замораживать.
Препарат во вскрытых ампулах/шприцах хранению не подлежит.
Транспортировать при температуре от 2 до 8 °С. Не замораживать.</t>
  </si>
  <si>
    <t>&lt;p&gt;Хранить при температуре от 2 до 8&amp;nbsp;°С. Не замораживать.&lt;br&gt;
Препарат во вскрытых ампулах/шприцах хранению не подлежит.&lt;br&gt;&lt;br&gt;
Транспортировать при температуре от 2 до 8&amp;nbsp;°С. Не замораживать.&lt;/p&gt;</t>
  </si>
  <si>
    <t>https://grls.rosminzdrav.ru/InstrImg/2024/11/08/1510402/a0b91d84-8dc8-4b0b-9293-7245326bb57d.pdf</t>
  </si>
  <si>
    <t>Хранить при температуре от 2ºС до 8 ºС.
Не замораживать.
Препарат, подвергшийся замораживанию, применению не подлежит.
Препарат во вскрытой ампуле хранению не подлежит.
После вскрытия вакцина во флаконе, содержащем 5 доз, должна быть использована в течение не более 2 часов. Вскрытый флакон с вакциной хранят при комнатной температуре под стерильной салфеткой. По истечении двух часов флакон с остатками вакцины утилизируют.</t>
  </si>
  <si>
    <t>&lt;p&gt;Хранить при температуре от 2ºС до 8&amp;nbsp;ºС.&lt;br&gt;
Не замораживать.&lt;br&gt;
Препарат, подвергшийся замораживанию, применению не подлежит.&lt;br&gt;
Препарат во вскрытой ампуле хранению не подлежит.&lt;br&gt;&lt;br&gt;
После вскрытия вакцина во флаконе, содержащем 5&amp;nbsp;доз, должна быть использована в течение не более 2&amp;nbsp;часов. Вскрытый флакон с вакциной хранят при комнатной температуре под стерильной салфеткой. По истечении двух часов флакон с остатками вакцины утилизируют.&lt;/p&gt;</t>
  </si>
  <si>
    <t>https://grls.rosminzdrav.ru/InstrImg/2023/11/03/1498860/e40e979e-c456-4cd1-abd9-439878d7e6e0.pdf</t>
  </si>
  <si>
    <t>Хранить и перевозить в холодильнике (2–8 °С). Не замораживать.
Препарат во вскрытой ампуле и вскрытом однодозовом флаконе хранению не подлежит. Вскрытый многодозовый флакон помещается в холодильник для хранения при температуре от 2 до 8 °С не более одного рабочего дня.</t>
  </si>
  <si>
    <t>&lt;p&gt;Хранить и перевозить в холодильнике (2–8&amp;nbsp;°С). Не замораживать.&lt;br&gt;&lt;br&gt;
Препарат во вскрытой ампуле и вскрытом однодозовом флаконе хранению не подлежит. Вскрытый многодозовый флакон помещается в холодильник для хранения при температуре от 2 до 8&amp;nbsp;°С не более одного рабочего дня.&lt;/p&gt;</t>
  </si>
  <si>
    <t xml:space="preserve">Хранить при температуре от 2 до 8 °C в защищенном от света месте.
Не замораживать.
Хранить в недоступном для детей месте.
Транспортировать при температуре от 2 до 8 °С. Не замораживать.
</t>
  </si>
  <si>
    <t>&lt;p&gt;Хранить при температуре от 2 до 8&amp;nbsp;°C в защищенном от света месте.&lt;br&gt;
Не замораживать.&lt;br&gt;
Хранить в недоступном для детей месте.&lt;br&gt;&lt;br&gt;
Транспортировать при температуре от 2 до 8&amp;nbsp;°С. Не замораживать.&lt;/p&gt;</t>
  </si>
  <si>
    <t>Хранить в защищенном от света месте при температуре от 2 до 8 °C, не замораживать.</t>
  </si>
  <si>
    <t>&lt;p&gt;Хранить в защищенном от света месте при температуре от 2 до 8&amp;nbsp;°C, не замораживать.&lt;/p&gt;</t>
  </si>
  <si>
    <t>Хранить при температуре от 2 до 8 ºС.
Не замораживать.
Препарат, подвергшийся замораживанию, применению не подлежит.
Препарат во вскрытых шприцах/ампулах хранению не подлежит.</t>
  </si>
  <si>
    <t>&lt;p&gt;Хранить при температуре от 2 до 8&amp;nbsp;ºС.&lt;br&gt;
Не замораживать.&lt;br&gt;
Препарат, подвергшийся замораживанию, применению не подлежит.&lt;br&gt;
Препарат во вскрытых шприцах/ампулах хранению не подлежит.&lt;/p&gt;</t>
  </si>
  <si>
    <t>https://grls.rosminzdrav.ru/InstrImg/2024/10/18/1509959/c662564d-f927-489b-910f-61c762d2cbd7.pdf</t>
  </si>
  <si>
    <r>
      <rPr>
        <rFont val="Arial"/>
        <color theme="1"/>
      </rPr>
      <t xml:space="preserve">Хранить в защищенном от света месте при температуре от 2 до 8 °С.
Не замораживать.
Препарат, подвергшийся замораживанию, применению не подлежит.
</t>
    </r>
    <r>
      <rPr>
        <rFont val="Arial"/>
        <i/>
        <color theme="1"/>
      </rPr>
      <t>Условия транспортирования:</t>
    </r>
    <r>
      <rPr>
        <rFont val="Arial"/>
        <color theme="1"/>
      </rPr>
      <t xml:space="preserve">
В защищенном от света месте при температуре от 2 до 8 °С. Не замораживать.
Допускается транспортирование при температуре не выше 25 °С не более 24 часов.</t>
    </r>
  </si>
  <si>
    <t>&lt;p&gt;Хранить в защищенном от света месте при температуре от 2 до 8&amp;nbsp;°С.&lt;br&gt;
Не замораживать.&lt;br&gt;
Препарат, подвергшийся замораживанию, применению не подлежит.&lt;br&gt;&lt;br&gt;
&lt;i&gt;Условия транспортирования:&lt;/i&gt;&lt;br&gt;
В защищенном от света месте при температуре от 2 до 8&amp;nbsp;°С. Не замораживать.&lt;br&gt;
Допускается транспортирование при температуре не выше 25&amp;nbsp;°С не более 24&amp;nbsp;часов.&lt;/p&gt;</t>
  </si>
  <si>
    <r>
      <rPr>
        <rFont val="Arial"/>
        <i/>
        <color theme="1"/>
      </rPr>
      <t>Лиофилизат:</t>
    </r>
    <r>
      <rPr>
        <rFont val="Arial"/>
        <color theme="1"/>
      </rPr>
      <t xml:space="preserve"> при температуре от 2 до 8 °С.
</t>
    </r>
    <r>
      <rPr>
        <rFont val="Arial"/>
        <i/>
        <color theme="1"/>
      </rPr>
      <t>Растворитель:</t>
    </r>
    <r>
      <rPr>
        <rFont val="Arial"/>
        <color theme="1"/>
      </rPr>
      <t xml:space="preserve"> при температуре от 2 до 25 °С. Не замораживать.
</t>
    </r>
    <r>
      <rPr>
        <rFont val="Arial"/>
        <i/>
        <color theme="1"/>
      </rPr>
      <t>Комплект (лиофилизат, растворитель):</t>
    </r>
    <r>
      <rPr>
        <rFont val="Arial"/>
        <color theme="1"/>
      </rPr>
      <t xml:space="preserve"> при температуре от 2 до 8 °С. Не замораживать.
Растворенная вакцина используется немедленно и хранению не подлежит.
Условия транспортирования совпадают с условиями хранения.</t>
    </r>
  </si>
  <si>
    <r>
      <rPr>
        <rFont val="Arial"/>
        <i/>
        <color theme="1"/>
      </rPr>
      <t>&lt;p&gt;&lt;i&gt;Лиофилизат:&lt;/i&gt;</t>
    </r>
    <r>
      <rPr>
        <rFont val="Arial"/>
        <color theme="1"/>
      </rPr>
      <t xml:space="preserve"> при температуре от 2 до 8&amp;nbsp;°С.&lt;br&gt;
</t>
    </r>
    <r>
      <rPr>
        <rFont val="Arial"/>
        <i/>
        <color theme="1"/>
      </rPr>
      <t>&lt;i&gt;Растворитель:&lt;/i&gt;</t>
    </r>
    <r>
      <rPr>
        <rFont val="Arial"/>
        <color theme="1"/>
      </rPr>
      <t xml:space="preserve"> при температуре от 2 до 25&amp;nbsp;°С. Не замораживать.&lt;br&gt;
</t>
    </r>
    <r>
      <rPr>
        <rFont val="Arial"/>
        <i/>
        <color theme="1"/>
      </rPr>
      <t>&lt;i&gt;Комплект (лиофилизат, растворитель):&lt;/i&gt;</t>
    </r>
    <r>
      <rPr>
        <rFont val="Arial"/>
        <color theme="1"/>
      </rPr>
      <t xml:space="preserve"> при температуре от 2 до 8&amp;nbsp;°С. Не замораживать.&lt;br&gt;
Растворенная вакцина используется немедленно и хранению не подлежит.&lt;br&gt;&lt;br&gt;
Условия транспортирования совпадают с условиями хранения.&lt;/p&gt;</t>
    </r>
  </si>
  <si>
    <t>https://grls.rosminzdrav.ru/InstrImg/2024/05/16/1504527/855b9f93-a273-4ca6-a45b-4f8dd66bd17d.pdf</t>
  </si>
  <si>
    <r>
      <rPr>
        <rFont val="Arial"/>
        <i/>
        <color theme="1"/>
      </rPr>
      <t>Лиофилизат</t>
    </r>
    <r>
      <rPr>
        <rFont val="Arial"/>
        <color theme="1"/>
      </rPr>
      <t xml:space="preserve">: хранить при температуре от 2 до 8 °С в защищенном от света месте.
</t>
    </r>
    <r>
      <rPr>
        <rFont val="Arial"/>
        <i/>
        <color theme="1"/>
      </rPr>
      <t>Растворитель</t>
    </r>
    <r>
      <rPr>
        <rFont val="Arial"/>
        <color theme="1"/>
      </rPr>
      <t xml:space="preserve">: хранить при температуре от 5 до 30 °С. Не замораживать.
</t>
    </r>
    <r>
      <rPr>
        <rFont val="Arial"/>
        <i/>
        <color theme="1"/>
      </rPr>
      <t>Комплект (лиофилизат, растворитель)</t>
    </r>
    <r>
      <rPr>
        <rFont val="Arial"/>
        <color theme="1"/>
      </rPr>
      <t>: хранить при температуре от 2 до 8 °С. Не замораживать.
Растворенная вакцина используется немедленно и хранению не подлежит.</t>
    </r>
  </si>
  <si>
    <t>&lt;p&gt;&lt;i&gt;Лиофилизат:&lt;/i&gt; хранить при температуре от 2 до 8&amp;nbsp;°С в защищенном от света месте.&lt;br&gt;
&lt;i&gt;Растворитель:&lt;/i&gt; хранить при температуре от 5 до 30&amp;nbsp;°С. Не замораживать.&lt;br&gt;
&lt;i&gt;Комплект (лиофилизат, растворитель):&lt;/i&gt; хранить при температуре от 2 до 8&amp;nbsp;°С. Не замораживать.&lt;br&gt;
Растворенная вакцина используется немедленно и хранению не подлежит.&lt;/p&gt;</t>
  </si>
  <si>
    <t>Хранение и транспортирование в соответствии с СП 3.3.2.1248-03 при температуре от от 0 до 8 °С. Хранить в недоступном для детей месте.</t>
  </si>
  <si>
    <t>&lt;p&gt;Хранение и транспортирование в соответствии с СП&amp;nbsp;3.3.2.1248-03 при температуре от от 0 до 8&amp;nbsp;°С. Хранить в недоступном для детей месте.&lt;/p&gt;</t>
  </si>
  <si>
    <r>
      <rPr>
        <rFont val="Arial"/>
        <i/>
        <color theme="1"/>
      </rPr>
      <t>Лиофилизат:</t>
    </r>
    <r>
      <rPr>
        <rFont val="Arial"/>
        <color theme="1"/>
      </rPr>
      <t xml:space="preserve"> при температуре от 2 до 8 °С.
</t>
    </r>
    <r>
      <rPr>
        <rFont val="Arial"/>
        <i/>
        <color theme="1"/>
      </rPr>
      <t>Растворитель:</t>
    </r>
    <r>
      <rPr>
        <rFont val="Arial"/>
        <color theme="1"/>
      </rPr>
      <t xml:space="preserve"> при температуре от 2 до 25 °С. Не замораживать.
</t>
    </r>
    <r>
      <rPr>
        <rFont val="Arial"/>
        <i/>
        <color theme="1"/>
      </rPr>
      <t>Комплект (лиофилизат, растворитель):</t>
    </r>
    <r>
      <rPr>
        <rFont val="Arial"/>
        <color theme="1"/>
      </rPr>
      <t xml:space="preserve"> при температуре от 2 до 8 °С. Не замораживать.
Растворенная вакцина используется немедленно и хранению не подлежит.</t>
    </r>
  </si>
  <si>
    <r>
      <rPr>
        <rFont val="Arial"/>
        <i/>
        <color theme="1"/>
      </rPr>
      <t>&lt;p&gt;&lt;i&gt;Лиофилизат:&lt;/i&gt;</t>
    </r>
    <r>
      <rPr>
        <rFont val="Arial"/>
        <color theme="1"/>
      </rPr>
      <t xml:space="preserve"> при температуре от 2 до 8&amp;nbsp;°С.&lt;br&gt;
</t>
    </r>
    <r>
      <rPr>
        <rFont val="Arial"/>
        <i/>
        <color theme="1"/>
      </rPr>
      <t>&lt;i&gt;Растворитель:&lt;/i&gt;</t>
    </r>
    <r>
      <rPr>
        <rFont val="Arial"/>
        <color theme="1"/>
      </rPr>
      <t xml:space="preserve"> при температуре от 2 до 25&amp;nbsp;°С. Не замораживать.&lt;br&gt;
</t>
    </r>
    <r>
      <rPr>
        <rFont val="Arial"/>
        <i/>
        <color theme="1"/>
      </rPr>
      <t>&lt;i&gt;Комплект (лиофилизат, растворитель):</t>
    </r>
    <r>
      <rPr>
        <rFont val="Arial"/>
        <color theme="1"/>
      </rPr>
      <t>&lt;/i&gt; при температуре от 2 до 8&amp;nbsp;°С. Не замораживать.&lt;br&gt;
Растворенная вакцина используется немедленно и хранению не подлежит.&lt;/p&gt;</t>
    </r>
  </si>
  <si>
    <t>https://grls.rosminzdrav.ru/InstrImg/2024/07/19/1506924/5cc0ebcd-92ff-417f-bdfe-dd8bd9bc1c0b.pdf</t>
  </si>
  <si>
    <r>
      <rPr>
        <rFont val="Arial"/>
        <i/>
        <color theme="1"/>
      </rPr>
      <t>Лиофилизат</t>
    </r>
    <r>
      <rPr>
        <rFont val="Arial"/>
        <color theme="1"/>
      </rPr>
      <t xml:space="preserve">: при температуре от 2 до 8 °С.
</t>
    </r>
    <r>
      <rPr>
        <rFont val="Arial"/>
        <i/>
        <color theme="1"/>
      </rPr>
      <t>Комплект (лиофилизат, растворитель)</t>
    </r>
    <r>
      <rPr>
        <rFont val="Arial"/>
        <color theme="1"/>
      </rPr>
      <t>: при температуре от 2 до 8 °С. Не замораживать.
Растворенная вакцина используется немедленно и хранению не подлежит.</t>
    </r>
  </si>
  <si>
    <r>
      <rPr>
        <rFont val="Arial"/>
        <i/>
        <color theme="1"/>
      </rPr>
      <t>&lt;p&gt;&lt;i&gt;Лиофилизат</t>
    </r>
    <r>
      <rPr>
        <rFont val="Arial"/>
        <color theme="1"/>
      </rPr>
      <t xml:space="preserve">:&lt;/i&gt; при температуре от 2 до 8&amp;nbsp;°С.&lt;br&gt;
</t>
    </r>
    <r>
      <rPr>
        <rFont val="Arial"/>
        <i/>
        <color theme="1"/>
      </rPr>
      <t>&lt;i&gt;Комплект (лиофилизат, растворитель)</t>
    </r>
    <r>
      <rPr>
        <rFont val="Arial"/>
        <color theme="1"/>
      </rPr>
      <t>:&lt;/i&gt; при температуре от 2 до 8&amp;nbsp;°С. Не замораживать.&lt;br&gt;
Растворенная вакцина используется немедленно и хранению не подлежит.&lt;/p&gt;</t>
    </r>
  </si>
  <si>
    <t>Хранить при температуре от 2 до 8 °С, в защищенном от света месте.
Растворитель может храниться вместе с вакциной при температуре от 2 до 8 °С или отдельно при температуре не выше 25 °С. Рекомендуется использовать вакцину как можно раньше после растворения.
Хранить в недоступном для детей месте.
Примечание: хранение растворителя отдельно от вакцины при температуре не выше 25 °С возможно только при условии, что растворитель упакован в картонную пачку Б.</t>
  </si>
  <si>
    <t>&lt;p&gt;Хранить при температуре от 2 до 8&amp;nbsp;°С, в защищенном от света месте.&lt;br&gt;
Растворитель может храниться вместе с вакциной при температуре от 2 до 8&amp;nbsp;°С или отдельно при температуре не выше 25&amp;nbsp;°С. Рекомендуется использовать вакцину как можно раньше после растворения.&lt;br&gt;
Хранить в недоступном для детей месте.&lt;br&gt;&lt;br&gt;
Примечание: хранение растворителя отдельно от вакцины при температуре не выше 25&amp;nbsp;°С возможно только при условии, что растворитель упакован в картонную пачку Б.&lt;/p&gt;</t>
  </si>
  <si>
    <t>Хранить при температуре от 2 до 8 °С. Не замораживать.
Допускается кратковременное (не более 7 суток) транспортирование вакцины при
температуре не выше 25 °С, в условиях, исключающих замораживание.
Растворенная вакцина хранению не подлежит.</t>
  </si>
  <si>
    <t>&lt;p&gt;Хранить при температуре от 2 до 8&amp;nbsp;°С. Не замораживать.&lt;br&gt;
Допускается кратковременное (не более 7&amp;nbsp;суток) транспортирование вакцины при температуре не выше 25&amp;nbsp;°С, в условиях, исключающих замораживание.&lt;br&gt;
Растворенная вакцина хранению не подлежит.&lt;/p&gt;</t>
  </si>
  <si>
    <t>https://grls.rosminzdrav.ru/InstrImg/2024/05/23/1504773/609a8a1f-c770-47fc-a98c-75cf5640e7e7.pdf</t>
  </si>
  <si>
    <t>Хранить при температуре от 2 до 8 °С. Не замораживать.
Растворенная вакцина хранению не подлежит.</t>
  </si>
  <si>
    <t>&lt;p&gt;Хранить при температуре от 2 до 8&amp;nbsp;°С. Не замораживать.&lt;br&gt;
Растворенная вакцина хранению не подлежит.&lt;/p&gt;</t>
  </si>
  <si>
    <t>https://grls.rosminzdrav.ru/InstrImg/2025/10/17/1504574/7154e58a-7f87-42a0-a46d-7bf589291e39.pdf</t>
  </si>
  <si>
    <t>Хранить в холодильнике (2-8 °С), в оригинальной упаковке (в пачке картонной) для того, чтобы защитить от света.
Не замораживать.
Препарат, подвергшийся замораживанию, использованию не подлежит.</t>
  </si>
  <si>
    <t>&lt;p&gt;Хранить в холодильнике (2-8&amp;nbsp;°С), в оригинальной упаковке (в пачке картонной) для того, чтобы защитить от света.&lt;br&gt;
Не замораживать.&lt;br&gt;
Препарат, подвергшийся замораживанию, использованию не подлежит.&lt;/p&gt;</t>
  </si>
  <si>
    <t>https://grls.rosminzdrav.ru/InstrImg/2025/04/10/1504025/4213c7bf-831f-4e93-865a-64154eae8592.pdf</t>
  </si>
  <si>
    <r>
      <rPr>
        <rFont val="Arial"/>
        <i/>
        <color theme="1"/>
      </rPr>
      <t>Лиофилизат:</t>
    </r>
    <r>
      <rPr>
        <rFont val="Arial"/>
        <color theme="1"/>
      </rPr>
      <t xml:space="preserve"> при температуре от 2 до 8 °С.
</t>
    </r>
    <r>
      <rPr>
        <rFont val="Arial"/>
        <i/>
        <color theme="1"/>
      </rPr>
      <t>Растворитель:</t>
    </r>
    <r>
      <rPr>
        <rFont val="Arial"/>
        <color theme="1"/>
      </rPr>
      <t xml:space="preserve"> при температуре от 2 до 25 °С. Не замораживать.
</t>
    </r>
    <r>
      <rPr>
        <rFont val="Arial"/>
        <i/>
        <color theme="1"/>
      </rPr>
      <t>Комплект (лиофилизат, растворитель):</t>
    </r>
    <r>
      <rPr>
        <rFont val="Arial"/>
        <color theme="1"/>
      </rPr>
      <t xml:space="preserve"> при температуре от 2 до 8 °С. Не замораживать.
Растворенная вакцина используется немедленно и хранению не подлежит.
Условия транспортирования совпадают с условиями хранения.</t>
    </r>
  </si>
  <si>
    <r>
      <rPr>
        <rFont val="Arial"/>
        <i/>
        <color theme="1"/>
      </rPr>
      <t>&lt;p&gt;&lt;i&gt;Лиофилизат:&lt;/i&gt;</t>
    </r>
    <r>
      <rPr>
        <rFont val="Arial"/>
        <color theme="1"/>
      </rPr>
      <t xml:space="preserve"> при температуре от 2 до 8&amp;nbsp;°С.&lt;br&gt;
</t>
    </r>
    <r>
      <rPr>
        <rFont val="Arial"/>
        <i/>
        <color theme="1"/>
      </rPr>
      <t>&lt;i&gt;Растворитель:&lt;/i&gt;</t>
    </r>
    <r>
      <rPr>
        <rFont val="Arial"/>
        <color theme="1"/>
      </rPr>
      <t xml:space="preserve"> при температуре от 2 до 25&amp;nbsp;°С. Не замораживать.&lt;br&gt;
</t>
    </r>
    <r>
      <rPr>
        <rFont val="Arial"/>
        <i/>
        <color theme="1"/>
      </rPr>
      <t>&lt;i&gt;Комплект (лиофилизат, растворитель):</t>
    </r>
    <r>
      <rPr>
        <rFont val="Arial"/>
        <color theme="1"/>
      </rPr>
      <t>&lt;/i&gt; при температуре от 2 до 8&amp;nbsp;°С. Не замораживать.&lt;br&gt;
Растворенная вакцина используется немедленно и хранению не подлежит.&lt;br&gt;&lt;br&gt;
Условия транспортирования совпадают с условиями хранения.&lt;/p&gt;</t>
    </r>
  </si>
  <si>
    <t>https://grls.rosminzdrav.ru/InstrImg/2024/07/03/1506398/bc519198-0065-401b-bdb6-2870fdd2b38b.pdf</t>
  </si>
  <si>
    <t>Хранить в холодильнике (2–8 °C). Не замораживать.
Превенар 13 стабилен при хранении при температуре ниже 25 °С в течение 4 дней. По окончании указанного периода Превенар 13 необходимо использовать или утилизировать.</t>
  </si>
  <si>
    <t>&lt;p&gt;Хранить в холодильнике (2–8&amp;nbsp;°C). Не замораживать.&lt;br&gt;
Превенар&amp;nbsp;13 стабилен при хранении при температуре ниже 25&amp;nbsp;°С в течение 4&amp;nbsp;дней. По окончании указанного периода Превенар&amp;nbsp;13 необходимо использовать или утилизировать.&lt;/p&gt;</t>
  </si>
  <si>
    <t>https://grls.rosminzdrav.ru/InstrImg/2024/01/18/1500987/32f92d37-c82c-4804-8028-d7628056f1f5.pdf</t>
  </si>
  <si>
    <r>
      <rPr>
        <rFont val="Arial"/>
        <color theme="1"/>
      </rPr>
      <t xml:space="preserve">Хранить при температуре от 2 до 8 °C в защищенном от света месте. Не замораживать.
Хранить в недоступном Для детей месте.
</t>
    </r>
    <r>
      <rPr>
        <rFont val="Arial"/>
        <i/>
        <color theme="1"/>
      </rPr>
      <t>Условия транспортирования:</t>
    </r>
    <r>
      <rPr>
        <rFont val="Arial"/>
        <color theme="1"/>
      </rPr>
      <t xml:space="preserve">
При температуре от 2 до 8 °С в защищенном от света месте. Не замораживать.</t>
    </r>
  </si>
  <si>
    <t>&lt;p&gt;Хранить при температуре от 2 до 8&amp;nbsp;°C в защищенном от света месте. Не замораживать.&lt;br&gt;
Хранить в недоступном Для детей месте.&lt;br&gt;&lt;br&gt;
&lt;i&gt;Условия транспортирования:&lt;/i&gt;&lt;br&gt;
При температуре от 2 до 8&amp;nbsp;°С в защищенном от света месте. Не замораживать.&lt;/p&gt;</t>
  </si>
  <si>
    <t>Хранить при температуре от 2 до 8 °С в защищенном от света месте.
Хранить в недоступном для детей месте.</t>
  </si>
  <si>
    <t>&lt;p&gt;Хранить при температуре от 2 до 8&amp;nbsp;°С в защищенном от света месте.&lt;br&gt;
Хранить в недоступном для детей месте.&lt;/p&gt;</t>
  </si>
  <si>
    <t>https://grls.rosminzdrav.ru/InstrImg/2023/09/12/1497054/2bbe6e62-f63e-4bf6-a4cf-9559c0e35dfb.pdf</t>
  </si>
  <si>
    <r>
      <rPr>
        <rFont val="Arial"/>
        <color theme="1"/>
      </rPr>
      <t xml:space="preserve">В соответствии с СанПин 3.3686-21 вакцина хранится: на 1 и 2 уровнях «холодовой цепи» — при температуре минус 20 °С или при температуре от 2 до 8 °C включительно. На 3-м и 4-м уровнях «холодовой цепи» вакцину хранят при температуре от 2 до 8 °C включительно.
Хранить в недоступном для детей месте.
</t>
    </r>
    <r>
      <rPr>
        <rFont val="Arial"/>
        <i/>
        <color theme="1"/>
      </rPr>
      <t>Условия транспортирования:</t>
    </r>
    <r>
      <rPr>
        <rFont val="Arial"/>
        <color theme="1"/>
      </rPr>
      <t xml:space="preserve">
В соответствии с СанПин 3.3686-21 при температуре от 2 до 8 °C включительно. Возможно транспортирование на 1 и 2 уровнях «холодовой цепи» в пределах от минус 20 до 8 °C включительно. Допускается повторное ее замораживание до минус 20 °C и ниже (на 2 уровне «холодовой цепи»).</t>
    </r>
  </si>
  <si>
    <t>&lt;p&gt;В соответствии с СанПин 3.3686-21 вакцина хранится: на 1 и 2&amp;nbsp;уровнях «холодовой цепи» — при температуре минус 20&amp;nbsp;°С или при температуре от 2 до 8&amp;nbsp;°C включительно. На 3-м и 4-м уровнях «холодовой цепи» вакцину хранят при температуре от 2 до 8&amp;nbsp;°C включительно.&lt;br&gt;
Хранить в недоступном для детей месте.&lt;br&gt;&lt;br&gt;
&lt;i&gt;Условия транспортирования:&lt;/i&gt;&lt;br&gt;
В соответствии с СанПин 3.3686-21 при температуре от 2 до 8&amp;nbsp;°C включительно. Возможно транспортирование на 1 и 2&amp;nbsp;уровнях «холодовой цепи» в пределах от минус 20 до 8&amp;nbsp;°C включительно. Допускается повторное ее замораживание до минус 20&amp;nbsp;°C и ниже (на 2&amp;nbsp;уровне «холодовой цепи»).&lt;/p&gt;</t>
  </si>
  <si>
    <t>https://grls.rosminzdrav.ru/InstrImg/2022/07/11/1482961/bd6fe224-8595-4d96-862b-ce5eb5a6fbf4.pdf</t>
  </si>
  <si>
    <r>
      <rPr>
        <rFont val="Arial"/>
        <color theme="1"/>
      </rPr>
      <t xml:space="preserve">Вакцина хранится: на 1 и 2 уровнях «холодовой цепи» — при температуре минус 20 °С и ниже или при температуре от 2 до 8 °С включительно. На 3-м и 4-м уровнях «холодовой цепи» вакцину хранят при температуре от 2 до 8 °С включительно.
Хранить в недоступном для детей месте.
Неиспользованная вакцина из вскрытого флакона может храниться не более 2-х суток при температуре от 2 до 8 °С во флаконе, плотно закрытом капельницей или резиновой пробкой. Препарат во флаконе с нарушенной целостностью, маркировкой, а также при изменении его физических свойств (цвета, прозрачности и др.), при истекшем сроке годности, при нарушении условий транспортирования и хранения не пригоден к применению.
</t>
    </r>
    <r>
      <rPr>
        <rFont val="Arial"/>
        <i/>
        <color theme="1"/>
      </rPr>
      <t>Условия транспортирования:</t>
    </r>
    <r>
      <rPr>
        <rFont val="Arial"/>
        <color theme="1"/>
      </rPr>
      <t xml:space="preserve">
При температуре от 2 до 8 °С включительно. Возможно транспортирование на 1 и 2 уровнях «холодовой цепи» в пределах от минус 20 °С до 8 °С включительно. При транспортировании вакцины в пределах от минус 20 °С до 8 °С включительно допускается повторное ее замораживание до минус 20 °С и ниже (на 2 уровне «холодовой цепи»).</t>
    </r>
  </si>
  <si>
    <r>
      <rPr>
        <rFont val="Arial"/>
        <color theme="1"/>
      </rPr>
      <t xml:space="preserve">&lt;p&gt;Вакцина хранится: на 1 и 2&amp;nbsp;уровнях «холодовой цепи» — при температуре минус 20&amp;nbsp;°С и ниже или при температуре от 2 до 8&amp;nbsp;°С включительно. На 3-м и 4-м&amp;nbsp;уровнях «холодовой цепи» вакцину хранят при температуре от 2 до 8&amp;nbsp;°С включительно.&lt;br&gt;
Хранить в недоступном для детей месте.&lt;br&gt;
Неиспользованная вакцина из вскрытого флакона может храниться не более 2-х&amp;nbsp;суток при температуре от 2 до 8&amp;nbsp;°С во флаконе, плотно закрытом капельницей или резиновой пробкой. Препарат во флаконе с нарушенной целостностью, маркировкой, а также при изменении его физических свойств (цвета, прозрачности и др.), при истекшем сроке годности, при нарушении условий транспортирования и хранения не пригоден к применению.&lt;br&gt;&lt;br&gt;
</t>
    </r>
    <r>
      <rPr>
        <rFont val="Arial"/>
        <i/>
        <color theme="1"/>
      </rPr>
      <t>&lt;i&gt;Условия транспортирования:</t>
    </r>
    <r>
      <rPr>
        <rFont val="Arial"/>
        <color theme="1"/>
      </rPr>
      <t>&lt;/i&gt;&lt;br&gt;
При температуре от 2 до 8&amp;nbsp;°С включительно. Возможно транспортирование на 1 и 2&amp;nbsp;уровнях «холодовой цепи» в пределах от минус 20&amp;nbsp;°С до 8&amp;nbsp;°С включительно. При транспортировании вакцины в пределах от минус 20&amp;nbsp;°С до 8&amp;nbsp;°С включительно допускается повторное ее замораживание до минус 20&amp;nbsp;°С и ниже (на 2&amp;nbsp;уровне «холодовой цепи»).&lt;/p&gt;</t>
    </r>
  </si>
  <si>
    <r>
      <rPr>
        <rFont val="Arial"/>
        <color theme="1"/>
      </rPr>
      <t xml:space="preserve">В защищенном от света месте при температуре от 2 до 8 °С.
Не замораживать.
Хранить в недоступном для детей месте.
Препарат, подвергшийся замораживанию, подлежит уничтожению.
Вакцина ПОЛИМИЛЕКС® из многодозового флакона может использоваться в течение рабочего дня в соответствии с инструкцией по ее применению при соблюдении следующих условий:
• забор каждой дозы вакцины из флакона осуществляется с соблюдением правил асептики;
• вскрытый флакон хранится при температуре от 2 до 8 °С.
</t>
    </r>
    <r>
      <rPr>
        <rFont val="Arial"/>
        <i/>
        <color theme="1"/>
      </rPr>
      <t>Условия транспортирования:</t>
    </r>
    <r>
      <rPr>
        <rFont val="Arial"/>
        <color theme="1"/>
      </rPr>
      <t xml:space="preserve">
При температуре от 2 до 8 °С в защищенном от света месте. Не замораживать.
Препарат, подвергшийся замораживанию, подлежит уничтожить.</t>
    </r>
  </si>
  <si>
    <t>&lt;p&gt;В защищенном от света месте при температуре от 2 до 8&amp;nbsp;°С.&lt;br&gt;
Не замораживать.&lt;br&gt;
Хранить в недоступном для детей месте.&lt;br&gt;
Препарат, подвергшийся замораживанию, подлежит уничтожению.&lt;br&gt;
Вакцина ПОЛИМИЛЕКС® из многодозового флакона может использоваться в течение рабочего дня в соответствии с инструкцией по ее применению при соблюдении следующих условий:
&lt;ul&gt;&lt;li&gt;забор каждой дозы вакцины из флакона осуществляется с соблюдением правил асептики;&lt;/li&gt;
&lt;li&gt;вскрытый флакон хранится при температуре от 2 до 8&amp;nbsp;°С.&lt;/li&gt;&lt;/ul&gt;&lt;br&gt;&lt;br&gt;
&lt;i&gt;Условия транспортирования:&lt;/i&gt;&lt;br&gt;
При температуре от 2 до 8&amp;nbsp;°С в защищенном от света месте. Не замораживать.&lt;br&gt;
Препарат, подвергшийся замораживанию, подлежит уничтожить.&lt;/p&gt;</t>
  </si>
  <si>
    <r>
      <rPr>
        <rFont val="Arial"/>
        <color theme="1"/>
      </rPr>
      <t xml:space="preserve">Хранить при температуре от 2 до 8 °С.
Хранение растворенной вакцины более 5 мин не допускается.
</t>
    </r>
    <r>
      <rPr>
        <rFont val="Arial"/>
        <i/>
        <color theme="1"/>
      </rPr>
      <t>Условия транспортирования:</t>
    </r>
    <r>
      <rPr>
        <rFont val="Arial"/>
        <color theme="1"/>
      </rPr>
      <t xml:space="preserve">
При температуре от 2 до 8 °С. Допускается транспортирование при температуре до 25 °С не более 2-х суток.</t>
    </r>
  </si>
  <si>
    <t>&lt;p&gt;Хранить при температуре от 2 до 8&amp;nbsp;°С.&lt;br&gt;
Хранение растворенной вакцины более 5&amp;nbsp;мин не допускается.&lt;br&gt;&lt;br&gt;
&lt;i&gt;Условия транспортирования:&lt;/i&gt;&lt;br&gt;
При температуре от 2 до 8&amp;nbsp;°С. Допускается транспортирование при температуре до 25&amp;nbsp;°С не более 2-х&amp;nbsp;суток.&lt;/p&gt;</t>
  </si>
  <si>
    <t>https://grls.rosminzdrav.ru/InstrImg/2024/12/19/1512111/eb092f80-f74e-4698-a788-b219b85710ef.pdf</t>
  </si>
  <si>
    <r>
      <rPr>
        <rFont val="Arial"/>
        <color theme="1"/>
      </rPr>
      <t xml:space="preserve">Хранить при температуре от 2 до 8 °С включительно.
Хранить в недоступном для детей месте.
</t>
    </r>
    <r>
      <rPr>
        <rFont val="Arial"/>
        <i/>
        <color theme="1"/>
      </rPr>
      <t>Условия транспортирования:</t>
    </r>
    <r>
      <rPr>
        <rFont val="Arial"/>
        <color theme="1"/>
      </rPr>
      <t xml:space="preserve">
В соответствии с СанПин 3.3686-21 при температуре от 2 до 8 °С включительно.</t>
    </r>
  </si>
  <si>
    <t>&lt;p&gt;Хранить при температуре от 2 до 8&amp;nbsp;°С включительно.&lt;br&gt;
Хранить в недоступном для детей месте.&lt;br&gt;&lt;br&gt;
&lt;i&gt;Условия транспортирования:&lt;/i&gt;&lt;br&gt;
В соответствии с СанПин 3.3686-21 при температуре от 2 до 8&amp;nbsp;°С включительно.&lt;/p&gt;</t>
  </si>
  <si>
    <r>
      <rPr>
        <rFont val="Arial"/>
        <color theme="1"/>
      </rPr>
      <t xml:space="preserve">Вакцину хранят в соответствии с СП 3.3.2.1248-03 при температуре от 2 до 8 °C в недоступном для детей месте.
</t>
    </r>
    <r>
      <rPr>
        <rFont val="Arial"/>
        <i/>
        <color theme="1"/>
      </rPr>
      <t>Условия транспортирования:</t>
    </r>
    <r>
      <rPr>
        <rFont val="Arial"/>
        <color theme="1"/>
      </rPr>
      <t xml:space="preserve">
Вакцину транспортируют в соответствии с СП 3.3.2.1248-03 при температуре от 2 до 8 °С. Допускается транспортирование при температуре до 25 °С не более 2-х суток.</t>
    </r>
  </si>
  <si>
    <t>&lt;p&gt;Вакцину хранят в соответствии с СП&amp;nbsp;3.3.2.1248-03 при температуре от 2 до 8&amp;nbsp;°C в недоступном для детей месте.&lt;br&gt;&lt;br&gt;
&lt;i&gt;Условия транспортирования:&lt;/i&gt;&lt;br&gt;
Вакцину транспортируют в соответствии с СП 3.3.2.1248-03 при температуре от 2 до 8&amp;nbsp;°С. Допускается транспортирование при температуре до 25&amp;nbsp;°С не более 2-х&amp;nbsp;суток.&lt;/p&gt;</t>
  </si>
  <si>
    <r>
      <rPr>
        <rFont val="Arial"/>
        <i/>
        <color theme="1"/>
      </rPr>
      <t>Лиофилизат:</t>
    </r>
    <r>
      <rPr>
        <rFont val="Arial"/>
        <color theme="1"/>
      </rPr>
      <t xml:space="preserve"> при температуре от 2 до 8 °С.
</t>
    </r>
    <r>
      <rPr>
        <rFont val="Arial"/>
        <i/>
        <color theme="1"/>
      </rPr>
      <t>Растворитель:</t>
    </r>
    <r>
      <rPr>
        <rFont val="Arial"/>
        <color theme="1"/>
      </rPr>
      <t xml:space="preserve"> при температуре от 2 до 25 °С. Не замораживать.
</t>
    </r>
    <r>
      <rPr>
        <rFont val="Arial"/>
        <i/>
        <color theme="1"/>
      </rPr>
      <t>Комплект (лиофилизат, растворитель):</t>
    </r>
    <r>
      <rPr>
        <rFont val="Arial"/>
        <color theme="1"/>
      </rPr>
      <t xml:space="preserve"> при температуре от 2 до 8 °С. Не замораживать.
Растворенная вакцина используется немедленно и хранению не подлежит.
Условия транспортирования совпадают с условиями хранения.</t>
    </r>
  </si>
  <si>
    <r>
      <rPr>
        <rFont val="Arial"/>
        <i/>
        <color theme="1"/>
      </rPr>
      <t>&lt;p&gt;&lt;i&gt;Лиофилизат:&lt;/i&gt;</t>
    </r>
    <r>
      <rPr>
        <rFont val="Arial"/>
        <color theme="1"/>
      </rPr>
      <t xml:space="preserve"> при температуре от 2 до 8&amp;nbsp;°С.&lt;br&gt;
</t>
    </r>
    <r>
      <rPr>
        <rFont val="Arial"/>
        <i/>
        <color theme="1"/>
      </rPr>
      <t>&lt;i&gt;Растворитель:&lt;/i&gt;</t>
    </r>
    <r>
      <rPr>
        <rFont val="Arial"/>
        <color theme="1"/>
      </rPr>
      <t xml:space="preserve"> при температуре от 2 до 25&amp;nbsp;°С. Не замораживать.&lt;br&gt;
</t>
    </r>
    <r>
      <rPr>
        <rFont val="Arial"/>
        <i/>
        <color theme="1"/>
      </rPr>
      <t>&lt;i&gt;Комплект (лиофилизат, растворитель):</t>
    </r>
    <r>
      <rPr>
        <rFont val="Arial"/>
        <color theme="1"/>
      </rPr>
      <t>&lt;/i&gt; при температуре от 2 до 8&amp;nbsp;°С. Не замораживать.&lt;br&gt;
Растворенная вакцина используется немедленно и хранению не подлежит.&lt;br&gt;&lt;br&gt;
Условия транспортирования совпадают с условиями хранения.&lt;/p&gt;</t>
    </r>
  </si>
  <si>
    <t>https://grls.rosminzdrav.ru/InstrImg/2024/09/30/1509162/166a6ebe-876b-446c-851f-ece0d4da1ad9.pdf</t>
  </si>
  <si>
    <t>Вакцину транспортируют и хранят при температуре от 2 до 8 °С.
Растворитель транспортируют и хранят при температуре от 5 до 30 °С. Замораживание не допускается.</t>
  </si>
  <si>
    <t>&lt;p&gt;Вакцину транспортируют и хранят при температуре от 2 до 8&amp;nbsp;°С.&lt;/br&gt;
Растворитель транспортируют и хранят при температуре от 5 до 30&amp;nbsp;°С. Замораживание не допускается.&lt;/p&gt;</t>
  </si>
  <si>
    <t>Следует хранить в сухом, защищенном от света месте при температуре от 4 до 8 °C. Не замораживать. Препарат, подвергшийся замораживанию, применению не подлежит.
Хранить в недоступном для детей месте.</t>
  </si>
  <si>
    <t>&lt;p&gt;Следует хранить в сухом, защищенном от света месте при температуре от 4 до 8&amp;nbsp;°C. Не замораживать. Препарат, подвергшийся замораживанию, применению не подлежит.&lt;br&gt;
Хранить в недоступном для детей месте.&lt;/p&gt;</t>
  </si>
  <si>
    <t>При температуре от 2 до 8 °С.
Не замораживать, так как замораживание приводит к потере эффективности вакцины.
Хранить в недоступном для детей месте.</t>
  </si>
  <si>
    <t>&lt;p&gt;При температуре от 2 до 8&amp;nbsp;°С.&lt;br&gt;
Не замораживать, так как замораживание приводит к потере эффективности вакцины.&lt;br&gt;
Хранить в недоступном для детей месте.&lt;/p&gt;</t>
  </si>
  <si>
    <r>
      <rPr>
        <rFont val="Arial"/>
        <color theme="1"/>
      </rPr>
      <t xml:space="preserve">Хранить при температуре от 2 до 8 °C включительно. Замораживание не допускается.
</t>
    </r>
    <r>
      <rPr>
        <rFont val="Arial"/>
        <i/>
        <color theme="1"/>
      </rPr>
      <t>Условия транспортирования:</t>
    </r>
    <r>
      <rPr>
        <rFont val="Arial"/>
        <color theme="1"/>
      </rPr>
      <t xml:space="preserve">
При температуре от 2 до 8 °С включительно. Допускается кратковременное (не более 24 ч) транспортирование при температуре от 9 до 20 °С включительно. Замораживание не допускается.</t>
    </r>
  </si>
  <si>
    <r>
      <rPr>
        <rFont val="Arial"/>
        <color theme="1"/>
      </rPr>
      <t xml:space="preserve">&lt;p&gt;Хранить при температуре от 2 до 8&amp;nbsp;°C включительно. Замораживание не допускается.&lt;br&gt;&lt;br&gt;
</t>
    </r>
    <r>
      <rPr>
        <rFont val="Arial"/>
        <i/>
        <color theme="1"/>
      </rPr>
      <t>&lt;i&gt;Условия транспортирования:&lt;/i&gt;&lt;br&gt;</t>
    </r>
    <r>
      <rPr>
        <rFont val="Arial"/>
        <color theme="1"/>
      </rPr>
      <t xml:space="preserve">
При температуре от 2 до 8&amp;nbsp;°С включительно. Допускается кратковременное (не более 24&amp;nbsp;ч) транспортирование при температуре от 9 до 20&amp;nbsp;°С включительно. Замораживание не допускается.&lt;/p&gt;</t>
    </r>
  </si>
  <si>
    <r>
      <rPr>
        <rFont val="Arial"/>
        <color theme="1"/>
      </rPr>
      <t xml:space="preserve">Хранить при температуре от 2 до 8 °C включительно. Замораживание не допускается.
</t>
    </r>
    <r>
      <rPr>
        <rFont val="Arial"/>
        <i/>
        <color theme="1"/>
      </rPr>
      <t>Условия транспортирования:</t>
    </r>
    <r>
      <rPr>
        <rFont val="Arial"/>
        <color theme="1"/>
      </rPr>
      <t xml:space="preserve">
При температуре от 2 до 8 °С включительно. Допускается кратковременное (не более 24 ч) транспортирование при температуре от 9 до 20 °С включительно. Замораживание не допускается.</t>
    </r>
  </si>
  <si>
    <r>
      <rPr>
        <rFont val="Arial"/>
        <color theme="1"/>
      </rPr>
      <t xml:space="preserve">&lt;p&gt;Хранить при температуре от 2 до 8&amp;nbsp;°C включительно. Замораживание не допускается.&lt;br&gt;&lt;br&gt;
</t>
    </r>
    <r>
      <rPr>
        <rFont val="Arial"/>
        <i/>
        <color theme="1"/>
      </rPr>
      <t>&lt;i&gt;Условия транспортирования:&lt;/i&gt;&lt;br&gt;</t>
    </r>
    <r>
      <rPr>
        <rFont val="Arial"/>
        <color theme="1"/>
      </rPr>
      <t xml:space="preserve">
При температуре от 2 до 8&amp;nbsp;°С включительно. Допускается кратковременное (не более 24&amp;nbsp;ч) транспортирование при температуре от 9 до 20&amp;nbsp;°С включительно. Замораживание не допускается.&lt;/p&gt;</t>
    </r>
  </si>
  <si>
    <t>Хранить при температуре (2-8 °С). Не замораживать.
Препарат вводят сразу после вскрытия ампулы.</t>
  </si>
  <si>
    <t>&lt;p&gt;Хранить при температуре (2-8&amp;nbsp;°С). Не замораживать.&lt;br&gt;
Препарат вводят сразу после вскрытия ампулы.&lt;/p&gt;</t>
  </si>
  <si>
    <t>https://grls.rosminzdrav.ru/InstrImg/2024/08/16/1508014/5da724a9-973e-4af7-ad8f-b948fdbe4484.pdf</t>
  </si>
  <si>
    <t>Хранить в холодильнике (2-8 °С). Не замораживать.
Препарат вводят сразу после вскрытия ампулы.</t>
  </si>
  <si>
    <t>&lt;p&gt;Хранить в холодильнике (2-8&amp;nbsp;°С). Не замораживать.&lt;br&gt;
Препарат вводят сразу после вскрытия ампулы.&lt;/p&gt;</t>
  </si>
  <si>
    <t>https://grls.rosminzdrav.ru/InstrImg/2024/08/26/1508239/28d94c1f-946f-48d3-9708-cc6d7df231fc.pdf</t>
  </si>
  <si>
    <r>
      <rPr>
        <rFont val="Arial"/>
        <color theme="1"/>
      </rPr>
      <t xml:space="preserve">Хранить при температуре от 2 до 8 °С включительно. Замораживание не допускается.
Растворенная в ампуле вакцина хранению не подлежит.
</t>
    </r>
    <r>
      <rPr>
        <rFont val="Arial"/>
        <i/>
        <color theme="1"/>
      </rPr>
      <t>Условия транспортирования:</t>
    </r>
    <r>
      <rPr>
        <rFont val="Arial"/>
        <color theme="1"/>
      </rPr>
      <t xml:space="preserve">
Транспортировать при температуре от 2 до 8 °С включительно.
На дальние расстояния — только авиатранспортом. Допускается транспортирование при температуре от 9 до 25 °С включительно в течение 2-х суток. Замораживание не допускается.</t>
    </r>
  </si>
  <si>
    <t>&lt;p&gt;Хранить при температуре от 2 до 8&amp;nbsp;°С включительно. Замораживание не допускается.&lt;br&gt;
Растворенная в ампуле вакцина хранению не подлежит.&lt;br&gt;&lt;br&gt;
&lt;i&gt;Условия транспортирования:&lt;/i&gt;&lt;br&gt;
Транспортировать при температуре от 2 до 8&amp;nbsp;°С включительно.&lt;br&gt;
На дальние расстояния — только авиатранспортом. Допускается транспортирование при температуре от 9 до 25&amp;nbsp;°С включительно в течение 2-х суток. Замораживание не допускается.&lt;/p&gt;</t>
  </si>
  <si>
    <t>Хранить и перевозить при температуре от 2 до 8 °C.
Не замораживать.
Хранить в защищенном от света месте.
Вакцину Варилрикс следует вводить сразу после восстановления.</t>
  </si>
  <si>
    <t>&lt;p&gt;Хранить и перевозить при температуре от 2 до 8&amp;nbsp;°C.&lt;br&gt;
Не замораживать.&lt;br&gt;
Хранить в защищенном от света месте.&lt;br&gt;
Вакцину Варилрикс следует вводить сразу после восстановления.&lt;/p&gt;</t>
  </si>
  <si>
    <r>
      <rPr>
        <rFont val="Arial"/>
        <color theme="1"/>
      </rPr>
      <t xml:space="preserve">Вариант №1 (раздельный):
Вакцина: Хранить при температуре от 2 до 8 °C включительно.
Растворитель: Хранить при температуре от 2 до 25 °С включительно.
Вариант №2 (совместный):
Хранить при температуре от 2 до 8 °C включительно.
Хранить в недоступном для детей месте.
</t>
    </r>
    <r>
      <rPr>
        <rFont val="Arial"/>
        <i/>
        <color theme="1"/>
      </rPr>
      <t>Условия транспортирования:</t>
    </r>
    <r>
      <rPr>
        <rFont val="Arial"/>
        <color theme="1"/>
      </rPr>
      <t xml:space="preserve">
Вариант №1 (раздельный):
В соответствии с СанПин 3.3686-21 вакцину транспортируют при температуре от 2 до 8 °С включительно.
Растворитель транспортируют при температуре от 2 до 25 °С включительно.
Вариант №2 (совместный):
В соответствии с СанПин 3.3686-21 транспортировать при температуре от 2 до 8 °С включительно.</t>
    </r>
  </si>
  <si>
    <t>&lt;p&gt;Вариант №1 (раздельный):&lt;br&gt;
Вакцина: Хранить при температуре от 2 до 8&amp;nbsp;°C включительно.&lt;br&gt;
Растворитель: Хранить при температуре от 2 до 25&amp;nbsp;°С включительно.&lt;br&gt;&lt;br&gt;
Вариант №2 (совместный):&lt;br&gt;
Хранить при температуре от 2 до 8&amp;nbsp;°C включительно.&lt;br&gt;
Хранить в недоступном для детей месте.&lt;br&gt;&lt;br&gt;
&lt;i&gt;Условия транспортирования:&lt;/i&gt;&lt;br&gt;
Вариант&amp;nbsp;№1 (раздельный):&lt;br&gt;
В соответствии с СанПин 3.3686-21 вакцину транспортируют при температуре от 2 до 8&amp;nbsp;°С включительно.&lt;br&gt;
Растворитель транспортируют при температуре от 2 до 25&amp;nbsp;°С включительно.&lt;br&gt;
Вариант&amp;nbsp;№2 (совместный):&lt;br&gt;
В соответствии с СанПин 3.3686-21 транспортировать при температуре от 2 до 8&amp;nbsp;°С включительно.&lt;/p&gt;</t>
  </si>
  <si>
    <r>
      <rPr>
        <rFont val="Arial"/>
        <color theme="1"/>
      </rPr>
      <t xml:space="preserve">Хранить при температуре от 2 до 8 °С.
Разведенная вакцина может быть использована в течение 2 ч.
</t>
    </r>
    <r>
      <rPr>
        <rFont val="Arial"/>
        <i/>
        <color theme="1"/>
      </rPr>
      <t>Условия транспортирования:</t>
    </r>
    <r>
      <rPr>
        <rFont val="Arial"/>
        <color theme="1"/>
      </rPr>
      <t xml:space="preserve">
При температуре от 2 до 8 °С.</t>
    </r>
  </si>
  <si>
    <t>&lt;p&gt;Хранить при температуре от 2 до 8&amp;nbsp;°С.&lt;br&gt;
Разведенная вакцина может быть использована в течение 2&amp;nbsp;ч.&lt;br&gt;&lt;br&gt;
&lt;i&gt;Условия транспортирования:&lt;/i&gt;&lt;br&gt;
При температуре от 2 до 8&amp;nbsp;°С.&lt;/p&gt;</t>
  </si>
  <si>
    <t>https://grls.rosminzdrav.ru/InstrImg/2024/10/15/1509551/1a898738-6a53-4ed9-91c3-69012260bf5e.pdf</t>
  </si>
  <si>
    <t>При температуре от 2 до 8 °C в соответствии с СП 3.3.2.3332-16.
Хранить в недоступном для детей месте.</t>
  </si>
  <si>
    <t>&lt;p&gt;При температуре от 2 до 8&amp;nbsp;°C в соответствии с СП&amp;nbsp;3.3.2.3332-16.&lt;br&gt;
Хранить в недоступном для детей месте.&lt;/p&gt;</t>
  </si>
  <si>
    <t>Хранят в соответствии с СП 3.3.2.1248-03 при температуре от 0 до 8 °C в недоступном для детей месте.
Транспортируют в соответствии с СП 3.3.2.1248-03 при температуре от 0 до 8 °C.</t>
  </si>
  <si>
    <t>&lt;p&gt;Хранят в соответствии с СП&amp;nbsp;3.3.2.1248-03 при температуре от 0 до 8&amp;nbsp;°C в недоступном для детей месте.&lt;br&gt;&lt;br&gt;
Транспортируют в соответствии с СП 3.3.2.1248-03 при температуре от 0 до 8&amp;nbsp;°C.&lt;/p&gt;</t>
  </si>
  <si>
    <t>Хранят в соответствии с СП 3.3.2.1248-03 при температуре от 0 до 8 °C, в недоступном для детей месте.
Транспортируют в соответствии с СП 3.3.2.1248-03 при температуре от 0 до 8 °C.</t>
  </si>
  <si>
    <t>&lt;p&gt;Хранят в соответствии с СП&amp;nbsp;3.3.2.1248-03 при температуре от 0 до 8&amp;nbsp;°C, в недоступном для детей месте.&lt;br&gt;&lt;br&gt;
Транспортируют в соответствии с СП 3.3.2.1248-03 при температуре от 0 до 8&amp;nbsp;°C.&lt;/p&gt;</t>
  </si>
  <si>
    <r>
      <rPr>
        <rFont val="Arial"/>
        <color theme="1"/>
      </rPr>
      <t xml:space="preserve">В соответствии с СП 3.3.2.3332-16 при температуре от 2 до 8 °C в недоступном для детей месте.
</t>
    </r>
    <r>
      <rPr>
        <rFont val="Arial"/>
        <i/>
        <color theme="1"/>
      </rPr>
      <t xml:space="preserve">Условия транспортирования:
</t>
    </r>
    <r>
      <rPr>
        <rFont val="Arial"/>
        <color theme="1"/>
      </rPr>
      <t>В соответствии с СП 3.3.2.3332-16 при температуре от 2 до 8 °C.</t>
    </r>
  </si>
  <si>
    <t>&lt;p&gt;В соответствии с СП&amp;nbsp;3.3.2.3332-16 при температуре от 2 до 8&amp;nbsp;°C в недоступном для детей месте.&lt;br&gt;&lt;br&gt;
&lt;i&gt;Условия транспортирования:&lt;/i&gt;&lt;br&gt;
В соответствии с СП 3.3.2.3332-16 при температуре от 2 до 8&amp;nbsp;°C.&lt;/p&gt;</t>
  </si>
  <si>
    <t>Хранят в соответствии СП 3.3.2.1248-03 при температуре от 2 до 8 °C в недоступном для детей месте.</t>
  </si>
  <si>
    <t>&lt;p&gt;Хранят в соответствии СП&amp;nbsp;3.3.2.1248-03 при температуре от 2 до 8&amp;nbsp;°C в недоступном для детей месте.&lt;/p&gt;</t>
  </si>
  <si>
    <r>
      <rPr>
        <rFont val="Arial"/>
        <color theme="1"/>
      </rPr>
      <t xml:space="preserve">Хранить при температуре от 2 до 8 °С.
Разведенная вакцина, сохраняемая с соблюдением правил асептики, может быть использована в течение 2 ч.
</t>
    </r>
    <r>
      <rPr>
        <rFont val="Arial"/>
        <i/>
        <color theme="1"/>
      </rPr>
      <t>Условия транспортирования:</t>
    </r>
    <r>
      <rPr>
        <rFont val="Arial"/>
        <color theme="1"/>
      </rPr>
      <t xml:space="preserve">
В соответствии с СанПин 3.3686-21 при температуре от 2 до 8 °С.</t>
    </r>
  </si>
  <si>
    <t>&lt;p&gt;Хранить при температуре от 2 до 8&amp;nbsp;°С.&lt;br&gt;
Разведенная вакцина, сохраняемая с соблюдением правил асептики, может быть использована в течение 2&amp;nbsp;ч.&lt;br&gt;&lt;br&gt;
&lt;i&gt;Условия транспортирования:&lt;/i&gt;
В соответствии с СанПин 3.3686-21 при температуре от 2 до 8&amp;nbsp;°С.&lt;/p&gt;</t>
  </si>
  <si>
    <t>Хранят в соответствии с СП 3.3.2.3332-16 при температуре от 2 до 8 °C в недоступном для детей месте.
Транспортируют в соответствии с СП 3.3.2.3332-16 при температуре от 2 до 8 °C. Допускается транспортирование в течение 20 сут при температуре не выше 25 °C.</t>
  </si>
  <si>
    <t>&lt;p&gt;Хранят в соответствии с СП 3.3.2.3332-16 при температуре от 2 до 8&amp;nbsp;°C в недоступном для детей месте.&lt;br&gt;&lt;br&gt;
Транспортируют в соответствии с СП 3.3.2.3332-16 при температуре от 2 до 8&amp;nbsp;°C. Допускается транспортирование в течение 20&amp;nbsp;сут при температуре не выше 25&amp;nbsp;°C.&lt;/p&gt;</t>
  </si>
  <si>
    <t>Хранят в соответствии с СП 3.3.2.1248-03 при температуре от 0 до 8 °С в недоступном для детей месте.</t>
  </si>
  <si>
    <t>&lt;p&gt;Хранят в соответствии с СП&amp;nbsp;3.3.2.1248-03 при температуре от 0 до 8&amp;nbsp;°С в недоступном для детей месте.&lt;/p&gt;</t>
  </si>
  <si>
    <r>
      <rPr>
        <rFont val="Arial"/>
        <color theme="1"/>
      </rPr>
      <t xml:space="preserve">При температуре от 2 до 8 °С, в защищенном от света месте. Не замораживать.
Хранить в недоступном для детей месте!
</t>
    </r>
    <r>
      <rPr>
        <rFont val="Arial"/>
        <i/>
        <color theme="1"/>
      </rPr>
      <t>Условия транспортирования:</t>
    </r>
    <r>
      <rPr>
        <rFont val="Arial"/>
        <color theme="1"/>
      </rPr>
      <t xml:space="preserve">
При температуре от 2 до 8 °С, в защищенном от света месте. Не замораживать.</t>
    </r>
  </si>
  <si>
    <t>&lt;p&gt;При температуре от 2 до 8&amp;nbsp;°С, в защищенном от света месте. Не замораживать.&lt;br&gt;
Хранить в недоступном для детей месте!&lt;br&gt;&lt;br&gt;
&lt;i&gt;Условия транспортирования:&lt;/i&gt;&lt;br&gt;
При температуре от 2 до 8&amp;nbsp;°С, в защищенном от света месте. Не замораживать.&lt;/p&gt;</t>
  </si>
  <si>
    <t>Вакцину транспортируют и хранят в соответствии с СП 3.3.2.3332-16 «Условия транспортирования и хранения иммунобиологических лекарственных препаратов» при температуре от 2 до 8 °C. Не замораживать. Хранить в недоступном для детей месте.</t>
  </si>
  <si>
    <t>&lt;p&gt;Вакцину транспортируют и хранят в соответствии с СП&amp;nbsp;3.3.2.3332-16 «Условия транспортирования и хранения иммунобиологических лекарственных препаратов» при температуре от 2 до 8&amp;nbsp;°C. Не замораживать. Хранить в недоступном для детей месте.&lt;/p&gt;</t>
  </si>
  <si>
    <r>
      <rPr>
        <rFont val="Arial"/>
        <color theme="1"/>
      </rPr>
      <t xml:space="preserve">При температуре от 2 до 8 °С. Не замораживать. Хранить в недоступном для детей месте.
Восстановленная вакцина годна к употреблению в течение 30 мин при хранении под стерильной салфеткой при комнатной температуре и на протяжении 60 мин при хранении при температуре от 2 до 8 °С.
</t>
    </r>
    <r>
      <rPr>
        <rFont val="Arial"/>
        <i/>
        <color theme="1"/>
      </rPr>
      <t>Условия транспортирования:</t>
    </r>
    <r>
      <rPr>
        <rFont val="Arial"/>
        <color theme="1"/>
      </rPr>
      <t xml:space="preserve">
При температуре от 2 до 8 °С. Не замораживать.</t>
    </r>
  </si>
  <si>
    <t>&lt;p&gt;При температуре от 2 до 8&amp;nbsp;°С. Не замораживать. Хранить в недоступном для детей месте.&lt;br&gt;
Восстановленная вакцина годна к употреблению в течение 30&amp;nbsp;мин при хранении под стерильной салфеткой при комнатной температуре и на протяжении 60&amp;nbsp;мин при хранении при температуре от 2 до 8&amp;nbsp;°С.&lt;br&gt;&lt;br&gt;
&lt;i&gt;Условия транспортирования:&lt;/i&gt;&lt;br&gt;
При температуре от 2 до 8&amp;nbsp;°С. Не замораживать.&lt;/p&gt;</t>
  </si>
  <si>
    <r>
      <rPr>
        <rFont val="Arial"/>
        <color theme="1"/>
      </rPr>
      <t xml:space="preserve">В соответствии с СанПин 3.3686-21, при температуре от 2 до 8 °С. Хранить в местах, недоступных для детей.
</t>
    </r>
    <r>
      <rPr>
        <rFont val="Arial"/>
        <i/>
        <color theme="1"/>
      </rPr>
      <t>Условия транспортирования:</t>
    </r>
    <r>
      <rPr>
        <rFont val="Arial"/>
        <color theme="1"/>
      </rPr>
      <t xml:space="preserve">
В соответствии с СанПин 3.3686-21 при температуре от 2 до 8 °С.</t>
    </r>
  </si>
  <si>
    <t>&lt;p&gt;В соответствии с СанПин 3.3686-21, при температуре от 2 до 8&amp;nbsp;°С. Хранить в местах, недоступных для детей.&lt;br&gt;&lt;br&gt;
&lt;i&gt;Условия транспортирования:&lt;/i&gt;&lt;br&gt;
В соответствии с СанПин 3.3686-21 при температуре от 2 до 8&amp;nbsp;°С.&lt;/p&gt;</t>
  </si>
  <si>
    <t>Хранить при температуре от 2 до 8 °C.
Не замораживать.
Препарат из вскрытой ампулы должен быть использован немедленно.</t>
  </si>
  <si>
    <t>&lt;p&gt;Хранить при температуре от 2 до 8&amp;nbsp;°C.&lt;br&gt;
Не замораживать.&lt;br&gt;&lt;br&gt;
Препарат из вскрытой ампулы должен быть использован немедленно.&lt;/p&gt;</t>
  </si>
  <si>
    <r>
      <rPr>
        <rFont val="Arial"/>
        <color theme="1"/>
      </rPr>
      <t xml:space="preserve">При температуре от 2 до 8 °C в соответствии с СП 3.3.2.3332-16. Хранить в недоступном для детей месте.
</t>
    </r>
    <r>
      <rPr>
        <rFont val="Arial"/>
        <i/>
        <color theme="1"/>
      </rPr>
      <t>Условия транспортирования:</t>
    </r>
    <r>
      <rPr>
        <rFont val="Arial"/>
        <color theme="1"/>
      </rPr>
      <t xml:space="preserve">
При температуре от 2 до 8 °С в соответствии с СП 3.3.2.3332-16.</t>
    </r>
  </si>
  <si>
    <t>&lt;p&gt;При температуре от 2 до 8&amp;nbsp;°C в соответствии с СП&amp;nbsp;3.3.2.3332-16. Хранить в недоступном для детей месте.&lt;br&gt;&lt;br&gt;
&lt;i&gt;Условия транспортирования:&lt;/i&gt;&lt;br&gt;
При температуре от 2 до 8&amp;nbsp;°С в соответствии с СП&amp;nbsp;3.3.2.3332-16.&lt;/p.</t>
  </si>
  <si>
    <t>Хранить при температуре от 2 до 8 °C.
Не замораживать.
Препарат из вскрытой ампулы должен быть использован немедленно.</t>
  </si>
  <si>
    <t>&lt;p&gt;Хранить при температуре от 2 до 8&amp;nbsp;°C.&lt;br&gt;
Не замораживать.&lt;br&gt;
Препарат из вскрытой ампулы должен быть использован немедленно.&lt;/p&gt;</t>
  </si>
  <si>
    <r>
      <rPr>
        <rFont val="Arial"/>
        <color theme="1"/>
      </rPr>
      <t xml:space="preserve">Хранить при температуре от 2 до 8 °С включительно. Замораживание не допускается.
Хранить в недоступном для детей месте.
</t>
    </r>
    <r>
      <rPr>
        <rFont val="Arial"/>
        <i/>
        <color theme="1"/>
      </rPr>
      <t>Условия транспортирования:</t>
    </r>
    <r>
      <rPr>
        <rFont val="Arial"/>
        <color theme="1"/>
      </rPr>
      <t xml:space="preserve">
В соответствии с СП 3.3.2.3332-16 При температуре от 2 до 8 °С включительно. Замораживание не допускается.</t>
    </r>
  </si>
  <si>
    <t>&lt;p&gt;Хранить при температуре от 2 до 8&amp;nbsp;°С включительно. Замораживание не допускается.&lt;br&gt;
Хранить в недоступном для детей месте.&lt;br&gt;&lt;br&gt;
&lt;i&gt;Условия транспортирования:&lt;/i&gt;&lt;br&gt;
В соответствии с СП&amp;nbsp;3.3.2.3332-16 При температуре от 2 до 8&amp;nbsp;°С включительно. Замораживание не допускается.&lt;/p&gt;</t>
  </si>
  <si>
    <r>
      <rPr>
        <rFont val="Arial"/>
        <i/>
        <color theme="1"/>
      </rPr>
      <t>Замороженный лекарственный препарат</t>
    </r>
    <r>
      <rPr>
        <rFont val="Arial"/>
        <color theme="1"/>
      </rPr>
      <t xml:space="preserve">
Хранить в защищенном от света месте, при температуре не выше минус 18 °С. Повторное замораживание не допускается.
Хранить в недоступном для детей месте.
</t>
    </r>
    <r>
      <rPr>
        <rFont val="Arial"/>
        <i/>
        <color theme="1"/>
      </rPr>
      <t>Жидкий лекарственный препарат</t>
    </r>
    <r>
      <rPr>
        <rFont val="Arial"/>
        <color theme="1"/>
      </rPr>
      <t xml:space="preserve">
Хранить в защищенном от света месте, при температуре от 2 до 8 °С. Не замораживать.
Хранить в недоступном для детей месте.
</t>
    </r>
    <r>
      <rPr>
        <rFont val="Arial"/>
        <i/>
        <color theme="1"/>
      </rPr>
      <t>Условия транспортирования:</t>
    </r>
    <r>
      <rPr>
        <rFont val="Arial"/>
        <color theme="1"/>
      </rPr>
      <t xml:space="preserve">
</t>
    </r>
    <r>
      <rPr>
        <rFont val="Arial"/>
        <i/>
        <color theme="1"/>
      </rPr>
      <t>Замороженный лекарственный препарат</t>
    </r>
    <r>
      <rPr>
        <rFont val="Arial"/>
        <color theme="1"/>
      </rPr>
      <t xml:space="preserve">
Транспортирование лекарственного препарата при температуре не выше минус 18 °С.
</t>
    </r>
    <r>
      <rPr>
        <rFont val="Arial"/>
        <i/>
        <color theme="1"/>
      </rPr>
      <t>Жидкий лекарственный препарат</t>
    </r>
    <r>
      <rPr>
        <rFont val="Arial"/>
        <color theme="1"/>
      </rPr>
      <t xml:space="preserve">
Транспортирование лекарственного препарата при температуре от 2 до 8 °С. Не замораживать.
Условия хранения после размораживания и первого вскрытия лекарственного препарата см. в разделе 6.3.
</t>
    </r>
    <r>
      <rPr>
        <rFont val="Arial"/>
        <b/>
        <color theme="1"/>
      </rPr>
      <t>6.3. Срок годности (срок хранения)</t>
    </r>
    <r>
      <rPr>
        <rFont val="Arial"/>
        <color theme="1"/>
      </rPr>
      <t xml:space="preserve">
Невскрытый флакон или ампула
[...]
</t>
    </r>
    <r>
      <rPr>
        <rFont val="Arial"/>
        <i/>
        <color theme="1"/>
      </rPr>
      <t>После размораживания</t>
    </r>
    <r>
      <rPr>
        <rFont val="Arial"/>
        <color theme="1"/>
      </rPr>
      <t xml:space="preserve">
Производственная площадка ОАО «Фармстандарт-УфаВИТА», Россия (из ФС АО «БИОКАД», Россия)
Суммарное время хранения размороженного раствора при комнатной температуре не должно превышать 2 часов.
Повторное замораживание флакона или ампулы с раствором не допускается!
Производственная площадка ФГБУ «НИЦЭМ им. Н.Ф. Гамалеи» Минздрава России (филиал «Медгамал» ФГБУ «НИЦЭМ им. Н.Ф. Гамалеи» Минздрава России), Россия
Не допускается хранение размороженного лекарственного препарата более 30 минут!
Повторное замораживание не допускается!
Производственные площадки: АО «БИОКАД», Россия; АО «Фармасинтез-Норд», Россия; ООО «ПК-137», Россия
Не допускается хранение размороженного лекарственного препарата во флаконах по 0,5 мл более 30 минут!
Повторное замораживание не допускается!
Производственная площадка ООО «НТФФ «ПОЛИСАН», Россия
Не допускается хранение размороженного лекарственного препарата!
Повторное замораживание не допускается!
</t>
    </r>
    <r>
      <rPr>
        <rFont val="Arial"/>
        <i/>
        <color theme="1"/>
      </rPr>
      <t>Жидкий лекарственный препарат</t>
    </r>
    <r>
      <rPr>
        <rFont val="Arial"/>
        <color theme="1"/>
      </rPr>
      <t xml:space="preserve">
Производственная площадка ООО «НТФФ «ПОЛИСАН», Россия [...]
Не допускается хранение вскрытой ампулы.
Вскрытый флакон или ампула
Производственная площадка ОАО «Фармстандарт-УфаВИТА», Россия. Допускается хранение лекарственного препарата при комнатной температуре: вскрытой ампулы, закрытой стерильной салфеткой, не более 1 часа.
Производственные площадки: АО «БИОКАД», Россия (флаконы), АО «Фармасинтез-Норд», Россия (флаконы), ООО «ПК-137», Россия (флаконы), АО «Р-Фарм», Россия (флаконы).
Допускается хранение вскрытого флакона по 3 мл не более 2 часов при комнатной температуре.</t>
    </r>
  </si>
  <si>
    <r>
      <rPr>
        <rFont val="Arial"/>
        <color theme="1"/>
      </rPr>
      <t xml:space="preserve">&lt;i&gt;Замороженный лекарственный препарат&lt;/i&gt;&lt;br&gt;
Хранить в защищенном от света месте, при температуре не выше минус 18&amp;nbsp;°С. Повторное замораживание не допускается.&lt;br&gt;
Хранить в недоступном для детей месте.&lt;br&gt;
&lt;i&gt;Жидкий лекарственный препарат&lt;/i&gt;&lt;br&gt;
Хранить в защищенном от света месте, при температуре от 2 до 8&amp;nbsp;°С. Не замораживать.&lt;br&gt;
Хранить в недоступном для детей месте.&lt;br&gt;&lt;br&gt;
&lt;i&gt;Условия транспортирования:&lt;/i&gt;&lt;br&gt;
&lt;i&gt;Замороженный лекарственный препарат&lt;/i&gt;&lt;br&gt;
Транспортирование лекарственного препарата при температуре не выше минус 18&amp;nbsp;°С.&lt;br&gt;
&lt;i&gt;Жидкий лекарственный препарат&lt;/i&gt;&lt;br&gt;
Транспортирование лекарственного препарата при температуре от 2 до 8&amp;nbsp;°С. Не замораживать.&lt;br&gt;&lt;br&gt;
Условия хранения после размораживания и первого вскрытия лекарственного препарата см. в разделе&amp;nbsp;6.3.&lt;br&gt;&lt;br&gt;
</t>
    </r>
    <r>
      <rPr>
        <rFont val="Arial"/>
        <b/>
        <color theme="1"/>
      </rPr>
      <t>&lt;b&gt;6.3. Срок годности (срок хранения)&lt;/b&gt;</t>
    </r>
    <r>
      <rPr>
        <rFont val="Arial"/>
        <color theme="1"/>
      </rPr>
      <t xml:space="preserve">&lt;br&gt;
Невскрытый флакон или ампула&lt;br&gt;
[...]&lt;br&gt;
</t>
    </r>
    <r>
      <rPr>
        <rFont val="Arial"/>
        <i/>
        <color theme="1"/>
      </rPr>
      <t>&lt;i&gt;После размораживания&lt;/i&gt;&lt;br&gt;</t>
    </r>
    <r>
      <rPr>
        <rFont val="Arial"/>
        <color theme="1"/>
      </rPr>
      <t xml:space="preserve">
Производственная площадка ОАО «Фармстандарт-УфаВИТА», Россия (из ФС АО «БИОКАД», Россия)&lt;br&gt;
Суммарное время хранения размороженного раствора при комнатной температуре не должно превышать 2&amp;nbsp;часов.&lt;br&gt;
Повторное замораживание флакона или ампулы с раствором не допускается!&lt;br&gt;
Производственная площадка ФГБУ «НИЦЭМ им. Н.Ф. Гамалеи» Минздрава России (филиал «Медгамал» ФГБУ «НИЦЭМ им. Н.Ф. Гамалеи» Минздрава России), Россия&lt;br&gt;
Не допускается хранение размороженного лекарственного препарата более 30&amp;nbsp;минут!&lt;br&gt;
Повторное замораживание не допускается!&lt;br&gt;
Производственные площадки: АО «БИОКАД», Россия; АО «Фармасинтез-Норд», Россия; ООО «ПК-137», Россия&lt;br&gt;
Не допускается хранение размороженного лекарственного препарата во флаконах по 0,5&amp;nbsp;мл более 30&amp;nbsp;минут!&lt;br&gt;
Повторное замораживание не допускается!&lt;br&gt;
Производственная площадка ООО «НТФФ «ПОЛИСАН», Россия&lt;br&gt;
Не допускается хранение размороженного лекарственного препарата!&lt;br&gt;
Повторное замораживание не допускается!&lt;br&gt;
</t>
    </r>
    <r>
      <rPr>
        <rFont val="Arial"/>
        <i/>
        <color theme="1"/>
      </rPr>
      <t>&lt;i&gt;Жидкий лекарственный препарат&lt;/i&gt;&lt;br&gt;</t>
    </r>
    <r>
      <rPr>
        <rFont val="Arial"/>
        <color theme="1"/>
      </rPr>
      <t xml:space="preserve">
Производственная площадка ООО «НТФФ «ПОЛИСАН», Россия [...]&lt;br&gt;
Не допускается хранение вскрытой ампулы.&lt;br&gt;&lt;br&gt;
Вскрытый флакон или ампула&lt;br&gt;
Производственная площадка ОАО «Фармстандарт-УфаВИТА», Россия. Допускается хранение лекарственного препарата при комнатной температуре: вскрытой ампулы, закрытой стерильной салфеткой, не более 1&amp;nbsp;часа.&lt;br&gt;
Производственные площадки: АО «БИОКАД», Россия (флаконы), АО «Фармасинтез-Норд», Россия (флаконы), ООО «ПК-137», Россия (флаконы), АО «Р-Фарм», Россия (флаконы).&lt;br&gt;
Допускается хранение вскрытого флакона по 3&amp;nbsp;мл не более 2&amp;nbsp;часов при комнатной температуре.&lt;/p&gt;</t>
    </r>
  </si>
  <si>
    <r>
      <rPr>
        <rFont val="Arial"/>
        <i/>
        <color theme="1"/>
      </rPr>
      <t>Замороженный препарат</t>
    </r>
    <r>
      <rPr>
        <rFont val="Arial"/>
        <color theme="1"/>
      </rPr>
      <t xml:space="preserve">
Хранить в защищенном от света месте, при температуре не выше минус 18 °С. Повторное замораживание не допускается.
Хранить в недоступном для детей месте.
</t>
    </r>
    <r>
      <rPr>
        <rFont val="Arial"/>
        <i/>
        <color theme="1"/>
      </rPr>
      <t>Жидкий препарат</t>
    </r>
    <r>
      <rPr>
        <rFont val="Arial"/>
        <color theme="1"/>
      </rPr>
      <t xml:space="preserve">
Хранить в защищенном от света месте, при температуре от 2 до 8 °С. Не замораживать.
Хранить в недоступном для детей месте.
</t>
    </r>
    <r>
      <rPr>
        <rFont val="Arial"/>
        <i/>
        <color theme="1"/>
      </rPr>
      <t>Условия транспортирования:
Замороженный препарат</t>
    </r>
    <r>
      <rPr>
        <rFont val="Arial"/>
        <color theme="1"/>
      </rPr>
      <t xml:space="preserve">
При температуре не выше минус 18 °С.
</t>
    </r>
    <r>
      <rPr>
        <rFont val="Arial"/>
        <i/>
        <color theme="1"/>
      </rPr>
      <t>Жидкий препарат</t>
    </r>
    <r>
      <rPr>
        <rFont val="Arial"/>
        <color theme="1"/>
      </rPr>
      <t xml:space="preserve">
При температуре от 2 до 8 °С. Не замораживать.</t>
    </r>
  </si>
  <si>
    <r>
      <rPr>
        <rFont val="Arial"/>
        <i/>
        <color theme="1"/>
      </rPr>
      <t>&lt;p&gt;&lt;i&gt;Замороженный препарат</t>
    </r>
    <r>
      <rPr>
        <rFont val="Arial"/>
        <color theme="1"/>
      </rPr>
      <t xml:space="preserve">&lt;/i&gt;&lt;br&gt;
Хранить в защищенном от света месте, при температуре не выше минус 18&amp;nbsp;°С. Повторное замораживание не допускается.&lt;br&gt;
Хранить в недоступном для детей месте.&lt;br&gt;&lt;br&gt;
</t>
    </r>
    <r>
      <rPr>
        <rFont val="Arial"/>
        <i/>
        <color theme="1"/>
      </rPr>
      <t>&lt;i&gt;Жидкий препарат</t>
    </r>
    <r>
      <rPr>
        <rFont val="Arial"/>
        <color theme="1"/>
      </rPr>
      <t>&lt;/i&gt;&lt;br&gt;
Хранить в защищенном от света месте, при температуре от 2 до 8&amp;nbsp;°С. Не замораживать.&lt;br&gt;
Хранить в недоступном для детей месте.&lt;br&gt;&lt;br&gt;
&lt;i&gt;Условия транспортирования:&lt;/i&gt;&lt;br&gt;
&lt;i&gt;Замороженный препарат&lt;/i&gt;&lt;br&gt;
При температуре не выше минус 18&amp;nbsp;°С.&lt;br&gt;
&lt;i&gt;Жидкий препарат&lt;/i&gt;&lt;br&gt;
При температуре от 2 до 8&amp;nbsp;°С. Не замораживать.&lt;/p&gt;</t>
    </r>
  </si>
  <si>
    <t>https://grls.rosminzdrav.ru/InstrImg/2022/07/01/1482554/85877900-4857-49d0-8559-cf446fe8cfa7.pdf</t>
  </si>
  <si>
    <t>Хранить и перевозить в холодильнике (2-8 °С). Не замораживать.
Препарат во вскрытой ампуле и вскрытом однодозовом флаконе хранению не подлежит. Вскрытый многодозовый флакон помещается в холодильник для хранения при температуре от 2 до 8 °С. Вакцина, содержащаяся в открытых многодозовых флаконах, может быть использована в течение одного рабочего дня (8 часов).</t>
  </si>
  <si>
    <t>&lt;p&gt;Хранить и перевозить в холодильнике (2-8&amp;nbsp;°С). Не замораживать.
Препарат во вскрытой ампуле и вскрытом однодозовом флаконе хранению не подлежит. Вскрытый многодозовый флакон помещается в холодильник для хранения при температуре от 2 до 8&amp;nbsp;°С. Вакцина, содержащаяся в открытых многодозовых флаконах, может быть использована в течение одного рабочего дня (8&amp;nbsp;часов).&lt;/p&gt;</t>
  </si>
  <si>
    <t>Хранить и транспортировать при температуре от 2 до 8 °C. Не замораживать!
Хранить в недоступном для детей месте.</t>
  </si>
  <si>
    <t>&lt;p&gt;Хранить и транспортировать при температуре от 2 до 8&amp;nbsp;°C. Не замораживать!&lt;br&gt;
Хранить в недоступном для детей месте.&lt;/p&gt;</t>
  </si>
  <si>
    <t>Хранить при температуре от 2 до 25 °С в оригинальной упаковке (пачка картонная).
Не замораживать!
Если вакцинация по какой-либо причине откладывается, восстановленную вакцину следует хранить в холодильнике (2-8 °C) не более 6 часов без замораживания. Неиспользованная за это время вакцина не должна применяться, она подлежит утилизации.</t>
  </si>
  <si>
    <t>&lt;p&gt;Хранить при температуре от 2 до 25&amp;nbsp;°С в оригинальной упаковке (пачка картонная).&lt;br&gt;
Не замораживать!&lt;br&gt;
Если вакцинация по какой-либо причине откладывается, восстановленную вакцину следует хранить в холодильнике (2-8&amp;nbsp;°C) не более 6&amp;nbsp;часов без замораживания. Неиспользованная за это время вакцина не должна применяться, она подлежит утилизации.&lt;/p&gt;</t>
  </si>
  <si>
    <t>https://grls.rosminzdrav.ru/InstrImg/2024/11/29/1511440/a7df9117-6412-4ad4-81a2-998d2ad320c3.pdf</t>
  </si>
  <si>
    <r>
      <rPr>
        <rFont val="Arial"/>
        <color theme="1"/>
      </rPr>
      <t xml:space="preserve">Хранить при температуре от 2 до 8 °С.
Не допускается замораживание.
</t>
    </r>
    <r>
      <rPr>
        <rFont val="Arial"/>
        <i/>
        <color theme="1"/>
      </rPr>
      <t>Условия транспортирования:</t>
    </r>
    <r>
      <rPr>
        <rFont val="Arial"/>
        <color theme="1"/>
      </rPr>
      <t xml:space="preserve">
Транспортирование при температуре от 2 до 8 °С. Допускается кратковременное (не более 72 часов) транспортирование при температуре от 9 до 30 °С.
Не допускается замораживание.</t>
    </r>
  </si>
  <si>
    <t>&lt;p&gt;Хранить при температуре от 2 до 8&amp;nbsp;°С.&lt;br&gt;
Не допускается замораживание.&lt;br&gt;
&lt;i&gt;Условия транспортирования:&lt;/i&gt;&lt;br&gt;
Транспортирование при температуре от 2 до 8&amp;nbsp;°С. Допускается кратковременное (не более 72&amp;nbsp;часов) транспортирование при температуре от 9 до 30&amp;nbsp;°С.&lt;br&gt;
Не допускается замораживание.&lt;/p&gt;</t>
  </si>
  <si>
    <t>Хранить и перевозить в холодильнике (2–8 °C).
Не замораживать.
Хранить в оригинальной упаковке для защиты от света.
Вакцину следует вводить сразу после восстановления. В то же время вакцина остается стабильной при температуре от 2 до 8 °С в течение 8 часов после восстановления.</t>
  </si>
  <si>
    <t>&lt;p&gt;Хранить и перевозить в холодильнике (2–8&amp;nbsp;°C).&lt;br&gt;
Не замораживать.&lt;br&gt;
Хранить в оригинальной упаковке для защиты от света.&lt;br&gt;
Вакцину следует вводить сразу после восстановления. В то же время вакцина остается стабильной при температуре от 2 до 8&amp;nbsp;°С в течение 8&amp;nbsp;часов после восстановления.&lt;/p&gt;</t>
  </si>
  <si>
    <t>https://grls.rosminzdrav.ru/InstrImg/2024/07/16/1506734/9116be71-6c07-426a-8ff9-48e79a74f109.pdf</t>
  </si>
  <si>
    <r>
      <rPr>
        <rFont val="Arial"/>
        <color theme="1"/>
      </rPr>
      <t xml:space="preserve">Хранить при температуре от 2 до 8 °C, в защищенном от света месте. Не замораживать.
Хранить в недоступном для детей месте.
</t>
    </r>
    <r>
      <rPr>
        <rFont val="Arial"/>
        <i/>
        <color theme="1"/>
      </rPr>
      <t>Условия транспортирования:</t>
    </r>
    <r>
      <rPr>
        <rFont val="Arial"/>
        <color theme="1"/>
      </rPr>
      <t xml:space="preserve">
При температуре от 2 до 8 °С, в защищенном от света месте. Не замораживать.</t>
    </r>
  </si>
  <si>
    <t>&lt;p&gt;Хранить при температуре от 2 до 8&amp;nbsp;°C, в защищенном от света месте. Не замораживать.&lt;br&gt;
Хранить в недоступном для детей месте.&lt;br&gt;&lt;br&gt;
&lt;i&gt;Условия транспортирования:&lt;/i&gt;&lt;br&gt;
При температуре от 2 до 8&amp;nbsp;°С, в защищенном от света месте. Не замораживать.&lt;/p&gt;</t>
  </si>
  <si>
    <r>
      <rPr>
        <rFont val="Arial"/>
        <color theme="1"/>
      </rPr>
      <t xml:space="preserve">Хранить в защищенном от света месте, при температуре не выше минус 18 °C. Повторное замораживание не допускается.
Хранить в недоступном для детей месте.
</t>
    </r>
    <r>
      <rPr>
        <rFont val="Arial"/>
        <i/>
        <color theme="1"/>
      </rPr>
      <t>Условия транспортирования:</t>
    </r>
    <r>
      <rPr>
        <rFont val="Arial"/>
        <color theme="1"/>
      </rPr>
      <t xml:space="preserve">
При температуре не выше минус 18 °С, допускается повышение температуры не выше минус 10 °С не более 3 суток.</t>
    </r>
  </si>
  <si>
    <t>&lt;p&gt;Хранить в защищенном от света месте, при температуре не выше минус 18&amp;nbsp;°C. Повторное замораживание не допускается.&lt;br&gt;
Хранить в недоступном для детей месте.&lt;br&gt;&lt;br&gt;
&lt;i&gt;Условия транспортирования:&lt;/i&gt;&lt;br&gt;
При температуре не выше минус 18&amp;nbsp;°С, допускается повышение температуры не выше минус 10&amp;nbsp;°С не более 3&amp;nbsp;суток.&lt;/p&gt;</t>
  </si>
  <si>
    <r>
      <rPr>
        <rFont val="Arial"/>
        <color theme="1"/>
      </rPr>
      <t xml:space="preserve">Хранить в защищенном от света месте при температуре от 2 до 8 °С.
Не замораживать!
Препарат, подвергшийся замораживанию, применению не подлежит.
Препарат во вскрытой ампуле или флаконе хранению не подлежит.
</t>
    </r>
    <r>
      <rPr>
        <rFont val="Arial"/>
        <i/>
        <color theme="1"/>
      </rPr>
      <t>Условия транспортирования:</t>
    </r>
    <r>
      <rPr>
        <rFont val="Arial"/>
        <color theme="1"/>
      </rPr>
      <t xml:space="preserve">
В защищенном от света месте при температуре от 2 до 8 °С в условиях, исключающих замораживание.
Допускается транспортирование при температуре не выше 25 °С не более 24 часов.</t>
    </r>
  </si>
  <si>
    <t>Хранить и перевозить в холодильнике (2-8 °С). Не замораживать.
Препарат во вскрытой ампуле и вскрытом однодозном флаконе хранению не подлежит.
Вскрытый многодозный флакон помещается в холодильник для хранения при температуре от 2 до 8 °С. Вакцина, содержащаяся в открытых многодозных флаконах, может быть использована в течение одного рабочего дня.</t>
  </si>
  <si>
    <t>&lt;p&gt;Хранить и перевозить в холодильнике (2-8&amp;nbsp;°С). Не замораживать.&lt;br&gt;
Препарат во вскрытой ампуле и вскрытом однодозном флаконе хранению не подлежит.&lt;br&gt;
Вскрытый многодозный флакон помещается в холодильник для хранения при температуре от 2 до 8&amp;nbsp;°С. Вакцина, содержащаяся в открытых многодозных флаконах, может быть использована в течение одного рабочего дня.&lt;/p&gt;</t>
  </si>
  <si>
    <t>Хранить в холодильнике (2-8 °С), в оригинальной упаковке (в пачке картонной) для того, чтобы защитить от света.
Не замораживать.</t>
  </si>
  <si>
    <t>&lt;p&gt;Хранить в холодильнике (2-8&amp;nbsp;°С), в оригинальной упаковке (в пачке картонной) для того, чтобы защитить от света.&lt;br&gt;
Не замораживать.&lt;/p&gt;</t>
  </si>
  <si>
    <t>https://grls.rosminzdrav.ru/InstrImg/2024/01/19/1501170/14f78b66-569c-4bfe-8b30-ff63439a2434.pdf</t>
  </si>
  <si>
    <t>Хранить и транспортировать при температуре от 2 до 8°С, в защищенном от света месте.
Хранить в недоступном для детей месте.</t>
  </si>
  <si>
    <t>&lt;p&gt;Хранить и транспортировать при температуре от 2 до 8&amp;nbsp;°С, в защищенном от света месте.&lt;br&gt;
Хранить в недоступном для детей месте.&lt;/p&gt;</t>
  </si>
  <si>
    <t>Хранить при температуре от 2 до 8 °С в защищенном от света месте.
Не замораживать.
Хранить в недоступном для детей месте.</t>
  </si>
  <si>
    <t>&lt;p&gt;Хранить при температуре от 2 до 8&amp;nbsp;°С в защищенном от света месте.&lt;br&gt;
Не замораживать.&lt;br&gt;
Хранить в недоступном для детей месте.&lt;/p&gt;</t>
  </si>
  <si>
    <t>Хранить в холодильнике (2—8 °C). Хранить флакон во внешней упаковке для того, чтобы защитить от света.
Не замораживать.
Растворитель может храниться вместе с вакциной в холодильнике (2—8 °С) или отдельно при температуре не выше 25 °С.
Примечание: 1) Хранение растворителя отдельно от вакцины при температуре не выше 25 °С возможно только при условии, что растворитель упакован в картонную пачку Б. 2) С целью предотвращения снижения активности, вакцину необходимо транспортировать при температуре 2—8 °С или ниже, однако температура не должна опускаться ниже -50 °С. Использование сухого льда может привести к снижению температуры вакцины ВАРИВАКС ниже -50 °С.
После восстановления вакцина должна быть немедленно использована. Однако в исследованиях стабильности было продемонстрировано, что срок годности после восстановления составляет 30 минут при температуре от +20 °C до +25 °C.
Утилизируйте вакцину, если она не использована в течение 30 минут после ее восстановления.</t>
  </si>
  <si>
    <t>&lt;p&gt;Хранить в холодильнике (2—8&amp;nbsp;°C). Хранить флакон во внешней упаковке для того, чтобы защитить от света.&lt;br&gt;
Не замораживать.&lt;br&gt;
Растворитель может храниться вместе с вакциной в холодильнике (2—8&amp;nbsp;°С) или отдельно при температуре не выше 25&amp;nbsp;°С.&lt;br&gt;
Примечание: 1)&amp;nbsp;Хранение растворителя отдельно от вакцины при температуре не выше 25&amp;nbsp;°С возможно только при условии, что растворитель упакован в картонную пачку Б. 2)&amp;nbsp;С&amp;nbsp;целью предотвращения снижения активности, вакцину необходимо транспортировать при температуре 2—8&amp;nbsp;°С или ниже, однако температура не должна опускаться ниже -50&amp;nbsp;°С. Использование сухого льда может привести к снижению температуры вакцины ВАРИВАКС ниже -50&amp;nbsp;°С.&lt;br&gt;&lt;br&gt;
После восстановления вакцина должна быть немедленно использована. Однако в исследованиях стабильности было продемонстрировано, что срок годности после восстановления составляет 30&amp;nbsp;минут при температуре от +20&amp;nbsp;°C до +25&amp;nbsp;°C.&lt;br&gt;
Утилизируйте вакцину, если она не использована в течение 30&amp;nbsp;минут после ее восстановления.&lt;/p&gt;</t>
  </si>
  <si>
    <t>https://grls.rosminzdrav.ru/InstrImg/2023/11/14/1499137/0d066a1a-0b64-4c36-8b80-ed504d3f7fe0.pdf</t>
  </si>
  <si>
    <t>При температуре от 2 до 8 °С. Не замораживать.</t>
  </si>
  <si>
    <t>&lt;p&gt;При температуре от 2 до 8&amp;nbsp;°С. Не замораживать.&lt;/p&gt;</t>
  </si>
  <si>
    <r>
      <rPr>
        <rFont val="Arial"/>
        <i/>
        <color theme="1"/>
      </rPr>
      <t>Лиофилизат</t>
    </r>
    <r>
      <rPr>
        <rFont val="Arial"/>
        <color theme="1"/>
      </rPr>
      <t xml:space="preserve">
Хранить при температуре от 2 до 8 °С. Не замораживать.
Хранить в защищенном от света месте.
</t>
    </r>
    <r>
      <rPr>
        <rFont val="Arial"/>
        <i/>
        <color theme="1"/>
      </rPr>
      <t>Растворитель</t>
    </r>
    <r>
      <rPr>
        <rFont val="Arial"/>
        <color theme="1"/>
      </rPr>
      <t xml:space="preserve">
Хранить при температуре от 2 до 25 °С. Не замораживать.
</t>
    </r>
    <r>
      <rPr>
        <rFont val="Arial"/>
        <i/>
        <color theme="1"/>
      </rPr>
      <t>Комплект (лиофилизат, растворитель, с иглами или без игл)</t>
    </r>
    <r>
      <rPr>
        <rFont val="Arial"/>
        <color theme="1"/>
      </rPr>
      <t xml:space="preserve">
Хранить при температуре от 2 до 8 °С. Не замораживать.
Хранить в защищенном от света месте.
Хранить в недоступном для детей месте.
</t>
    </r>
    <r>
      <rPr>
        <rFont val="Arial"/>
        <i/>
        <color theme="1"/>
      </rPr>
      <t>Условия транспортирования:</t>
    </r>
    <r>
      <rPr>
        <rFont val="Arial"/>
        <color theme="1"/>
      </rPr>
      <t xml:space="preserve">
Лиофилизат
Транспортировать при температуре от 2 до 8 °С. Не замораживать.
Растворитель
Транспортировать при температуре от 2 до 25 °С. Не замораживать.
Комплект (лиофилизат, растворитель, с иглами или без игл)
Транспортировать при температуре от 2 до 8 °С. Не замораживать.</t>
    </r>
  </si>
  <si>
    <r>
      <rPr>
        <rFont val="Arial"/>
        <i/>
        <color theme="1"/>
      </rPr>
      <t>&lt;p&gt;&lt;i&gt;Лиофилизат</t>
    </r>
    <r>
      <rPr>
        <rFont val="Arial"/>
        <color theme="1"/>
      </rPr>
      <t xml:space="preserve">&lt;/i&gt;&lt;br&gt;
Хранить при температуре от 2 до 8&amp;nbsp;°С. Не замораживать.&lt;br&gt;
Хранить в защищенном от света месте.&lt;br&gt;
</t>
    </r>
    <r>
      <rPr>
        <rFont val="Arial"/>
        <i/>
        <color theme="1"/>
      </rPr>
      <t>&lt;i&gt;Растворитель</t>
    </r>
    <r>
      <rPr>
        <rFont val="Arial"/>
        <color theme="1"/>
      </rPr>
      <t xml:space="preserve">&lt;/i&gt;&lt;br&gt;
Хранить при температуре от 2 до 25&amp;nbsp;°С. Не замораживать.&lt;br&gt;
</t>
    </r>
    <r>
      <rPr>
        <rFont val="Arial"/>
        <i/>
        <color theme="1"/>
      </rPr>
      <t>&lt;i&gt;Комплект (лиофилизат, растворитель, с иглами или без игл)</t>
    </r>
    <r>
      <rPr>
        <rFont val="Arial"/>
        <color theme="1"/>
      </rPr>
      <t>&lt;/i&gt;&lt;br&gt;
Хранить при температуре от 2 до 8&amp;nbsp;°С. Не замораживать.&lt;br&gt;
Хранить в защищенном от света месте.&lt;br&gt;
Хранить в недоступном для детей месте.&lt;br&gt;&lt;br&gt;
&lt;i&gt;Условия транспортирования:&lt;/i&gt;&lt;br&gt;
&lt;i&gt;Лиофилизат&lt;/i&gt;&lt;br&gt;
Транспортировать при температуре от 2 до 8&amp;nbsp;°С. Не замораживать.&lt;br&gt;
&lt;i&gt;Растворитель&lt;/i&gt;&lt;br&gt;
Транспортировать при температуре от 2 до 25&amp;nbsp;°С. Не замораживать.&lt;br&gt;
&lt;i&gt;Комплект (лиофилизат, растворитель, с иглами или без игл)&lt;/i&gt;&lt;br&gt;
Транспортировать при температуре от 2 до 8&amp;nbsp;°С. Не замораживать.&lt;/p&gt;</t>
    </r>
  </si>
  <si>
    <t>https://grls.rosminzdrav.ru/InstrImg/2021/04/08/1467900/d0178e58-88a3-4898-ae92-f04c7d69cf57.pdf</t>
  </si>
  <si>
    <t>24.007.2023</t>
  </si>
  <si>
    <t>Хранить в холодильнике (2-8 °С).
Не замораживать.
Химическая и физическая стабильность лекарственного препарата подтверждена при однократном изменении температуры до 25 °С в течение 72 часов.</t>
  </si>
  <si>
    <t>&lt;p&gt;Хранить в холодильнике (2-8&amp;nbsp;°С).&lt;br&gt;
Не замораживать.&lt;br&gt;
Химическая и физическая стабильность лекарственного препарата подтверждена при однократном изменении температуры до 25&amp;nbsp;°С в течение 72&amp;nbsp;часов.&lt;/p&gt;</t>
  </si>
  <si>
    <t>Хранить при температуре от 2 до 8 °C в защищенном от света месте.
Не замораживать.
Хранить в недоступном для детей месте.</t>
  </si>
  <si>
    <t>&lt;p&gt;Хранить при температуре от 2 до 8&amp;nbsp;°C в защищенном от света месте.&lt;br&gt;
Не замораживать.&lt;br&gt;
Хранить в недоступном для детей месте.&lt;/p&gt;</t>
  </si>
  <si>
    <t>https://grls.rosminzdrav.ru/InstrImg/2024/04/26/1504005/d1870595-28f7-44b7-bb39-ad5bc2268f78.pdf</t>
  </si>
  <si>
    <r>
      <rPr>
        <rFont val="Arial"/>
        <color theme="1"/>
      </rPr>
      <t xml:space="preserve">Хранить в защищенном от света месте, при температуре не выше минус 18 °C.
Хранить в недоступном для детей месте.
</t>
    </r>
    <r>
      <rPr>
        <rFont val="Arial"/>
        <i/>
        <color theme="1"/>
      </rPr>
      <t>Условия транспортирования:</t>
    </r>
    <r>
      <rPr>
        <rFont val="Arial"/>
        <color theme="1"/>
      </rPr>
      <t xml:space="preserve">
При температуре не выше 18 °С.</t>
    </r>
  </si>
  <si>
    <t>&lt;p&gt;Хранить в защищенном от света месте, при температуре не выше минус 18&amp;nbsp;°C.&lt;br&gt;
Хранить в недоступном для детей месте.&lt;br&gt;&lt;br&gt;
&lt;i&gt;Условия транспортирования:&lt;/i&gt;
При температуре не выше 18&amp;nbsp;°С.&lt;/p&gt;</t>
  </si>
  <si>
    <r>
      <rPr>
        <rFont val="Arial"/>
        <color theme="1"/>
      </rPr>
      <t xml:space="preserve">При температуре от 2 до 8 °С. Не замораживать.
Хранить в недоступном для детей месте!
</t>
    </r>
    <r>
      <rPr>
        <rFont val="Arial"/>
        <i/>
        <color theme="1"/>
      </rPr>
      <t>Условия транспортирования:</t>
    </r>
    <r>
      <rPr>
        <rFont val="Arial"/>
        <color theme="1"/>
      </rPr>
      <t xml:space="preserve">
При температуре от 2 до 8 °С. Не замораживать.</t>
    </r>
  </si>
  <si>
    <t>&lt;p&gt;При температуре от 2 до 8&amp;nbsp;°С. Не замораживать.&lt;br&gt;
Хранить в недоступном для детей месте!&lt;br&gt;&lt;br&gt;
&lt;i&gt;Условия транспортирования:&lt;/i&gt;&lt;br&gt;
При температуре от 2 до 8&amp;nbsp;°С. Не замораживать.&lt;/p&gt;</t>
  </si>
  <si>
    <r>
      <rPr>
        <rFont val="Arial"/>
        <color theme="1"/>
      </rPr>
      <t xml:space="preserve">Хранить при температуре от 2 до 8 °C. Не замораживать! Хранить в недоступном для детей месте!
</t>
    </r>
    <r>
      <rPr>
        <rFont val="Arial"/>
        <i/>
        <color theme="1"/>
      </rPr>
      <t>Условия транспортирования:</t>
    </r>
    <r>
      <rPr>
        <rFont val="Arial"/>
        <color theme="1"/>
      </rPr>
      <t xml:space="preserve">
При температуре от 2 до 8 °С. Не замораживать.</t>
    </r>
  </si>
  <si>
    <t>&lt;p&gt;Хранить при температуре от 2 до 8&amp;nbsp;°C. Не замораживать! Хранить в недоступном для детей месте!&lt;br&gt;&lt;br&gt;
&lt;i&gt;Условия транспортирования:&lt;/i&gt;&lt;br&gt;
При температуре от 2 до 8&amp;nbsp;°С. Не замораживать.&lt;/p&gt;</t>
  </si>
  <si>
    <r>
      <rPr>
        <rFont val="Arial"/>
        <color theme="1"/>
      </rPr>
      <t xml:space="preserve">При температуре от 2 до 8 °С включительно в соответствии с СанПин 3.3686-21. Замораживание не допускается.
Хранить в недоступном для детей месте!
</t>
    </r>
    <r>
      <rPr>
        <rFont val="Arial"/>
        <i/>
        <color theme="1"/>
      </rPr>
      <t>Условия транспортирования:</t>
    </r>
    <r>
      <rPr>
        <rFont val="Arial"/>
        <color theme="1"/>
      </rPr>
      <t xml:space="preserve">
При температуре от 2 до 8 °С включительно в соответствии с СанПин 3.3686-21. Замораживание не допускается.</t>
    </r>
  </si>
  <si>
    <t>&lt;p&gt;При температуре от 2 до 8&amp;nbsp;°С включительно в соответствии с СанПин 3.3686-21. Замораживание не допускается.&lt;br&gt;
Хранить в недоступном для детей месте!&lt;br&gt;&lt;br&gt;
&lt;i&gt;Условия транспортирования:&lt;/i&gt;&lt;br&gt;
При температуре от 2 до 8&amp;nbsp;°С включительно в соответствии с СанПин 3.3686-21. Замораживание не допускается.&lt;/p&gt;</t>
  </si>
  <si>
    <t>https://grls.rosminzdrav.ru/InstrImg/2023/07/19/1495141/6279c1ae-20cf-4801-9f4a-bb9a68168b63.pdf</t>
  </si>
  <si>
    <t>Хранить в холодильнике (при температуре от 2 до 8 °С). Не замораживать.
Хранить в недоступном для детей месте.</t>
  </si>
  <si>
    <t>&lt;p&gt;Хранить в холодильнике (при температуре от 2 до 8&amp;nbsp;°С). Не замораживать.&lt;br&gt;
Хранить в недоступном для детей месте.&lt;/p&gt;</t>
  </si>
  <si>
    <r>
      <rPr>
        <rFont val="Arial"/>
        <i/>
        <color theme="1"/>
      </rPr>
      <t>Лиофилизат</t>
    </r>
    <r>
      <rPr>
        <rFont val="Arial"/>
        <color theme="1"/>
      </rPr>
      <t xml:space="preserve">
Хранить и транспортировать при температуре от 2 до 8 °С в защищенном от света месте.
</t>
    </r>
    <r>
      <rPr>
        <rFont val="Arial"/>
        <i/>
        <color theme="1"/>
      </rPr>
      <t>Растворитель</t>
    </r>
    <r>
      <rPr>
        <rFont val="Arial"/>
        <color theme="1"/>
      </rPr>
      <t xml:space="preserve">
Хранить и транспортировать при температуре от 2 до 25 °С. Не замораживать.
</t>
    </r>
    <r>
      <rPr>
        <rFont val="Arial"/>
        <i/>
        <color theme="1"/>
      </rPr>
      <t>Комплект (лиофилизат с растворителем)</t>
    </r>
    <r>
      <rPr>
        <rFont val="Arial"/>
        <color theme="1"/>
      </rPr>
      <t xml:space="preserve">
Хранить и транспортировать при температуре от 2 до 8 °С в защищенном от света месте. Не замораживать.
Хранить в недоступном для детей месте.</t>
    </r>
  </si>
  <si>
    <r>
      <rPr>
        <rFont val="Arial"/>
        <i/>
        <color theme="1"/>
      </rPr>
      <t>&lt;p&gt;&lt;i&gt;Лиофилизат</t>
    </r>
    <r>
      <rPr>
        <rFont val="Arial"/>
        <color theme="1"/>
      </rPr>
      <t xml:space="preserve">&lt;/i&gt;&lt;br&gt;
Хранить и транспортировать при температуре от 2 до 8&amp;nbsp;°С в защищенном от света месте.&lt;br&gt;&lt;br&gt;
</t>
    </r>
    <r>
      <rPr>
        <rFont val="Arial"/>
        <i/>
        <color theme="1"/>
      </rPr>
      <t>&lt;i&gt;Растворитель</t>
    </r>
    <r>
      <rPr>
        <rFont val="Arial"/>
        <color theme="1"/>
      </rPr>
      <t xml:space="preserve">&lt;/i&gt;&lt;br&gt;
Хранить и транспортировать при температуре от 2 до 25&amp;nbsp;°С. Не замораживать.&lt;br&gt;&lt;br&gt;
</t>
    </r>
    <r>
      <rPr>
        <rFont val="Arial"/>
        <i/>
        <color theme="1"/>
      </rPr>
      <t>&lt;i&gt;Комплект (лиофилизат с растворителем)</t>
    </r>
    <r>
      <rPr>
        <rFont val="Arial"/>
        <color theme="1"/>
      </rPr>
      <t>&lt;/i&gt;&lt;br&gt;
Хранить и транспортировать при температуре от 2 до 8&amp;nbsp;°С в защищенном от света месте. Не замораживать.&lt;br&gt;&lt;br&gt;
Хранить в недоступном для детей месте.&lt;/p&gt;</t>
    </r>
  </si>
  <si>
    <t>https://grls.rosminzdrav.ru/InstrImg/2020/12/15/1464278/%D0%9F_N015829_01[2017]_6.pdf</t>
  </si>
  <si>
    <r>
      <rPr>
        <rFont val="Arial"/>
        <color theme="1"/>
      </rPr>
      <t xml:space="preserve">Хранить при температуре от 2 до 8 °С. Не замораживать!
Хранить в недоступном для детей месте.
</t>
    </r>
    <r>
      <rPr>
        <rFont val="Arial"/>
        <i/>
        <color theme="1"/>
      </rPr>
      <t>Условия транспортирования:</t>
    </r>
    <r>
      <rPr>
        <rFont val="Arial"/>
        <color theme="1"/>
      </rPr>
      <t xml:space="preserve">
Транспортировать при температуре от 2 до 8 °С. Не замораживать!</t>
    </r>
  </si>
  <si>
    <t>&lt;p&gt;Хранить при температуре от 2 до 8&amp;nbsp;°С. Не замораживать!&lt;br&gt;
Хранить в недоступном для детей месте.&lt;br&gt;&lt;br&gt;
&lt;i&gt;Условия транспортирования:&lt;/i&gt;&lt;br&gt;
Транспортировать при температуре от 2 до 8&amp;nbsp;°С. Не замораживать!&lt;/p&gt;</t>
  </si>
  <si>
    <t>Хранить при температуре от 2 до 8 °C. Не замораживать!
Хранить в недоступном для детей месте.</t>
  </si>
  <si>
    <t>&lt;p&gt;Хранить при температуре от 2 до 8&amp;nbsp;°C. Не замораживать!&lt;br&gt;
Хранить в недоступном для детей месте.&lt;/p&gt;</t>
  </si>
  <si>
    <r>
      <rPr>
        <rFont val="Arial"/>
        <color theme="1"/>
      </rPr>
      <t xml:space="preserve">В защищенном от света месте при температуре от 2 до 8 °C.
Замораживание не допускается.
Хранить в недоступном для детей месте.
</t>
    </r>
    <r>
      <rPr>
        <rFont val="Arial"/>
        <i/>
        <color theme="1"/>
      </rPr>
      <t>Условия транспортирования:</t>
    </r>
    <r>
      <rPr>
        <rFont val="Arial"/>
        <color theme="1"/>
      </rPr>
      <t xml:space="preserve">
В защищенном от света месте при температуре от 2 до 8 °C. Допускается кратковременное (не более 24 часов) транспортирование при температуре от 8 до 25 °C.</t>
    </r>
  </si>
  <si>
    <t>&lt;p&gt;В защищенном от света месте при температуре от 2 до 8&amp;nbsp;°C.&lt;br&gt;
Замораживание не допускается.&lt;br&gt;
Хранить в недоступном для детей месте.&lt;br&gt;&lt;br&gt;
&lt;i&gt;Условия транспортирования:&lt;/i&gt;&lt;br&gt;
В защищенном от света месте при температуре от 2 до 8&amp;nbsp;°C. Допускается кратковременное (не более 24&amp;nbsp;часов) транспортирование при температуре от 8 до 25&amp;nbsp;°C.&lt;/p&gt;</t>
  </si>
  <si>
    <r>
      <rPr>
        <rFont val="Arial"/>
        <color theme="1"/>
      </rPr>
      <t xml:space="preserve">Хранить при температуре от 2 до 8 °С. Не замораживать.
Препарат во вскрытой ампуле хранению не подлежит.
</t>
    </r>
    <r>
      <rPr>
        <rFont val="Arial"/>
        <i/>
        <color theme="1"/>
      </rPr>
      <t>Условия транспортирования:</t>
    </r>
    <r>
      <rPr>
        <rFont val="Arial"/>
        <color theme="1"/>
      </rPr>
      <t xml:space="preserve">
Транспортировать в соответствии с СП 3.3.2.3332-16 при температуре от 2 до 8 °С. Замораживание не допускается.</t>
    </r>
  </si>
  <si>
    <t>&lt;p&gt;Хранить при температуре от 2 до 8&amp;nbsp;°С. Не замораживать.&lt;br&gt;
Препарат во вскрытой ампуле хранению не подлежит.&lt;br&gt;&lt;br&gt;
&lt;i&gt;Условия транспортирования:&lt;/i&gt;&lt;br&gt;
Транспортировать в соответствии с СП&amp;nbsp;3.3.2.3332-16 при температуре от 2 до 8&amp;nbsp;°С. Замораживание не допускается.&lt;/p&gt;</t>
  </si>
  <si>
    <t>https://grls.rosminzdrav.ru/InstrImg/2024/03/05/1502513/2f9ab427-55f1-498e-aafd-eabedbaee219.pdf</t>
  </si>
  <si>
    <r>
      <rPr>
        <rFont val="Arial"/>
        <color theme="1"/>
      </rPr>
      <t xml:space="preserve">Препарат хранят в соответствии с СП 3.3.2.3332-16 при температуре от 2 до 8 °С в недоступном для детей месте.
</t>
    </r>
    <r>
      <rPr>
        <rFont val="Arial"/>
        <i/>
        <color theme="1"/>
      </rPr>
      <t>Условия транспортирования:</t>
    </r>
    <r>
      <rPr>
        <rFont val="Arial"/>
        <color theme="1"/>
      </rPr>
      <t xml:space="preserve">
Препарат транспортируют в соответствии с СП 3.3.2.3332-16 при температуре от 2 до 8 °С. Допускается кратковременное, не более трех суток, транспортирование при температуре от 9 до 18 °С. Не замораживать.</t>
    </r>
  </si>
  <si>
    <t>&lt;p&gt;Препарат хранят в соответствии с СП&amp;nbsp;3.3.2.3332-16 при температуре от 2 до 8&amp;nbsp;°С в недоступном для детей месте.&lt;br&gt;&lt;br&gt;
&lt;i&gt;Условия транспортирования:&lt;/i&gt;&lt;br&gt;
Препарат транспортируют в соответствии с СП&amp;nbsp;3.3.2.3332-16 при температуре от 2 до 8&amp;nbsp;°С. Допускается кратковременное, не более трех суток, транспортирование при температуре от 9 до 18&amp;nbsp;°С. Не замораживать.&lt;/p&gt;</t>
  </si>
  <si>
    <t>https://grls.rosminzdrav.ru/InstrImg/2023/03/14/1491812/185a1106-6649-4596-af55-b6b4c88e9969.pdf</t>
  </si>
  <si>
    <t>Хранить в холодильнике (2–8 °C).
Не замораживать.
Хранить в картонной пачке для того, чтобы защитить от света.
После восстановления вакцину следует ввести незамедлительно; если это невозможно, вакцину следует хранить в холодильнике (2–8 °C). Если вакцина не использована в течение 6 часов, ее следует утилизировать.</t>
  </si>
  <si>
    <t>&lt;p&gt;Хранить в холодильнике (2–8&amp;nbsp;°C).&lt;br&gt;
Не замораживать.&lt;br&gt;
Хранить в картонной пачке для того, чтобы защитить от света.&lt;br&gt;
После восстановления вакцину следует ввести незамедлительно; если это невозможно, вакцину следует хранить в холодильнике (2–8&amp;nbsp;°C). Если вакцина не использована в течение 6&amp;nbsp;часов, ее следует утилизировать.&lt;/p&gt;</t>
  </si>
  <si>
    <t>https://grls.rosminzdrav.ru/InstrImg/2024/06/17/1505907/c78a0ec4-01f8-4da4-b2a0-954814a9748c.pdf</t>
  </si>
  <si>
    <r>
      <rPr>
        <rFont val="Arial"/>
        <i/>
        <color theme="1"/>
      </rPr>
      <t xml:space="preserve">Комплект (вакцина, растворитель) </t>
    </r>
    <r>
      <rPr>
        <rFont val="Arial"/>
        <color theme="1"/>
      </rPr>
      <t xml:space="preserve">
Хранить в защищенном от света месте в оригинальной упаковке (пачке картонной) при температуре от 2 до 8 °С. Не замораживать.
Растворенную 1-дозовую вакцину используют немедленно, хранению она не подлежит. Растворенную 10-дозовую вакцину допускается хранить в темном месте при температуре от 2 до 8 °С и использовать в течение 6 часов.
С микробиологической точки зрения, если метод восстановления не препятствует микробной контаминации, лекарственный препарат подлежит немедленному применению.</t>
    </r>
  </si>
  <si>
    <r>
      <rPr>
        <rFont val="Arial"/>
        <i/>
        <color theme="1"/>
      </rPr>
      <t xml:space="preserve">&lt;p&gt;&lt;i&gt;Комплект (вакцина, растворитель)&lt;/i&gt;&lt;br&gt; </t>
    </r>
    <r>
      <rPr>
        <rFont val="Arial"/>
        <color theme="1"/>
      </rPr>
      <t xml:space="preserve">
Хранить в защищенном от света месте в оригинальной упаковке (пачке картонной) при температуре от 2 до 8&amp;nbsp;°С. Не замораживать.&lt;br&gt;
Растворенную 1-дозовую вакцину используют немедленно, хранению она не подлежит. Растворенную 10-дозовую вакцину допускается хранить в темном месте при температуре от 2 до 8&amp;nbsp;°С и использовать в течение 6&amp;nbsp;часов.&lt;br&gt;
С микробиологической точки зрения, если метод восстановления не препятствует микробной контаминации, лекарственный препарат подлежит немедленному применению.&lt;/p&gt;</t>
    </r>
  </si>
  <si>
    <t>Хранить и перевозить в холодильнике (2–8 °С). Не замораживать.
Допускается транспортирование при температуре до 25 °С в течение 6 часов.
Препарат во вскрытом флаконе хранению не подлежит.
С микробиологической точки зрения, если метод вскрытия (восстановления, разведения) не препятствует микробной контаминации, лекарственный препарат подлежит немедленному применению.</t>
  </si>
  <si>
    <t>&lt;p&gt;Хранить и перевозить в холодильнике (2–8&amp;nbsp;°С). Не замораживать.&lt;br&gt;
Допускается транспортирование при температуре до 25&amp;nbsp;°С в течение 6&amp;nbsp;часов.&lt;br&gt;
Препарат во вскрытом флаконе хранению не подлежит.&lt;br&gt;
С микробиологической точки зрения, если метод вскрытия (восстановления, разведения) не препятствует микробной контаминации, лекарственный препарат подлежит немедленному применению.&lt;/p&gt;</t>
  </si>
  <si>
    <t>Хранить в сухом, защищенном от света месте при температуре от 4 до 8 °С. Не замораживать. Препарат, подвергшийся замораживанию, применению не подлежит.
Хранить недоступном для детей месте.
Препарат во вскрытой ампуле хранению не подлежит.</t>
  </si>
  <si>
    <t>&lt;p&gt;Хранить в сухом, защищенном от света месте при температуре от 4 до 8&amp;nbsp;°С. Не замораживать. Препарат, подвергшийся замораживанию, применению не подлежит.&lt;br&gt;
Хранить недоступном для детей месте.&lt;br&gt;
Препарат во вскрытой ампуле хранению не подлежит.&lt;/p&gt;</t>
  </si>
  <si>
    <r>
      <rPr>
        <rFont val="Arial"/>
        <color theme="1"/>
      </rPr>
      <t xml:space="preserve">Хранить при температуре от 2 до 8 °С. Не замораживать.
</t>
    </r>
    <r>
      <rPr>
        <rFont val="Arial"/>
        <i/>
        <color theme="1"/>
      </rPr>
      <t>Условия транспортирования:</t>
    </r>
    <r>
      <rPr>
        <rFont val="Arial"/>
        <color theme="1"/>
      </rPr>
      <t xml:space="preserve">
При температуре от 2 до 8 °С. Не замораживать.</t>
    </r>
  </si>
  <si>
    <t>&lt;p&gt;Хранить при температуре от 2 до 8&amp;nbsp;°С. Не замораживать.&lt;br&gt;&lt;br&gt;
&lt;i&gt;Условия транспортирования:&lt;/i&gt;&lt;br&gt;
При температуре от 2 до 8&amp;nbsp;°С. Не замораживать.&lt;/p&gt;</t>
  </si>
  <si>
    <t>https://grls.rosminzdrav.ru/InstrImg/2024/01/16/1500861/e47bff21-9b8c-4a34-9916-735867695d02.pdf</t>
  </si>
  <si>
    <r>
      <rPr>
        <rFont val="Arial"/>
        <color theme="1"/>
      </rPr>
      <t xml:space="preserve">Хранить при температуре от 2 до 8 °С. Не замораживать.
Хранение после восстановления лекарственного препарата разрешено в течение одного рабочего дня, но не более 6 ч. после его разведения.
</t>
    </r>
    <r>
      <rPr>
        <rFont val="Arial"/>
        <i/>
        <color theme="1"/>
      </rPr>
      <t>Условия транспортирования:</t>
    </r>
    <r>
      <rPr>
        <rFont val="Arial"/>
        <color theme="1"/>
      </rPr>
      <t xml:space="preserve">
При температуре от 2 до 8 °С. Допускается однократное кратковременное (не более 24 ч) транспортирование при температуре от 9 до 20 °С. Не замораживать.</t>
    </r>
  </si>
  <si>
    <t>&lt;p&gt;Хранить при температуре от 2 до 8&amp;nbsp;°С. Не замораживать.&lt;br&gt;
Хранение после восстановления лекарственного препарата разрешено в течение одного рабочего дня, но не более 6&amp;nbsp;ч. после его разведения.&lt;br&gt;&lt;br&gt;
&lt;i&gt;Условия транспортирования:&lt;/i&gt;&lt;br&gt;
При температуре от 2 до 8&amp;nbsp;°С. Допускается однократное кратковременное (не более 24&amp;nbsp;ч) транспортирование при температуре от 9 до 20&amp;nbsp;°С. Не замораживать.&lt;/p&gt;</t>
  </si>
  <si>
    <t>https://grls.rosminzdrav.ru/InstrImg/2024/01/16/1500845/f3aed6e9-b67f-4ab3-8b75-a59249c9cf67.pdf</t>
  </si>
  <si>
    <r>
      <rPr>
        <rFont val="Arial"/>
        <color theme="1"/>
      </rPr>
      <t xml:space="preserve">При температуре от 2 до 8 °С в соответствии с СанПин 3.3686-21. Не замораживать.
Препарат во вскрытой ампуле хранению не подлежит.
</t>
    </r>
    <r>
      <rPr>
        <rFont val="Arial"/>
        <i/>
        <color theme="1"/>
      </rPr>
      <t>Условия транспортирования:</t>
    </r>
    <r>
      <rPr>
        <rFont val="Arial"/>
        <color theme="1"/>
      </rPr>
      <t xml:space="preserve">
При температуре от 2 до 8 °С в соответствии с СанПин 3.3686-21. Не замораживать.</t>
    </r>
  </si>
  <si>
    <t>&lt;p&gt;При температуре от 2 до 8&amp;nbsp;°С в соответствии с СанПин&amp;nbsp;3.3686-21. Не замораживать.&lt;br&gt;
Препарат во вскрытой ампуле хранению не подлежит.&lt;br&gt;&lt;br&gt;
&lt;i&gt;Условия транспортирования:&lt;/i&gt;&lt;br&gt;
При температуре от 2 до 8&amp;nbsp;°С в соответствии с СанПин&amp;nbsp;3.3686-21. Не замораживать.&lt;/p&gt;</t>
  </si>
  <si>
    <t>https://grls.rosminzdrav.ru/InstrImg/2024/10/10/1495965/c34940c7-6489-4f00-aa71-1d8d65873e99.pdf</t>
  </si>
  <si>
    <r>
      <rPr>
        <rFont val="Arial"/>
        <color theme="1"/>
      </rPr>
      <t xml:space="preserve">Хранить при температуре от 2 до 8 °С. Не замораживать.
Восстановленная вакцина: 30 мин при комнатной температуре и 60 мин при температуре от 2 до 8 °С.
</t>
    </r>
    <r>
      <rPr>
        <rFont val="Arial"/>
        <i/>
        <color theme="1"/>
      </rPr>
      <t>Условия транспортирования:</t>
    </r>
    <r>
      <rPr>
        <rFont val="Arial"/>
        <color theme="1"/>
      </rPr>
      <t xml:space="preserve">
При температуре от 2 до 8 °С. Не замораживать.</t>
    </r>
  </si>
  <si>
    <t>&lt;p&gt;Хранить при температуре от 2 до 8&amp;nbsp;°С. Не замораживать.&lt;br&gt;
Восстановленная вакцина: 30&amp;nbsp;мин при комнатной температуре и 60&amp;nbsp;мин при температуре от 2 до 8&amp;nbsp;°С.&lt;br&gt;&lt;br&gt;
&lt;i&gt;Условия транспортирования:&lt;/i&gt;&lt;br&gt;
При температуре от 2 до 8&amp;nbsp;°С. Не замораживать.&lt;/p&gt;</t>
  </si>
  <si>
    <t>https://grls.rosminzdrav.ru/InstrImg/2023/07/19/1495264/b9145336-501d-4fcb-b640-d0208471de88.pdf</t>
  </si>
  <si>
    <r>
      <rPr>
        <rFont val="Arial"/>
        <color theme="1"/>
      </rPr>
      <t xml:space="preserve">Хранить при температуре от 2 до 8 °С. Не замораживать.
</t>
    </r>
    <r>
      <rPr>
        <rFont val="Arial"/>
        <i/>
        <color theme="1"/>
      </rPr>
      <t>Условия транспортирования:</t>
    </r>
    <r>
      <rPr>
        <rFont val="Arial"/>
        <color theme="1"/>
      </rPr>
      <t xml:space="preserve">
При температуре от 2 до 8 °С. Не замораживать.</t>
    </r>
  </si>
  <si>
    <t>https://grls.rosminzdrav.ru/InstrImg/2023/06/13/1494264/eeb87308-b11b-431c-949e-8c4c675f0057.pdf</t>
  </si>
  <si>
    <r>
      <rPr>
        <rFont val="Arial"/>
        <color theme="1"/>
      </rPr>
      <t xml:space="preserve">В соответствии с СП 3.3.2.3332-16 при температуре от 2 до 8 °С.
Не замораживать.
Препарат во вскрытой ампуле хранению не подлежит.
</t>
    </r>
    <r>
      <rPr>
        <rFont val="Arial"/>
        <i/>
        <color theme="1"/>
      </rPr>
      <t>Условия транспортирования:</t>
    </r>
    <r>
      <rPr>
        <rFont val="Arial"/>
        <color theme="1"/>
      </rPr>
      <t xml:space="preserve">
В соответствии с СП 3.3.2.3332-16 при температуре от 2 до 8 °С. Допускается кратковременное (не более 24 часов) транспортирование при температуре от 9 до 20 °С. Не замораживать.</t>
    </r>
  </si>
  <si>
    <t>&lt;p&gt;В соответствии с СП 3.3.2.3332-16 при температуре от 2 до 8&amp;nbsp;°С.&lt;br&gt;
Не замораживать.&lt;br&gt;
Препарат во вскрытой ампуле хранению не подлежит.&lt;br&gt;&lt;br&gt;
&lt;i&gt;Условия транспортирования:&lt;/i&gt;&lt;br&gt;
В соответствии с СП&amp;nbsp;3.3.2.3332-16 при температуре от 2 до 8&amp;nbsp;°С. Допускается кратковременное (не более 24&amp;nbsp;часов) транспортирование при температуре от 9 до 20&amp;nbsp;°С. Не замораживать.&lt;/p&gt;</t>
  </si>
  <si>
    <t>https://grls.rosminzdrav.ru/InstrImg/2023/02/06/1490994/ce58d78b-8090-4070-9a74-71165b1e2e38.pdf</t>
  </si>
  <si>
    <r>
      <rPr>
        <rFont val="Arial"/>
        <color theme="1"/>
      </rPr>
      <t xml:space="preserve">Хранить при температуре от 2 до 8 °C.
Растворенная вакцина хранению не подлежит.
</t>
    </r>
    <r>
      <rPr>
        <rFont val="Arial"/>
        <i/>
        <color theme="1"/>
      </rPr>
      <t>Условия транспортирования:</t>
    </r>
    <r>
      <rPr>
        <rFont val="Arial"/>
        <color theme="1"/>
      </rPr>
      <t xml:space="preserve">
При температуре от 2 до 8 °С.</t>
    </r>
  </si>
  <si>
    <t>&lt;p&gt;Хранить при температуре от 2 до 8&amp;nbsp;°C.&lt;br&gt;
Растворенная вакцина хранению не подлежит.&lt;br&gt;&lt;br&gt;
&lt;i&gt;Условия транспортирования:&lt;/i&gt;&lt;br&gt;
При температуре от 2 до 8&amp;nbsp;°С.&lt;/p&gt;</t>
  </si>
  <si>
    <t>https://grls.rosminzdrav.ru/InstrImg/2023/08/17/1496293/a8893a4d-70e3-43dc-bc8a-446baf05ffc0.pdf</t>
  </si>
  <si>
    <t>Хранить при температуре от 2 до 8 °С.
Не замораживать.
Препарат из вскрытой ампулы должен быть использован немедленно.</t>
  </si>
  <si>
    <t>&lt;p&gt;Хранить при температуре от 2 до 8&amp;nbsp;°С.&lt;br&gt;
Не замораживать.&lt;br&gt;
Препарат из вскрытой ампулы должен быть использован немедленно.&lt;/p&gt;</t>
  </si>
  <si>
    <t>Вакцина: хранить и транспортировать при температуре от 2 до 8 °С включительно в соответствии с СанПин 3.3686-21.
Растворитель: хранить и транспортировать при температуре от 2 до 25 °С включительно.
Хранить в недоступном для детей месте!
Допускается хранение растворенной вакцины в течении 12 часов при температуре от 2 до 8 °С.</t>
  </si>
  <si>
    <t>&lt;p&gt;&lt;i&gt;Вакцина&lt;/i&gt;: хранить и транспортировать при температуре от 2 до 8&amp;nbsp;°С включительно в соответствии с СанПин 3.3686-21.&lt;br&gt;
&lt;i&gt;Растворитель&lt;/i&gt;: хранить и транспортировать при температуре от 2 до 25&amp;nbsp;°С включительно.&lt;br&gt;
Хранить в недоступном для детей месте!&lt;br&gt;
Допускается хранение растворенной вакцины в течении 12&amp;nbsp;часов при температуре от 2 до 8&amp;nbsp;°С.&lt;/p&gt;</t>
  </si>
  <si>
    <r>
      <rPr>
        <rFont val="Arial"/>
        <color theme="1"/>
      </rPr>
      <t xml:space="preserve">Хранить при температуре от 2 до 8 °С. Хранить в недоступном для детей месте.
Не замораживать!
Препарат во вскрытой ампуле хранению не подлежит.
</t>
    </r>
    <r>
      <rPr>
        <rFont val="Arial"/>
        <i/>
        <color theme="1"/>
      </rPr>
      <t>Условия транспортирования:</t>
    </r>
    <r>
      <rPr>
        <rFont val="Arial"/>
        <color theme="1"/>
      </rPr>
      <t xml:space="preserve">
Транспортировать при температуре от 2 до 8 °С. Не замораживать!</t>
    </r>
  </si>
  <si>
    <t>&lt;p&gt;Хранить при температуре от 2 до 8&amp;nbsp;°С. Хранить в недоступном для детей месте.&lt;br&gt;
Не замораживать!&lt;br&gt;
Препарат во вскрытой ампуле хранению не подлежит.&lt;br&gt;&lt;br&gt;
&lt;i&gt;Условия транспортирования:&lt;/i&gt;&lt;br&gt;
Транспортировать при температуре от 2 до 8&amp;nbsp;°С. Не замораживать!&lt;/p&gt;</t>
  </si>
  <si>
    <t>Хранить в оригинальной упаковке вдали от действия прямых солнечных лучей, придерживаясь температурного режима от -16 до -20 °С.
Хранение вскрытого флакона не допускается. Не допускается оттаивание и повторное замораживание лекарственного препарата!</t>
  </si>
  <si>
    <t>&lt;p&gt;Хранить в оригинальной упаковке вдали от действия прямых солнечных лучей, придерживаясь температурного режима от -16 до -20&amp;nbsp;°С.&lt;br&gt;&lt;br&gt;
Хранение вскрытого флакона не допускается. Не допускается оттаивание и повторное замораживание лекарственного препарата!&lt;/p&gt;</t>
  </si>
  <si>
    <r>
      <rPr>
        <rFont val="Arial"/>
        <color theme="1"/>
      </rPr>
      <t xml:space="preserve">В соответствии с СП 3.3.2.3332-16. В защищенном от света месте при температуре от 2 до 8 °С.
Хранить в недоступном для детей месте.
Вакцина во вскрытой ампуле должна использоваться немедленно.
</t>
    </r>
    <r>
      <rPr>
        <rFont val="Arial"/>
        <i/>
        <color theme="1"/>
      </rPr>
      <t>Условия транспортирования:</t>
    </r>
    <r>
      <rPr>
        <rFont val="Arial"/>
        <color theme="1"/>
      </rPr>
      <t xml:space="preserve">
В соответствии с СП 3.3.2.3332-16. При температуре от 2 до 8 °С.</t>
    </r>
  </si>
  <si>
    <t>&lt;p&gt;В соответствии с СП 3.3.2.3332-16. В защищенном от света месте при температуре от 2 до 8&amp;nbsp;°С.&lt;br&gt;
Хранить в недоступном для детей месте.&lt;br&gt;
Вакцина во вскрытой ампуле должна использоваться немедленно.&lt;br&gt;&lt;br&gt;
&lt;i&gt;Условия транспортирования:&lt;/i&gt;&lt;br&gt;
В соответствии с СП&amp;nbsp;3.3.2.3332-16. При температуре от 2 до 8&amp;nbsp;°С.&lt;/p&gt;</t>
  </si>
  <si>
    <r>
      <rPr>
        <rFont val="Arial"/>
        <color theme="1"/>
      </rPr>
      <t xml:space="preserve">В защищенном от света месте при температуре от 2 до 8 °С.
Не замораживать.
Хранить в недоступных для детей местах.
</t>
    </r>
    <r>
      <rPr>
        <rFont val="Arial"/>
        <i/>
        <color theme="1"/>
      </rPr>
      <t>Условия транспортирования:</t>
    </r>
    <r>
      <rPr>
        <rFont val="Arial"/>
        <color theme="1"/>
      </rPr>
      <t xml:space="preserve">
В защищенном от света месте при температуре от 2 до 8 °С. Не замораживать.</t>
    </r>
  </si>
  <si>
    <t>&lt;p&gt;В защищенном от света месте при температуре от 2 до 8&amp;nbsp;°С.&lt;br&gt;
Не замораживать.&lt;br&gt;
Хранить в недоступных для детей местах.&lt;br&gt;&lt;br&gt;
&lt;i&gt;Условия транспортирования:&lt;/i&gt;&lt;br&gt;
В защищенном от света месте при температуре от 2 до 8&amp;nbsp;°С. Не замораживать.&lt;/p&gt;</t>
  </si>
  <si>
    <r>
      <rPr>
        <rFont val="Arial"/>
        <color theme="1"/>
      </rPr>
      <t xml:space="preserve">Хранить в соответствии с СП 3.3.2.1248-03 при температуре от 2 до 8 °С в недоступном для детей месте. Замораживание не допускается.
</t>
    </r>
    <r>
      <rPr>
        <rFont val="Arial"/>
        <i/>
        <color theme="1"/>
      </rPr>
      <t>Условия транспортирования:</t>
    </r>
    <r>
      <rPr>
        <rFont val="Arial"/>
        <color theme="1"/>
      </rPr>
      <t xml:space="preserve">
Транспортировать в соответствии с СП 3.3.2.1248-03 при температуре от 2 до 8 °С в недоступном для детей месте. Замораживание не допускается.</t>
    </r>
  </si>
  <si>
    <t>&lt;p&gt;Хранить в соответствии с СП 3.3.2.1248-03 при температуре от 2 до 8&amp;nbsp;°С в недоступном для детей месте. Замораживание не допускается.&lt;br&gt;&lt;br&gt;
&lt;i&gt;Условия транспортирования:&lt;/i&gt;&lt;br&gt;
Транспортировать в соответствии с СП 3.3.2.1248-03 при температуре от 2 до 8&amp;nbsp;°С в недоступном для детей месте. Замораживание не допускается.&lt;/p&gt;</t>
  </si>
  <si>
    <r>
      <rPr>
        <rFont val="Arial"/>
        <color theme="1"/>
      </rPr>
      <t xml:space="preserve">Хранить при температуре от 2 до 8 °С. Не замораживать.
Препарат из вскрытого флакона с 10 дозами вакцины необходимо хранить при температуре от 2 до 8 °С и использовать в течение одного дня.
</t>
    </r>
    <r>
      <rPr>
        <rFont val="Arial"/>
        <i/>
        <color theme="1"/>
      </rPr>
      <t>Условия транспортирования:</t>
    </r>
    <r>
      <rPr>
        <rFont val="Arial"/>
        <color theme="1"/>
      </rPr>
      <t xml:space="preserve">
Транспортирование при температуре от 2 до 8 °С. Допускается кратковременное (не более 72 часов) транспортирование при температуре от 9 до 20 °С. Не замораживать.
</t>
    </r>
  </si>
  <si>
    <r>
      <rPr>
        <rFont val="Arial"/>
        <color theme="1"/>
      </rPr>
      <t xml:space="preserve">&lt;p&gt;Хранить при температуре от 2 до 8&amp;nbsp;°С. Не замораживать.&lt;br&gt;
Препарат из вскрытого флакона с 10&amp;nbsp;дозами вакцины необходимо хранить при температуре от 2 до 8&amp;nbsp;°С и использовать в течение одного дня.&lt;br&gt;&lt;br&gt;
</t>
    </r>
    <r>
      <rPr>
        <rFont val="Arial"/>
        <i/>
        <color theme="1"/>
      </rPr>
      <t>&lt;i&gt;Условия транспортирования:&lt;/i&gt;&lt;br&gt;</t>
    </r>
    <r>
      <rPr>
        <rFont val="Arial"/>
        <color theme="1"/>
      </rPr>
      <t xml:space="preserve">
Транспортирование при температуре от 2 до 8&amp;nbsp;°С. Допускается кратковременное (не более 72&amp;nbsp;часов) транспортирование при температуре от 9 до 20&amp;nbsp;°С. Не замораживать.&lt;/p&gt;</t>
    </r>
  </si>
  <si>
    <r>
      <rPr>
        <rFont val="Arial"/>
        <color theme="1"/>
      </rPr>
      <t xml:space="preserve">Вакцина хранится: на 1 и 2 уровнях «холодовой цепи» при температуре минус 20 °С и ниже или при температуре от 2 до 8 °С включительно. На 3-м и 4-м уровнях «холодовой цепи» вакцину хранят при температуре от 2 до 8 °С включительно.
Хранить в недоступном для детей месте.
Неиспользованная вакцина из вскрытого флакона может храниться не более 2-х суток при температуре от 2 до 8 °С включительно во флаконе, плотно закрытом капельницей или резиновой пробкой.
</t>
    </r>
    <r>
      <rPr>
        <rFont val="Arial"/>
        <i/>
        <color theme="1"/>
      </rPr>
      <t>Условия транспортирования:</t>
    </r>
    <r>
      <rPr>
        <rFont val="Arial"/>
        <color theme="1"/>
      </rPr>
      <t xml:space="preserve">
В соответствии с СанПиН 3.3686-21 при температуре от 2 до 8 °С включительно. Возможно транспортирование на 1 и 2 уровнях «холодовой цепи» в пределах от минус 20 °С до 8 °С включительно. При транспортировании вакцины в пределах от минус 20 °С до 8 °С включительно допускается повторное ее замораживание до минус 20 °С и ниже (на 2 уровне «холодовой цепи»).</t>
    </r>
  </si>
  <si>
    <t>&lt;p&gt;Вакцина хранится: на 1 и 2 уровнях «холодовой цепи» при температуре минус 20&amp;nbsp;°С и ниже или при температуре от 2 до 8&amp;nbsp;°С включительно. На 3-м и 4-м уровнях «холодовой цепи» вакцину хранят при температуре от 2 до 8&amp;nbsp;°С включительно.&lt;br&gt;
Хранить в недоступном для детей месте.&lt;br&gt;
Неиспользованная вакцина из вскрытого флакона может храниться не более 2-х суток при температуре от 2 до 8&amp;nbsp;°С включительно во флаконе, плотно закрытом капельницей или резиновой пробкой.&lt;br&gt;&lt;br&gt;
&lt;i&gt;Условия транспортирования:&lt;/i&gt;&lt;br&gt;
В соответствии с СанПиН&amp;nbsp;3.3686-21 при температуре от 2 до 8&amp;nbsp;°С включительно. Возможно транспортирование на 1 и 2&amp;nbsp;уровнях «холодовой цепи» в пределах от минус 20&amp;nbsp;°С до 8&amp;nbsp;°С включительно. При транспортировании вакцины в пределах от минус 20&amp;nbsp;°С до 8&amp;nbsp;°С включительно допускается повторное ее замораживание до минус 20&amp;nbsp;°С и ниже (на 2&amp;nbsp;уровне «холодовой цепи»).&lt;/p&gt;</t>
  </si>
  <si>
    <t>Транспортировать и хранить при температуре от 2 до 8 °С в соответствии с СП 3.3.2-1248-03 в недоступном для детей месте.</t>
  </si>
  <si>
    <t>&lt;p&gt;Транспортировать и хранить при температуре от 2 до 8&amp;nbsp;°С в соответствии с СП 3.3.2-1248-03 в недоступном для детей месте.&lt;/p&gt;</t>
  </si>
  <si>
    <r>
      <rPr>
        <rFont val="Arial"/>
        <color theme="1"/>
      </rPr>
      <t xml:space="preserve">В защищенном от света месте при температуре 2-8 °C.
Не замораживать.
Хранить в недоступном для детей месте!
Восстановленную суспензию препарата необходимо предохранять от действия дневного солнечного света и использовать сразу после приготовления.
</t>
    </r>
    <r>
      <rPr>
        <rFont val="Arial"/>
        <i/>
        <color theme="1"/>
      </rPr>
      <t>Условия транспортирования:</t>
    </r>
    <r>
      <rPr>
        <rFont val="Arial"/>
        <color theme="1"/>
      </rPr>
      <t xml:space="preserve">
При температуре от 2 до 8 °С. Не замораживать.</t>
    </r>
  </si>
  <si>
    <t>&lt;p&gt;В защищенном от света месте при температуре 2-8&amp;nbsp;°C.&lt;br&gt;
Не замораживать.&lt;br&gt;
Хранить в недоступном для детей месте!&lt;br&gt;
Восстановленную суспензию препарата необходимо предохранять от действия дневного солнечного света и использовать сразу после приготовления.&lt;br&gt;&lt;br&gt;
&lt;i&gt;Условия транспортирования:&lt;/i&gt;&lt;br&gt;
При температуре от 2 до 8&amp;nbsp;°С. Не замораживать.&lt;/p&gt;</t>
  </si>
  <si>
    <t>Хранить и транспортировать в соответствии с СП 3.3.2.1248-03 при температуре от 2 до 8 °С в недоступном для детей месте.
Замораживание не допускается.
Препарат во вскрытой ампуле хранению не подлежит.</t>
  </si>
  <si>
    <t>&lt;p&gt;Хранить и транспортировать в соответствии с СП 3.3.2.1248-03 при температуре от 2 до 8&amp;nbsp;°С в недоступном для детей месте.&lt;br&gt;
Замораживание не допускается.&lt;br&gt;
Препарат во вскрытой ампуле хранению не подлежит.&lt;/p&gt;</t>
  </si>
  <si>
    <r>
      <rPr>
        <rFont val="Arial"/>
        <color theme="1"/>
      </rPr>
      <t xml:space="preserve">Хранить в защищенном от света месте при температуре от 2 до 8 °С.
Беречь от детей!
Не замораживать! Препарат, подвергшийся замораживанию, применению не подлежит.
</t>
    </r>
    <r>
      <rPr>
        <rFont val="Arial"/>
        <i/>
        <color theme="1"/>
      </rPr>
      <t>Условия транспортирования:</t>
    </r>
    <r>
      <rPr>
        <rFont val="Arial"/>
        <color theme="1"/>
      </rPr>
      <t xml:space="preserve">
Транспортирование всеми видами крытого транспорта в светонепроницаемых контейнерах при температуре от 2 до 8 °С в условиях, исключающих замораживание. Допускается транспортирование при температуре до 25 °С в течение 6 часов.</t>
    </r>
  </si>
  <si>
    <t>&lt;p&gt;Хранить в защищенном от света месте при температуре от 2 до 8&amp;nbsp;°С.&lt;br&gt;
Беречь от детей!&lt;br&gt;
Не замораживать! Препарат, подвергшийся замораживанию, применению не подлежит.&lt;br&gt;&lt;br&gt;
&lt;i&gt;Условия транспортирования:&lt;/i&gt;&lt;br&gt;
Транспортирование всеми видами крытого транспорта в светонепроницаемых контейнерах при температуре от 2 до 8&amp;nbsp;°С в условиях, исключающих замораживание. Допускается транспортирование при температуре до 25&amp;nbsp;°С в течение 6&amp;nbsp;часов.&lt;/p&gt;</t>
  </si>
  <si>
    <r>
      <rPr>
        <rFont val="Arial"/>
        <color theme="1"/>
      </rPr>
      <t xml:space="preserve">Хранить в защищенном от света месте при температуре от 2 до 8 °С, в соответствии с СП 3.3.2.1248-03.
Беречь от детей!
Не замораживать! Препарат, подвергшийся замораживанию, применению не подлежит.
</t>
    </r>
    <r>
      <rPr>
        <rFont val="Arial"/>
        <i/>
        <color theme="1"/>
      </rPr>
      <t>Условия транспортирования:</t>
    </r>
    <r>
      <rPr>
        <rFont val="Arial"/>
        <color theme="1"/>
      </rPr>
      <t xml:space="preserve">
Транспортирование всеми видами крытого транспорта в светонепроницаемых контейнерах при температуре от 2 до 8 °С в условиях, исключающих замораживание. Допускается транспортирование при температуре до 25 °С в течение 6 часов.</t>
    </r>
  </si>
  <si>
    <t>&lt;p&gt;Хранить в защищенном от света месте при температуре от 2 до 8&amp;nbsp;°С, в соответствии с СП 3.3.2.1248-03.&lt;br&gt;
Беречь от детей!&lt;br&gt;
Не замораживать! Препарат, подвергшийся замораживанию, применению не подлежит.&lt;br&gt;&lt;br&gt;
&lt;i&gt;Условия транспортирования:&lt;/i&gt;&lt;br&gt;
Транспортирование всеми видами крытого транспорта в светонепроницаемых контейнерах при температуре от 2 до 8&amp;nbsp;°С в условиях, исключающих замораживание. Допускается транспортирование при температуре до 25&amp;nbsp;°С в течение 6&amp;nbsp;часов.&lt;/p&gt;</t>
  </si>
  <si>
    <r>
      <rPr>
        <rFont val="Arial"/>
        <color theme="1"/>
      </rPr>
      <t xml:space="preserve">Хранить в защищенном от света месте при температуре от 2 до 8 °С.
Беречь от детей!
Не замораживать! Препарат, подвергшийся замораживанию, применению не подлежит.
</t>
    </r>
    <r>
      <rPr>
        <rFont val="Arial"/>
        <i/>
        <color theme="1"/>
      </rPr>
      <t>Условия транспортирования:</t>
    </r>
    <r>
      <rPr>
        <rFont val="Arial"/>
        <color theme="1"/>
      </rPr>
      <t xml:space="preserve">
Транспортирование всеми видами крытого транспорта в светонепроницаемых контейнерах при температуре от 2 до 8 °С в условиях, исключающих замораживание.</t>
    </r>
  </si>
  <si>
    <t>&lt;p&gt;Хранить в защищенном от света месте при температуре от 2 до 8&amp;nbsp;°С.&lt;br&gt;
Беречь от детей!&lt;br&gt;
Не замораживать! Препарат, подвергшийся замораживанию, применению не подлежит.&lt;br&gt;&lt;br&gt;
&lt;i&gt;Условия транспортирования:&lt;/i&gt;&lt;br&gt;
Транспортирование всеми видами крытого транспорта в светонепроницаемых контейнерах при температуре от 2 до 8&amp;nbsp;°С в условиях, исключающих замораживание.&lt;/p&gt;</t>
  </si>
  <si>
    <t>https://grls.rosminzdrav.ru/InstrImg/2020/11/23/146563/15b7229f-0643-4cc6-991c-49f83901eb37.pdf</t>
  </si>
  <si>
    <r>
      <rPr>
        <rFont val="Arial"/>
        <color theme="1"/>
      </rPr>
      <t xml:space="preserve">При температуре от 2 до 8 °С. Замораживание не допускается.
Хранить в недоступном для детей месте.
Растворенная вакцина должна быть использована в течение 30 минут.
</t>
    </r>
    <r>
      <rPr>
        <rFont val="Arial"/>
        <i/>
        <color theme="1"/>
      </rPr>
      <t>Условия транспортирования:</t>
    </r>
    <r>
      <rPr>
        <rFont val="Arial"/>
        <color theme="1"/>
      </rPr>
      <t xml:space="preserve">
В соответствии с СП 3.3.2.3332-16 при температуре от 2 до 8 °С </t>
    </r>
  </si>
  <si>
    <t>&lt;p&gt;При температуре от 2 до 8&amp;nbsp;°С. Замораживание не допускается.&lt;br&gt;
Хранить в недоступном для детей месте.&lt;br&gt;
Растворенная вакцина должна быть использована в течение 30&amp;nbsp;минут.&lt;br&gt;&lt;br&gt;
&lt;i&gt;Условия транспортирования:&lt;/i&gt;&lt;br&gt;
В соответствии с СП&amp;nbsp;3.3.2.3332-16 при температуре от 2 до 8&amp;nbsp;°С &lt;/p&gt;</t>
  </si>
  <si>
    <r>
      <rPr>
        <rFont val="Arial"/>
        <color theme="1"/>
      </rPr>
      <t xml:space="preserve">Хранить при температуре от 2 до 8 °С. Не замораживать.
Препарат во вскрытой ампуле хранению не подлежит.
</t>
    </r>
    <r>
      <rPr>
        <rFont val="Arial"/>
        <i/>
        <color theme="1"/>
      </rPr>
      <t>Условия транспортирования:</t>
    </r>
    <r>
      <rPr>
        <rFont val="Arial"/>
        <color theme="1"/>
      </rPr>
      <t xml:space="preserve">
При температуре от 2 до 8 °С. Замораживание не допускается.</t>
    </r>
  </si>
  <si>
    <t>&lt;p&gt;Хранить при температуре от 2 до 8&amp;nbsp;°С. Не замораживать.&lt;br&gt;
Препарат во вскрытой ампуле хранению не подлежит.&lt;br&gt;&lt;br&gt;
&lt;i&gt;Условия транспортирования:&lt;/i&gt;&lt;br&gt;
При температуре от 2 до 8&amp;nbsp;°С. Замораживание не допускается.&lt;/p&gt;</t>
  </si>
  <si>
    <r>
      <rPr>
        <rFont val="Arial"/>
        <color theme="1"/>
      </rPr>
      <t xml:space="preserve">Хранить в защищенном от света месте при температуре от 2 до 8 °С, в соответствии с СП 3.3.2.1248-03.
Беречь от детей!
Не замораживать! Препарат, подвергшийся замораживанию, применению не подлежит.
</t>
    </r>
    <r>
      <rPr>
        <rFont val="Arial"/>
        <i/>
        <color theme="1"/>
      </rPr>
      <t>Условия транспортирования:</t>
    </r>
    <r>
      <rPr>
        <rFont val="Arial"/>
        <color theme="1"/>
      </rPr>
      <t xml:space="preserve">
Транспортирование всеми видами крытого транспорта при температуре от 2 до 8 °С в условиях, исключающих замораживание. Допускается транспортирование при температуре до 25 °С в течение 6 часов.</t>
    </r>
  </si>
  <si>
    <t>&lt;p&gt;Хранить в защищенном от света месте при температуре от 2 до 8&amp;nbsp;°С, в соответствии с СП 3.3.2.1248-03.&lt;br&gt;
Беречь от детей!&lt;br&gt;
Не замораживать! Препарат, подвергшийся замораживанию, применению не подлежит.&lt;br&gt;&lt;br&gt;
&lt;i&gt;Условия транспортирования:&lt;/i&gt;&lt;br&gt;
Транспортирование всеми видами крытого транспорта при температуре от 2 до 8&amp;nbsp;°С в условиях, исключающих замораживание. Допускается транспортирование при температуре до 25&amp;nbsp;°С в течение 6&amp;nbsp;часов.&lt;/p&gt;</t>
  </si>
  <si>
    <r>
      <rPr>
        <rFont val="Arial"/>
        <color theme="1"/>
      </rPr>
      <t xml:space="preserve">Хранить при температуре от 2 до 8 °С. Не замораживать.
Растворенная вакцина должна быть использована в течение 30 мин.
</t>
    </r>
    <r>
      <rPr>
        <rFont val="Arial"/>
        <i/>
        <color theme="1"/>
      </rPr>
      <t>Условия транспортирования:</t>
    </r>
    <r>
      <rPr>
        <rFont val="Arial"/>
        <color theme="1"/>
      </rPr>
      <t xml:space="preserve">
При температуре от 2 до 8 °С. Допускается транспортирование при температуре от 9 до 25 °С не более 10 суток.</t>
    </r>
  </si>
  <si>
    <t>&lt;p&gt;Хранить при температуре от 2 до 8&amp;nbsp;°С. Не замораживать.&lt;br&gt;
Растворенная вакцина должна быть использована в течение 30&amp;nbsp;мин.&lt;br&gt;&lt;br&gt;
&lt;i&gt;Условия транспортирования:&lt;/i&gt;&lt;br&gt;
При температуре от 2 до 8&amp;nbsp;°С. Допускается транспортирование при температуре от 9 до 25&amp;nbsp;°С не более 10&amp;nbsp;суток.&lt;/p&gt;</t>
  </si>
  <si>
    <t>https://grls.rosminzdrav.ru/InstrImg/2024/11/12/1510570/30498232-70f4-43ae-bc27-e391c89b19fc.pdf</t>
  </si>
  <si>
    <t>Вакцину хранят и транспортируют при температуре от 2 до 8 °С в недоступном для детей месте.
Восстановленный препарат хранению не подлежит.</t>
  </si>
  <si>
    <t>&lt;p&gt;Вакцину хранят и транспортируют при температуре от 2 до 8&amp;nbsp;°С в недоступном для детей месте.&lt;br&gt;
Восстановленный препарат хранению не подлежит.&lt;/p&gt;</t>
  </si>
  <si>
    <t>Вакцину хранят и транспортируют при температуре от 2 до 8 °С в сухом и недоступном для детей месте. Замораживание не допускается. Допускается транспортирование при температуре от 9 до 25 °С продолжительностью не более 10 сут.
Растворенная вакцина должна быть использована в течение 30 мин.</t>
  </si>
  <si>
    <t>&lt;p&gt;Вакцину хранят и транспортируют при температуре от 2 до 8&amp;nbsp;°С в сухом и недоступном для детей месте. Замораживание не допускается. Допускается транспортирование при температуре от 9 до 25&amp;nbsp;°С продолжительностью не более 10&amp;nbsp;сут.&lt;br&gt;
Растворенная вакцина должна быть использована в течение 30&amp;nbsp;мин.&lt;/p&gt;</t>
  </si>
  <si>
    <t>Хранить и транспортировать при температуре от 2 до 8 °С. Не замораживать.
Препарат во вскрытой ампуле хранению не подлежит.</t>
  </si>
  <si>
    <t>&lt;p&gt;Хранить и транспортировать при температуре от 2 до 8&amp;nbsp;°С. Не замораживать.&lt;br&gt;
Препарат во вскрытой ампуле хранению не подлежит.&lt;/p&gt;</t>
  </si>
  <si>
    <t>Вакцину транспортируют и хранят в защищенном от света месте при температуре от 2 до 8 °C.</t>
  </si>
  <si>
    <t>&lt;p&gt;Вакцину транспортируют и хранят в защищенном от света месте при температуре от 2 до 8&amp;nbsp;°C.&lt;/p&gt;</t>
  </si>
  <si>
    <t>https://grls.rosminzdrav.ru/InstrImg/2024/09/30/1509113/77c4bff0-a3f7-4713-8f46-c0fd6519847f.pdf</t>
  </si>
  <si>
    <t>Хранить и транспортировать по СП 3.3.2.3332-16 при температуре от 2 до 8 °С в защищенном от света месте. Хранить в недоступном для детей месте. Замораживание не допускается.
Лекарственный препарат во вскрытой ампуле хранению не подлежит.</t>
  </si>
  <si>
    <t>&lt;p&gt;Хранить и транспортировать по СП&amp;nbsp;3.3.2.3332-16 при температуре от 2 до 8&amp;nbsp;°С в защищенном от света месте. Хранить в недоступном для детей месте. Замораживание не допускается.&lt;br&gt;
Лекарственный препарат во вскрытой ампуле хранению не подлежит.&lt;/p&gt;</t>
  </si>
  <si>
    <t>Хранить в оригинальной упаковке в защищённом от света месте при температуре от 2 до 8 °С.
Хранить в недоступном для детей месте.
Восстановленный препарат использовать немедленно.</t>
  </si>
  <si>
    <t>&lt;p&gt;Хранить в оригинальной упаковке в защищённом от света месте при температуре от 2 до 8&amp;nbsp;°С.&lt;br&gt;
Хранить в недоступном для детей месте.&lt;br&gt;
Восстановленный препарат использовать немедленно.&lt;/p&gt;</t>
  </si>
  <si>
    <r>
      <rPr>
        <rFont val="Arial"/>
        <color theme="1"/>
      </rPr>
      <t xml:space="preserve">Хранить при температуре от 2 до 8 °С. Не замораживать.
Препарат из вскрытого флакона с 10 дозами вакцины необходимо хранить при температуре от 2 до 8 °С и использовать в течение одного дня.
</t>
    </r>
    <r>
      <rPr>
        <rFont val="Arial"/>
        <i/>
        <color theme="1"/>
      </rPr>
      <t>Условия транспортирования:</t>
    </r>
    <r>
      <rPr>
        <rFont val="Arial"/>
        <color theme="1"/>
      </rPr>
      <t xml:space="preserve">
Транспортирование при температуре от 2 до 8 °С. Допускается кратковременное (не более 72 часов) транспортирование при температуре от 9 до 20 °С. Не замораживать.
</t>
    </r>
  </si>
  <si>
    <r>
      <rPr>
        <rFont val="Arial"/>
        <color theme="1"/>
      </rPr>
      <t xml:space="preserve">&lt;p&gt;Хранить при температуре от 2 до 8&amp;nbsp;°С. Не замораживать.&lt;br&gt;
Препарат из вскрытого флакона с 10&amp;nbsp;дозами вакцины необходимо хранить при температуре от 2 до 8&amp;nbsp;°С и использовать в течение одного дня.&lt;br&gt;&lt;br&gt;
</t>
    </r>
    <r>
      <rPr>
        <rFont val="Arial"/>
        <i/>
        <color theme="1"/>
      </rPr>
      <t>&lt;i&gt;Условия транспортирования:&lt;/i&gt;&lt;br&gt;</t>
    </r>
    <r>
      <rPr>
        <rFont val="Arial"/>
        <color theme="1"/>
      </rPr>
      <t xml:space="preserve">
Транспортирование при температуре от 2 до 8&amp;nbsp;°С. Допускается кратковременное (не более 72&amp;nbsp;часов) транспортирование при температуре от 9 до 20&amp;nbsp;°С. Не замораживать.&lt;/p&gt;</t>
    </r>
  </si>
  <si>
    <t>Хранить в холодильнике (2–8 °С), в оригинальной упаковке (в пачке картонной) для того, чтобы защитить от света. Не замораживать.
Данные о стабильности свидетельствуют о том, что компоненты вакцины стабильны при температуре до 25 °C в течение 72 часов. Вакцину Гексаксим следует использовать в течение этого периода.</t>
  </si>
  <si>
    <t>&lt;p&gt;Хранить в холодильнике (2–8&amp;nbsp;°С), в оригинальной упаковке (в пачке картонной) для того, чтобы защитить от света. Не замораживать.&lt;br&gt;
Данные о стабильности свидетельствуют о том, что компоненты вакцины стабильны при температуре до 25&amp;nbsp;°C в течение 72&amp;nbsp;часов. Вакцину Гексаксим следует использовать в течение этого периода.&lt;/p&gt;</t>
  </si>
  <si>
    <t>https://grls.rosminzdrav.ru/InstrImg/2024/08/14/1507898/db0136d1-e26f-4e9e-9e19-b5bbe79e1c9c.pdf</t>
  </si>
  <si>
    <r>
      <rPr>
        <rFont val="Arial"/>
        <color theme="1"/>
      </rPr>
      <t xml:space="preserve">Хранить в защищенном от света месте при температуре от 2 до 8 °С. Не замораживать.
Хранить в недоступном для детей месте.
Хранение вскрытого флакона не допускается.
</t>
    </r>
    <r>
      <rPr>
        <rFont val="Arial"/>
        <i/>
        <color theme="1"/>
      </rPr>
      <t>Условия транспортирования:</t>
    </r>
    <r>
      <rPr>
        <rFont val="Arial"/>
        <color theme="1"/>
      </rPr>
      <t xml:space="preserve">
При температуре от 2 до 8 °С. Не замораживать.</t>
    </r>
  </si>
  <si>
    <t>&lt;p&gt;Хранить в защищенном от света месте при температуре от 2 до 8&amp;nbsp;°С. Не замораживать.&lt;br&gt;
Хранить в недоступном для детей месте.&lt;br&gt;
Хранение вскрытого флакона не допускается.&lt;br&gt;&lt;br&gt;
&lt;i&gt;Условия транспортирования:&lt;/i&gt;&lt;br&gt;
При температуре от 2 до 8&amp;nbsp;°С. Не замораживать.&lt;/p&gt;</t>
  </si>
  <si>
    <r>
      <rPr>
        <rFont val="Arial"/>
        <color theme="1"/>
      </rPr>
      <t xml:space="preserve">Хранить в защищенном от света месте при температуре не выше минус 18 °С. Повторное замораживание не допускается. Хранить в недоступном для детей месте.
Не допускается хранение размороженноrо лекарственноrо препарата! 
</t>
    </r>
    <r>
      <rPr>
        <rFont val="Arial"/>
        <i/>
        <color theme="1"/>
      </rPr>
      <t>Условия транспортирования:</t>
    </r>
    <r>
      <rPr>
        <rFont val="Arial"/>
        <color theme="1"/>
      </rPr>
      <t xml:space="preserve">
При температуре от 2 до 8 °С. Не замораживать.</t>
    </r>
  </si>
  <si>
    <t>&lt;p&gt;Хранить в защищенном от света месте при температуре не выше минус 18&amp;nbsp;°С. Повторное замораживание не допускается. Хранить в недоступном для детей месте.&lt;br&gt;
Не допускается хранение размороженноrо лекарственноrо препарата! &lt;br&gt;&lt;br&gt;
&lt;i&gt;Условия транспортирования:&lt;/i&gt;&lt;br&gt;
При температуре от 2 до 8&amp;nbsp;°С. Не замораживать.&lt;/p&gt;</t>
  </si>
  <si>
    <t>Хранить и перевозить в холодильнике (2-8 °C), в оригинальной упаковке (флакон в пачке). Замораживание не допускается.
Неиспользованная вакцина хранению не подлежит.</t>
  </si>
  <si>
    <t>&lt;p&gt;Хранить и перевозить в холодильнике (2-8&amp;nbsp;°C), в оригинальной упаковке (флакон в пачке). Замораживание не допускается.&lt;br&gt;
Неиспользованная вакцина хранению не подлежит.&lt;/p&gt;</t>
  </si>
  <si>
    <t>Хранить при температуре от 2 до 8 °С, в оригинальной упаковке (картонная пачка).
Не замораживать.
Неиспользованная вакцина хранению не подлежит.</t>
  </si>
  <si>
    <t>&lt;p&gt;Хранить при температуре от 2 до 8&amp;nbsp;°С, в оригинальной упаковке (картонная пачка).&lt;br&gt;
Не замораживать.&lt;br&gt;
Неиспользованная вакцина хранению не подлежит.&lt;/p&gt;</t>
  </si>
  <si>
    <r>
      <rPr>
        <rFont val="Arial"/>
        <color theme="1"/>
      </rPr>
      <t xml:space="preserve">При температуре от 2 до 8 °С, в защищенном от света месте. Не замораживать.
Хранить в недоступном для детей месте!
</t>
    </r>
    <r>
      <rPr>
        <rFont val="Arial"/>
        <i/>
        <color theme="1"/>
      </rPr>
      <t>Условия транспортирования:</t>
    </r>
    <r>
      <rPr>
        <rFont val="Arial"/>
        <color theme="1"/>
      </rPr>
      <t xml:space="preserve">
При температуре от 2 до 8 °С, в защищенном от света месте. Не замораживать.</t>
    </r>
  </si>
  <si>
    <t>Хранить в холодильнике (2–8 °C). Не замораживать.
Предварительно наполненные шприцы следует хранить в холодильнике в горизонтальном положении, чтобы свести к минимуму время ресуспендирования.
Если препарат был заморожен, его следует утилизировать.
Препарат Превенар 20 следует использовать как можно скорее после извлечения из холодильника.
Данные по стабильности показывают, что препарат стабилен в течение 96 часов при хранении при температуре от 8 до 25 °C или в течение 72 часов при хранении при температуре от 0 до 2 °C. К концу этих сроков препарат Превенар 20 должен быть уже использован или его следует утилизировать.</t>
  </si>
  <si>
    <t>&lt;p&gt;Хранить в холодильнике (2–8&amp;nbsp;°C). Не замораживать.&lt;br&gt;
Предварительно наполненные шприцы следует хранить в холодильнике в горизонтальном положении, чтобы свести к минимуму время ресуспендирования.&lt;br&gt;
Если препарат был заморожен, его следует утилизировать.&lt;br&gt;
Препарат Превенар&amp;nbsp;20 следует использовать как можно скорее после извлечения из холодильника.&lt;br&gt;
Данные по стабильности показывают, что препарат стабилен в течение 96&amp;nbsp;часов при хранении при температуре от 8 до 25&amp;nbsp;°C или в течение 72&amp;nbsp;часов при хранении при температуре от 0 до 2&amp;nbsp;°C. К концу этих сроков препарат Превенар 20 должен быть уже использован или его следует утилизировать.&lt;/p&gt;</t>
  </si>
  <si>
    <t>Хранить и транспортировать при температуре от 2 до 8 °C. Не замораживать.
Препарат во вскрытой ампуле хранению не подлежит.</t>
  </si>
  <si>
    <t>&lt;p&gt;Хранить и транспортировать при температуре от 2 до 8&amp;nbsp;°C. Не замораживать.&lt;br&gt;&lt;br&gt;
Препарат во вскрытой ампуле хранению не подлежит.&lt;/p&gt;</t>
  </si>
  <si>
    <r>
      <rPr>
        <rFont val="Arial"/>
        <color theme="1"/>
      </rPr>
      <t xml:space="preserve">Хранить в холодильнике (2–8 °С). Не замораживать.
</t>
    </r>
    <r>
      <rPr>
        <rFont val="Arial"/>
        <i/>
        <color theme="1"/>
      </rPr>
      <t>Хранение растворителя:</t>
    </r>
    <r>
      <rPr>
        <rFont val="Arial"/>
        <color theme="1"/>
      </rPr>
      <t xml:space="preserve"> допускается хранить при температуре не выше 25 °С. Не замораживать.
Хранить в оригинальной вторичной упаковке с целью защиты от света.
</t>
    </r>
    <r>
      <rPr>
        <rFont val="Arial"/>
        <i/>
        <color theme="1"/>
      </rPr>
      <t>Восстановленная вакцина</t>
    </r>
    <r>
      <rPr>
        <rFont val="Arial"/>
        <color theme="1"/>
      </rPr>
      <t xml:space="preserve">
После восстановления растворителем вакцину необходимо использовать немедленно. Хотя задержка не рекомендуется, продемонстрирована стабильность после восстановления в течение 8 часов при 30 °С. Если восстановленная вакцина не использована в течение 8 часов — вакцину не вводить.</t>
    </r>
  </si>
  <si>
    <r>
      <rPr>
        <rFont val="Arial"/>
        <color theme="1"/>
      </rPr>
      <t xml:space="preserve">&lt;p&gt;Хранить в холодильнике (2–8&amp;nbsp;°С). Не замораживать.&lt;br&gt;
</t>
    </r>
    <r>
      <rPr>
        <rFont val="Arial"/>
        <i/>
        <color theme="1"/>
      </rPr>
      <t>&lt;i&gt;Хранение растворителя:&lt;/i&gt;</t>
    </r>
    <r>
      <rPr>
        <rFont val="Arial"/>
        <color theme="1"/>
      </rPr>
      <t xml:space="preserve"> допускается хранить при температуре не выше 25&amp;nbsp;°С. Не замораживать.&lt;br&gt;
Хранить в оригинальной вторичной упаковке с целью защиты от света.&lt;br&gt;
</t>
    </r>
    <r>
      <rPr>
        <rFont val="Arial"/>
        <i/>
        <color theme="1"/>
      </rPr>
      <t>&lt;i&gt;Восстановленная вакцина&lt;/i&gt;&lt;br&gt;</t>
    </r>
    <r>
      <rPr>
        <rFont val="Arial"/>
        <color theme="1"/>
      </rPr>
      <t xml:space="preserve">
После восстановления растворителем вакцину необходимо использовать немедленно. Хотя задержка не рекомендуется, продемонстрирована стабильность после восстановления в течение 8&amp;nbsp;часов при 30&amp;nbsp;°С. Если восстановленная вакцина не использована в течение 8&amp;nbsp;часов — вакцину не вводить.&lt;/p&gt;</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</si>
</sst>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quot;.&quot;mm&quot;.&quot;yyyy"/>
    <numFmt numFmtId="166" formatCode="dd.mm.yyyy"/>
  </numFmts>
  <fonts count="19">
    <font>
      <sz val="10.0"/>
      <color rgb="FF000000"/>
      <name val="Arial"/>
      <scheme val="minor"/>
    </font>
    <font>
      <b/>
      <color theme="1"/>
      <name val="Arial"/>
    </font>
    <font>
      <b/>
      <color theme="1"/>
      <name val="Arial"/>
      <scheme val="minor"/>
    </font>
    <font>
      <color theme="1"/>
      <name val="Arial"/>
    </font>
    <font>
      <u/>
      <color rgb="FF0000FF"/>
    </font>
    <font>
      <color theme="1"/>
      <name val="Arial"/>
      <scheme val="minor"/>
    </font>
    <font>
      <u/>
      <color rgb="FF1155CC"/>
      <name val="Arial"/>
    </font>
    <font>
      <u/>
      <color theme="1"/>
      <name val="Arial"/>
      <scheme val="minor"/>
    </font>
    <font>
      <u/>
      <color rgb="FF0000FF"/>
    </font>
    <font>
      <u/>
      <color rgb="FF0000FF"/>
    </font>
    <font>
      <u/>
      <color theme="1"/>
      <name val="Arial"/>
      <scheme val="minor"/>
    </font>
    <font>
      <u/>
      <color rgb="FF1155CC"/>
      <name val="Arial"/>
    </font>
    <font>
      <u/>
      <color rgb="FF1155CC"/>
      <name val="Arial"/>
    </font>
    <font>
      <u/>
      <color rgb="FF1155CC"/>
      <name val="Arial"/>
    </font>
    <font>
      <u/>
      <color rgb="FF1155CC"/>
      <name val="Arial"/>
    </font>
    <font>
      <i/>
      <color theme="1"/>
      <name val="Arial"/>
      <scheme val="minor"/>
    </font>
    <font>
      <color rgb="FF000000"/>
      <name val="Arial"/>
    </font>
    <font>
      <u/>
      <color theme="1"/>
      <name val="Arial"/>
      <scheme val="minor"/>
    </font>
    <font>
      <u/>
      <color rgb="FF1155CC"/>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2" numFmtId="0" xfId="0" applyAlignment="1" applyFont="1">
      <alignment shrinkToFit="0" wrapText="1"/>
    </xf>
    <xf borderId="0" fillId="0" fontId="2" numFmtId="164" xfId="0" applyFont="1" applyNumberFormat="1"/>
    <xf borderId="0" fillId="0" fontId="3" numFmtId="0" xfId="0" applyAlignment="1" applyFont="1">
      <alignment horizontal="right" vertical="bottom"/>
    </xf>
    <xf borderId="0" fillId="0" fontId="3" numFmtId="0" xfId="0" applyAlignment="1" applyFont="1">
      <alignment vertical="bottom"/>
    </xf>
    <xf borderId="0" fillId="0" fontId="4" numFmtId="0" xfId="0" applyFont="1"/>
    <xf borderId="0" fillId="0" fontId="5" numFmtId="0" xfId="0" applyFont="1"/>
    <xf borderId="0" fillId="0" fontId="5" numFmtId="0" xfId="0" applyAlignment="1" applyFont="1">
      <alignment shrinkToFit="0" wrapText="1"/>
    </xf>
    <xf borderId="0" fillId="0" fontId="5" numFmtId="164" xfId="0" applyFont="1" applyNumberFormat="1"/>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 numFmtId="164" xfId="0" applyAlignment="1" applyFont="1" applyNumberFormat="1">
      <alignment shrinkToFit="0" vertical="bottom" wrapText="1"/>
    </xf>
    <xf borderId="0" fillId="0" fontId="5" numFmtId="0" xfId="0" applyAlignment="1" applyFont="1">
      <alignment readingOrder="0" shrinkToFit="0" vertical="bottom" wrapText="1"/>
    </xf>
    <xf borderId="0" fillId="0" fontId="3" numFmtId="164" xfId="0" applyAlignment="1" applyFont="1" applyNumberFormat="1">
      <alignment horizontal="right" vertical="bottom"/>
    </xf>
    <xf borderId="0" fillId="0" fontId="3" numFmtId="0" xfId="0" applyAlignment="1" applyFont="1">
      <alignment vertical="bottom"/>
    </xf>
    <xf borderId="0" fillId="0" fontId="6" numFmtId="0" xfId="0" applyAlignment="1" applyFont="1">
      <alignment vertical="bottom"/>
    </xf>
    <xf borderId="0" fillId="0" fontId="3" numFmtId="164" xfId="0" applyAlignment="1" applyFont="1" applyNumberFormat="1">
      <alignment horizontal="right" readingOrder="0" vertical="bottom"/>
    </xf>
    <xf borderId="0" fillId="0" fontId="3" numFmtId="165" xfId="0" applyAlignment="1" applyFont="1" applyNumberFormat="1">
      <alignment horizontal="right" vertical="bottom"/>
    </xf>
    <xf borderId="0" fillId="0" fontId="7" numFmtId="0" xfId="0" applyAlignment="1" applyFont="1">
      <alignment readingOrder="0"/>
    </xf>
    <xf borderId="0" fillId="0" fontId="3" numFmtId="0" xfId="0" applyAlignment="1" applyFont="1">
      <alignment horizontal="right" vertical="bottom"/>
    </xf>
    <xf borderId="0" fillId="0" fontId="5" numFmtId="164" xfId="0" applyAlignment="1" applyFont="1" applyNumberForma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shrinkToFit="0" vertical="center" wrapText="1"/>
    </xf>
    <xf borderId="0" fillId="0" fontId="3" numFmtId="166" xfId="0" applyAlignment="1" applyFont="1" applyNumberFormat="1">
      <alignment horizontal="right" readingOrder="0" vertical="bottom"/>
    </xf>
    <xf borderId="0" fillId="0" fontId="5" numFmtId="166" xfId="0" applyAlignment="1" applyFont="1" applyNumberFormat="1">
      <alignment readingOrder="0"/>
    </xf>
    <xf borderId="0" fillId="0" fontId="11" numFmtId="0" xfId="0" applyAlignment="1" applyFont="1">
      <alignment shrinkToFit="0" vertical="bottom" wrapText="0"/>
    </xf>
    <xf borderId="0" fillId="0" fontId="5" numFmtId="0" xfId="0" applyAlignment="1" applyFont="1">
      <alignment readingOrder="0" shrinkToFit="0" wrapText="1"/>
    </xf>
    <xf borderId="0" fillId="0" fontId="3" numFmtId="166" xfId="0" applyAlignment="1" applyFont="1" applyNumberFormat="1">
      <alignment horizontal="right" vertical="bottom"/>
    </xf>
    <xf borderId="0" fillId="0" fontId="12"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0" fillId="0" fontId="13" numFmtId="0" xfId="0" applyAlignment="1" applyFont="1">
      <alignment readingOrder="0" vertical="bottom"/>
    </xf>
    <xf borderId="0" fillId="0" fontId="14" numFmtId="0" xfId="0" applyAlignment="1" applyFont="1">
      <alignment shrinkToFit="0" vertical="bottom" wrapText="0"/>
    </xf>
    <xf borderId="0" fillId="0" fontId="15" numFmtId="0" xfId="0" applyAlignment="1" applyFont="1">
      <alignment readingOrder="0"/>
    </xf>
    <xf borderId="0" fillId="0" fontId="5" numFmtId="0" xfId="0" applyAlignment="1" applyFont="1">
      <alignment shrinkToFit="0" vertical="bottom" wrapText="1"/>
    </xf>
    <xf borderId="0" fillId="0" fontId="1" numFmtId="164" xfId="0" applyAlignment="1" applyFont="1" applyNumberFormat="1">
      <alignment readingOrder="0" shrinkToFit="0" vertical="bottom" wrapText="1"/>
    </xf>
    <xf borderId="0" fillId="0" fontId="15" numFmtId="0" xfId="0" applyAlignment="1" applyFont="1">
      <alignment readingOrder="0" shrinkToFit="0" vertical="bottom" wrapText="1"/>
    </xf>
    <xf borderId="0" fillId="0" fontId="5" numFmtId="0" xfId="0" applyAlignment="1" applyFont="1">
      <alignment readingOrder="0" shrinkToFit="0" vertical="bottom" wrapText="1"/>
    </xf>
    <xf borderId="0" fillId="2" fontId="16" numFmtId="0" xfId="0" applyAlignment="1" applyFill="1" applyFont="1">
      <alignment horizontal="left" readingOrder="0" shrinkToFit="0" wrapText="1"/>
    </xf>
    <xf borderId="0" fillId="0" fontId="3" numFmtId="165" xfId="0" applyAlignment="1" applyFont="1" applyNumberFormat="1">
      <alignment horizontal="right" readingOrder="0" vertical="bottom"/>
    </xf>
    <xf borderId="0" fillId="0" fontId="3" numFmtId="0" xfId="0" applyAlignment="1" applyFont="1">
      <alignment shrinkToFit="0" vertical="bottom" wrapText="1"/>
    </xf>
    <xf borderId="0" fillId="0" fontId="5" numFmtId="0" xfId="0" applyAlignment="1" applyFont="1">
      <alignment readingOrder="0" shrinkToFit="0" vertical="center" wrapText="1"/>
    </xf>
    <xf borderId="0" fillId="0" fontId="17" numFmtId="0" xfId="0" applyAlignment="1" applyFont="1">
      <alignment readingOrder="0" shrinkToFit="0" wrapText="1"/>
    </xf>
    <xf borderId="0" fillId="0" fontId="18"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rls.rosminzdrav.ru/Grls_View_v2.aspx?routingGuid=fd7355d2-abfa-4846-99da-a1c5c6e8991a" TargetMode="External"/><Relationship Id="rId190" Type="http://schemas.openxmlformats.org/officeDocument/2006/relationships/hyperlink" Target="https://grls.rosminzdrav.ru/Grls_View_v2.aspx?routingGuid=f1e09f65-6c2b-49ed-bd96-3ff58ef202d8" TargetMode="External"/><Relationship Id="rId42" Type="http://schemas.openxmlformats.org/officeDocument/2006/relationships/hyperlink" Target="http://grls.rosminzdrav.ru/Grls_View_v2.aspx?routingGuid=ce700a9a-2b35-47e5-a73b-3cf65afee43b&amp;t=" TargetMode="External"/><Relationship Id="rId41" Type="http://schemas.openxmlformats.org/officeDocument/2006/relationships/hyperlink" Target="https://grls.rosminzdrav.ru/Grls_View_v2.aspx?routingGuid=70f8f0f0-7bac-41ec-a36d-51dcd6ebce84" TargetMode="External"/><Relationship Id="rId44" Type="http://schemas.openxmlformats.org/officeDocument/2006/relationships/hyperlink" Target="https://lk.regmed.ru/Register/GetPDFfromDAToken?Token=8cc54647-279e-4b2f-82d7-b1ed3161d86a" TargetMode="External"/><Relationship Id="rId194" Type="http://schemas.openxmlformats.org/officeDocument/2006/relationships/hyperlink" Target="https://grls.rosminzdrav.ru/Grls_View_v2.aspx?routingGuid=0fcbffbf-d247-4aa3-a4df-cccf3af59785" TargetMode="External"/><Relationship Id="rId43" Type="http://schemas.openxmlformats.org/officeDocument/2006/relationships/hyperlink" Target="https://grls.rosminzdrav.ru/Grls_View_v2.aspx?routingGuid=907b510e-7f7f-46df-b43a-f6541b9871fc" TargetMode="External"/><Relationship Id="rId193" Type="http://schemas.openxmlformats.org/officeDocument/2006/relationships/hyperlink" Target="https://grls.rosminzdrav.ru/Grls_View_v2.aspx?routingGuid=9cf47038-4fe5-4f9a-a02a-9fbc22151700" TargetMode="External"/><Relationship Id="rId46" Type="http://schemas.openxmlformats.org/officeDocument/2006/relationships/hyperlink" Target="https://lk.regmed.ru/Register/GetPDFfromDAToken?Token=4d1562e5-05e7-405f-9673-b89a20ffd447" TargetMode="External"/><Relationship Id="rId192" Type="http://schemas.openxmlformats.org/officeDocument/2006/relationships/hyperlink" Target="https://grls.rosminzdrav.ru/Grls_View_v2.aspx?routingGuid=4621a0ab-0cff-40c7-afb8-63317fa41052" TargetMode="External"/><Relationship Id="rId45" Type="http://schemas.openxmlformats.org/officeDocument/2006/relationships/hyperlink" Target="https://grls.rosminzdrav.ru/Grls_View_v2.aspx?routingGuid=b287b682-550a-418f-8189-05dac16da4ae" TargetMode="External"/><Relationship Id="rId191" Type="http://schemas.openxmlformats.org/officeDocument/2006/relationships/hyperlink" Target="https://grls.rosminzdrav.ru/Grls_View_v2.aspx?routingGuid=730b8fe6-57a9-4211-85e5-684ae4ef328f" TargetMode="External"/><Relationship Id="rId48" Type="http://schemas.openxmlformats.org/officeDocument/2006/relationships/hyperlink" Target="https://lk.regmed.ru/Register/GetPDFfromDAToken?Token=ebfed185-d787-4d31-8be8-d3cbc95b7794" TargetMode="External"/><Relationship Id="rId187" Type="http://schemas.openxmlformats.org/officeDocument/2006/relationships/hyperlink" Target="https://grls.rosminzdrav.ru/Grls_View_v2.aspx?routingGuid=a52736b8-b1ac-408c-a2c1-3fb82c941200" TargetMode="External"/><Relationship Id="rId47" Type="http://schemas.openxmlformats.org/officeDocument/2006/relationships/hyperlink" Target="https://grls.rosminzdrav.ru/Grls_View_v2.aspx?routingGuid=b90698f2-e111-4450-b82c-5c3ca26a25f5" TargetMode="External"/><Relationship Id="rId186" Type="http://schemas.openxmlformats.org/officeDocument/2006/relationships/hyperlink" Target="https://grls.rosminzdrav.ru/Grls_View_v2.aspx?routingGuid=e79d768f-8d1c-4d6c-b0a9-78858b83791d" TargetMode="External"/><Relationship Id="rId185" Type="http://schemas.openxmlformats.org/officeDocument/2006/relationships/hyperlink" Target="https://grls.rosminzdrav.ru/Grls_View_v2.aspx?routingGuid=fd2093f8-0c92-4172-bc6c-0c44d55adbfb" TargetMode="External"/><Relationship Id="rId49" Type="http://schemas.openxmlformats.org/officeDocument/2006/relationships/hyperlink" Target="https://grls.rosminzdrav.ru/Grls_View_v2.aspx?routingGuid=e7496b1f-1be9-46a3-b43f-e1c83a5b6cc8" TargetMode="External"/><Relationship Id="rId184" Type="http://schemas.openxmlformats.org/officeDocument/2006/relationships/hyperlink" Target="https://lk.regmed.ru/Register/GetPDFfromDAToken?Token=2ff88f9a-c44d-4bd1-9bf1-2e8f744c5c4d" TargetMode="External"/><Relationship Id="rId189" Type="http://schemas.openxmlformats.org/officeDocument/2006/relationships/hyperlink" Target="https://grls.rosminzdrav.ru/Grls_View_v2.aspx?routingGuid=9196861c-6233-45be-8241-186d3f051250" TargetMode="External"/><Relationship Id="rId188" Type="http://schemas.openxmlformats.org/officeDocument/2006/relationships/hyperlink" Target="https://grls.rosminzdrav.ru/Grls_View_v2.aspx?routingGuid=b6e70f7d-f42b-4e97-9f68-6baa0a75ffad" TargetMode="External"/><Relationship Id="rId31" Type="http://schemas.openxmlformats.org/officeDocument/2006/relationships/hyperlink" Target="https://grls.rosminzdrav.ru/Grls_View_v2.aspx?routingGuid=0d28b2ad-18b2-4e7a-8c27-436c0feea6d4" TargetMode="External"/><Relationship Id="rId30" Type="http://schemas.openxmlformats.org/officeDocument/2006/relationships/hyperlink" Target="https://grls.rosminzdrav.ru/Grls_View_v2.aspx?routingGuid=0cc60fe9-635e-4134-80d2-59a7787e33fb" TargetMode="External"/><Relationship Id="rId33" Type="http://schemas.openxmlformats.org/officeDocument/2006/relationships/hyperlink" Target="https://grls.rosminzdrav.ru/Grls_View_v2.aspx?routingGuid=eb109c11-f04c-4753-b278-73a5bd064e47" TargetMode="External"/><Relationship Id="rId183" Type="http://schemas.openxmlformats.org/officeDocument/2006/relationships/hyperlink" Target="https://grls.rosminzdrav.ru/Grls_View_v2.aspx?routingGuid=da624460-36a0-47be-bf46-850be407fc42" TargetMode="External"/><Relationship Id="rId32" Type="http://schemas.openxmlformats.org/officeDocument/2006/relationships/hyperlink" Target="https://grls.rosminzdrav.ru/Grls_View_v2.aspx?routingGuid=0d28b2ad-18b2-4e7a-8c27-436c0feea6d4" TargetMode="External"/><Relationship Id="rId182" Type="http://schemas.openxmlformats.org/officeDocument/2006/relationships/hyperlink" Target="https://lk.regmed.ru/Register/GetPDFfromDAToken?Token=f66b51aa-040f-4b90-9f4e-cd2805b4b2ae" TargetMode="External"/><Relationship Id="rId35" Type="http://schemas.openxmlformats.org/officeDocument/2006/relationships/hyperlink" Target="https://grls.rosminzdrav.ru/Grls_View_v2.aspx?routingGuid=2ae3187f-3553-4a0f-953d-db66a9c16d23" TargetMode="External"/><Relationship Id="rId181" Type="http://schemas.openxmlformats.org/officeDocument/2006/relationships/hyperlink" Target="https://grls.rosminzdrav.ru/Grls_View_v2.aspx?routingGuid=1bbc81c1-2d8e-4e68-9b86-93278f4e989c" TargetMode="External"/><Relationship Id="rId34" Type="http://schemas.openxmlformats.org/officeDocument/2006/relationships/hyperlink" Target="https://lk.regmed.ru/Register/GetPDFfromDAToken?Token=f88d9e07-3794-4fde-9c2d-fd91c377cc95" TargetMode="External"/><Relationship Id="rId180" Type="http://schemas.openxmlformats.org/officeDocument/2006/relationships/hyperlink" Target="https://lk.regmed.ru/Register/GetPDFfromDAToken?Token=5038bc46-b8c9-4ef3-8fc2-5e00da6487f4" TargetMode="External"/><Relationship Id="rId37" Type="http://schemas.openxmlformats.org/officeDocument/2006/relationships/hyperlink" Target="https://grls.rosminzdrav.ru/Grls_View_v2.aspx?routingGuid=579be5e3-09cf-46b4-8238-f3087cd4e808" TargetMode="External"/><Relationship Id="rId176" Type="http://schemas.openxmlformats.org/officeDocument/2006/relationships/hyperlink" Target="https://lk.regmed.ru/Register/GetPDFfromDAToken?Token=58f1b7dc-8dab-4377-aa9c-e3b963a41705" TargetMode="External"/><Relationship Id="rId36" Type="http://schemas.openxmlformats.org/officeDocument/2006/relationships/hyperlink" Target="https://lk.regmed.ru/Register/GetPDFfromDAToken?Token=ba26e648-28b3-4eac-b578-0748c8e03c4e" TargetMode="External"/><Relationship Id="rId175" Type="http://schemas.openxmlformats.org/officeDocument/2006/relationships/hyperlink" Target="https://grls.rosminzdrav.ru/Grls_View_v2.aspx?routingGuid=85903bfa-570c-432d-aa6a-9e0d5be6ae6e" TargetMode="External"/><Relationship Id="rId39" Type="http://schemas.openxmlformats.org/officeDocument/2006/relationships/hyperlink" Target="https://grls.rosminzdrav.ru/Grls_View_v2.aspx?routingGuid=ff05de13-f90b-475b-a47c-609c8a0539a7&amp;t=" TargetMode="External"/><Relationship Id="rId174" Type="http://schemas.openxmlformats.org/officeDocument/2006/relationships/hyperlink" Target="https://lk.regmed.ru/Register/GetPDFfromDAToken?Token=0c88c29e-5431-4ce5-87c0-c05c88e9e994" TargetMode="External"/><Relationship Id="rId38" Type="http://schemas.openxmlformats.org/officeDocument/2006/relationships/hyperlink" Target="https://lk.regmed.ru/Register/GetPDFfromDAToken?Token=dc4e4486-14e8-430b-b506-5364c1e11fe7" TargetMode="External"/><Relationship Id="rId173" Type="http://schemas.openxmlformats.org/officeDocument/2006/relationships/hyperlink" Target="https://grls.rosminzdrav.ru/Grls_View_v2.aspx?routingGuid=497b8580-5439-4e70-aad4-2dd853dcf4ee" TargetMode="External"/><Relationship Id="rId179" Type="http://schemas.openxmlformats.org/officeDocument/2006/relationships/hyperlink" Target="https://grls.rosminzdrav.ru/Grls_View_v2.aspx?routingGuid=ac3504e5-0456-448c-9f1c-487b6658df60" TargetMode="External"/><Relationship Id="rId178" Type="http://schemas.openxmlformats.org/officeDocument/2006/relationships/hyperlink" Target="https://lk.regmed.ru/Register/GetPDFfromDAToken?Token=abaeab64-440f-46c4-8436-933583d1369f" TargetMode="External"/><Relationship Id="rId177" Type="http://schemas.openxmlformats.org/officeDocument/2006/relationships/hyperlink" Target="https://grls.rosminzdrav.ru/Grls_View_v2.aspx?routingGuid=e7abb5e6-5845-4837-a7b4-3b8bbb694d86" TargetMode="External"/><Relationship Id="rId20" Type="http://schemas.openxmlformats.org/officeDocument/2006/relationships/hyperlink" Target="https://lk.regmed.ru/Register/GetPDFfromDAToken?Token=7fabfdf2-4fe8-448e-859f-9a4b20cc3213" TargetMode="External"/><Relationship Id="rId22" Type="http://schemas.openxmlformats.org/officeDocument/2006/relationships/hyperlink" Target="https://grls.rosminzdrav.ru/Grls_View_v2.aspx?routingGuid=4f6d874c-7745-4c6b-8c90-228a1f2f3484" TargetMode="External"/><Relationship Id="rId21" Type="http://schemas.openxmlformats.org/officeDocument/2006/relationships/hyperlink" Target="https://grls.rosminzdrav.ru/Grls_View_v2.aspx?routingGuid=2bf12380-3a71-4642-a9a3-ef0e4ca9b815" TargetMode="External"/><Relationship Id="rId24" Type="http://schemas.openxmlformats.org/officeDocument/2006/relationships/hyperlink" Target="https://lk.regmed.ru/Register/GetPDFfromDAToken?Token=6d0a7c06-3859-4f01-8d37-bf8887046a88" TargetMode="External"/><Relationship Id="rId23" Type="http://schemas.openxmlformats.org/officeDocument/2006/relationships/hyperlink" Target="https://grls.rosminzdrav.ru/Grls_View_v2.aspx?routingGuid=b8dfef4d-a4cf-4d18-9599-1a3fb42864c7" TargetMode="External"/><Relationship Id="rId26" Type="http://schemas.openxmlformats.org/officeDocument/2006/relationships/hyperlink" Target="https://lk.regmed.ru/Register/GetPDFfromDAToken?Token=6d0a7c06-3859-4f01-8d37-bf8887046a88" TargetMode="External"/><Relationship Id="rId25" Type="http://schemas.openxmlformats.org/officeDocument/2006/relationships/hyperlink" Target="https://grls.rosminzdrav.ru/Grls_View_v2.aspx?routingGuid=b8dfef4d-a4cf-4d18-9599-1a3fb42864c7" TargetMode="External"/><Relationship Id="rId28" Type="http://schemas.openxmlformats.org/officeDocument/2006/relationships/hyperlink" Target="https://grls.rosminzdrav.ru/Grls_View_v2.aspx?routingGuid=658e07cb-fcb9-412f-9392-b9e9e21a6343" TargetMode="External"/><Relationship Id="rId27" Type="http://schemas.openxmlformats.org/officeDocument/2006/relationships/hyperlink" Target="https://grls.rosminzdrav.ru/Grls_View_v2.aspx?routingGuid=0814c0aa-66c2-4566-a774-02de4c45b6ac" TargetMode="External"/><Relationship Id="rId29" Type="http://schemas.openxmlformats.org/officeDocument/2006/relationships/hyperlink" Target="https://grls.rosminzdrav.ru/Grls_View_v2.aspx?routingGuid=ec6e3b51-e76b-4abf-99cf-7c02bab06091" TargetMode="External"/><Relationship Id="rId11" Type="http://schemas.openxmlformats.org/officeDocument/2006/relationships/hyperlink" Target="https://grls.rosminzdrav.ru/Grls_View_v2.aspx?routingGuid=0b7d30f1-b40f-453c-9c7b-800a072aa409" TargetMode="External"/><Relationship Id="rId10" Type="http://schemas.openxmlformats.org/officeDocument/2006/relationships/hyperlink" Target="https://grls.rosminzdrav.ru/Grls_View_v2.aspx?routingGuid=f9454b06-083d-4c13-8eda-e54a19450d13" TargetMode="External"/><Relationship Id="rId13" Type="http://schemas.openxmlformats.org/officeDocument/2006/relationships/hyperlink" Target="https://lk.regmed.ru/Register/GetPDFfromDAToken?Token=9916a334-02fd-4f23-ad64-c996916ac2d6" TargetMode="External"/><Relationship Id="rId12" Type="http://schemas.openxmlformats.org/officeDocument/2006/relationships/hyperlink" Target="https://grls.rosminzdrav.ru/Grls_View_v2.aspx?routingGuid=fa42329f-9433-4dc6-af8a-f811be13fb87" TargetMode="External"/><Relationship Id="rId15" Type="http://schemas.openxmlformats.org/officeDocument/2006/relationships/hyperlink" Target="https://lk.regmed.ru/Register/GetPDFfromDAToken?Token=ff0cddac-c2c3-4fac-84e2-d026f4f71869" TargetMode="External"/><Relationship Id="rId198" Type="http://schemas.openxmlformats.org/officeDocument/2006/relationships/hyperlink" Target="https://grls.rosminzdrav.ru/Grls_View_v2.aspx?routingGuid=5e6f4da3-3813-4f0a-a8b6-7abc41c4b3de" TargetMode="External"/><Relationship Id="rId14" Type="http://schemas.openxmlformats.org/officeDocument/2006/relationships/hyperlink" Target="https://grls.rosminzdrav.ru/Grls_View_v2.aspx?routingGuid=82af2230-6ada-4cb2-a263-0a2c1f841be2" TargetMode="External"/><Relationship Id="rId197" Type="http://schemas.openxmlformats.org/officeDocument/2006/relationships/hyperlink" Target="https://grls.rosminzdrav.ru/Grls_View_v2.aspx?routingGuid=6315b2da-7738-4b6c-adb5-4d2afbfd6dcb" TargetMode="External"/><Relationship Id="rId17" Type="http://schemas.openxmlformats.org/officeDocument/2006/relationships/hyperlink" Target="https://lk.regmed.ru/Register/GetPDFfromDAToken?Token=67df064e-3139-49b6-917f-a5131fbd35d6" TargetMode="External"/><Relationship Id="rId196" Type="http://schemas.openxmlformats.org/officeDocument/2006/relationships/hyperlink" Target="https://grls.rosminzdrav.ru/Grls_View_v2.aspx?routingGuid=440474e0-65a8-4b60-8c7b-12ac8d70b4a3" TargetMode="External"/><Relationship Id="rId16" Type="http://schemas.openxmlformats.org/officeDocument/2006/relationships/hyperlink" Target="https://grls.rosminzdrav.ru/Grls_View_v2.aspx?routingGuid=7901c857-1397-49d2-9a93-f8c171091efa" TargetMode="External"/><Relationship Id="rId195" Type="http://schemas.openxmlformats.org/officeDocument/2006/relationships/hyperlink" Target="https://grls.rosminzdrav.ru/Grls_View_v2.aspx?routingGuid=099f97bf-1bee-4113-b6ba-1b81cb507783" TargetMode="External"/><Relationship Id="rId19" Type="http://schemas.openxmlformats.org/officeDocument/2006/relationships/hyperlink" Target="https://grls.rosminzdrav.ru/Grls_View_v2.aspx?routingGuid=d8627a3c-16a5-46d0-b31f-e60eb2448d80" TargetMode="External"/><Relationship Id="rId18" Type="http://schemas.openxmlformats.org/officeDocument/2006/relationships/hyperlink" Target="http://grls.rosminzdrav.ru/Grls_View_v2.aspx?routingGuid=795940d7-9c11-423c-98fe-44a1d739a593&amp;t=" TargetMode="External"/><Relationship Id="rId199" Type="http://schemas.openxmlformats.org/officeDocument/2006/relationships/hyperlink" Target="https://grls.rosminzdrav.ru/Grls_View_v2.aspx?routingGuid=46a21252-b40d-407d-9129-d078a310a5b2" TargetMode="External"/><Relationship Id="rId84" Type="http://schemas.openxmlformats.org/officeDocument/2006/relationships/hyperlink" Target="https://grls.rosminzdrav.ru/Grls_View_v2.aspx?routingGuid=e4ffdd5e-89db-479f-b9a3-4aee83beeb8a" TargetMode="External"/><Relationship Id="rId83" Type="http://schemas.openxmlformats.org/officeDocument/2006/relationships/hyperlink" Target="https://grls.rosminzdrav.ru/Grls_View_v2.aspx?routingGuid=91d987ae-568f-4c6b-8623-8abf1ea0cbdc" TargetMode="External"/><Relationship Id="rId86" Type="http://schemas.openxmlformats.org/officeDocument/2006/relationships/hyperlink" Target="https://grls.rosminzdrav.ru/Grls_View_v2.aspx?routingGuid=0482f816-63ad-49b9-9b56-808b708f6dab" TargetMode="External"/><Relationship Id="rId85" Type="http://schemas.openxmlformats.org/officeDocument/2006/relationships/hyperlink" Target="https://grls.rosminzdrav.ru/Grls_View_v2.aspx?routingGuid=5a312c4c-479c-463e-85d1-fa7e8990168d" TargetMode="External"/><Relationship Id="rId88" Type="http://schemas.openxmlformats.org/officeDocument/2006/relationships/hyperlink" Target="http://grls.rosminzdrav.ru/Grls_View_v2.aspx?routingGuid=dee8c37b-28f6-45f1-9773-d691d9fb54ae&amp;t=" TargetMode="External"/><Relationship Id="rId150" Type="http://schemas.openxmlformats.org/officeDocument/2006/relationships/hyperlink" Target="https://grls.rosminzdrav.ru/Grls_View_v2.aspx?routingGuid=823b5e3f-1e4d-4be9-b7c7-6acdc77fd788" TargetMode="External"/><Relationship Id="rId87" Type="http://schemas.openxmlformats.org/officeDocument/2006/relationships/hyperlink" Target="https://lk.regmed.ru/Register/GetPDFfromDAToken?Token=861ea14c-5408-419d-bd47-031af580ecf7" TargetMode="External"/><Relationship Id="rId89" Type="http://schemas.openxmlformats.org/officeDocument/2006/relationships/hyperlink" Target="https://grls.rosminzdrav.ru/Grls_View_v2.aspx?routingGuid=640af3c6-436c-47e2-a2cb-8cfff245452f" TargetMode="External"/><Relationship Id="rId80" Type="http://schemas.openxmlformats.org/officeDocument/2006/relationships/hyperlink" Target="https://grls.rosminzdrav.ru/Grls_View_v2.aspx?routingGuid=f91918fb-09b8-4766-8e48-6606a0541073" TargetMode="External"/><Relationship Id="rId82" Type="http://schemas.openxmlformats.org/officeDocument/2006/relationships/hyperlink" Target="https://lk.regmed.ru/Register/GetPDFfromDAToken?Token=92b647e6-6e46-4d97-b5db-055d884d1048" TargetMode="External"/><Relationship Id="rId81" Type="http://schemas.openxmlformats.org/officeDocument/2006/relationships/hyperlink" Target="https://grls.rosminzdrav.ru/Grls_View_v2.aspx?routingGuid=7da83465-3e51-4a42-99a7-7aff7e64f9e4" TargetMode="External"/><Relationship Id="rId1" Type="http://schemas.openxmlformats.org/officeDocument/2006/relationships/hyperlink" Target="https://grls.rosminzdrav.ru/Grls_View_v2.aspx?routingGuid=9f91626d-1063-4ea5-9346-800cc6ef9b44" TargetMode="External"/><Relationship Id="rId2" Type="http://schemas.openxmlformats.org/officeDocument/2006/relationships/hyperlink" Target="https://grls.rosminzdrav.ru/Grls_View_v2.aspx?routingGuid=115ba81b-7cb9-4737-9e63-163458ef9d0b" TargetMode="External"/><Relationship Id="rId3" Type="http://schemas.openxmlformats.org/officeDocument/2006/relationships/hyperlink" Target="https://grls.rosminzdrav.ru/Grls_View_v2.aspx?routingGuid=4215760f-875d-476b-a9b6-af2e398c3025" TargetMode="External"/><Relationship Id="rId149" Type="http://schemas.openxmlformats.org/officeDocument/2006/relationships/hyperlink" Target="https://lk.regmed.ru/Register/GetPDFfromDAToken?Token=875d9b63-d6c1-43e7-8c6c-921afc6c274b" TargetMode="External"/><Relationship Id="rId4" Type="http://schemas.openxmlformats.org/officeDocument/2006/relationships/hyperlink" Target="https://grls.rosminzdrav.ru/Grls_View_v2.aspx?routingGuid=30fc01db-b288-495f-9e55-e1dd798d18a9" TargetMode="External"/><Relationship Id="rId148" Type="http://schemas.openxmlformats.org/officeDocument/2006/relationships/hyperlink" Target="https://grls.rosminzdrav.ru/Grls_View_v2.aspx?routingGuid=04423b6b-72c2-40be-8c6c-6114c38d6f55" TargetMode="External"/><Relationship Id="rId9" Type="http://schemas.openxmlformats.org/officeDocument/2006/relationships/hyperlink" Target="https://grls.rosminzdrav.ru/Grls_View_v2.aspx?routingGuid=04b887e5-95d7-44df-beaa-a539fe956444" TargetMode="External"/><Relationship Id="rId143" Type="http://schemas.openxmlformats.org/officeDocument/2006/relationships/hyperlink" Target="https://lk.regmed.ru/Register/GetPDFfromDAToken?Token=2a1a1d19-5cc8-420a-9c43-043ac5ec5115" TargetMode="External"/><Relationship Id="rId142" Type="http://schemas.openxmlformats.org/officeDocument/2006/relationships/hyperlink" Target="https://grls.rosminzdrav.ru/Grls_View_v2.aspx?routingGuid=9a09ed84-2913-4e23-a93a-ace308eab1dc" TargetMode="External"/><Relationship Id="rId141" Type="http://schemas.openxmlformats.org/officeDocument/2006/relationships/hyperlink" Target="https://lk.regmed.ru/Register/GetPDFfromDAToken?Token=562428d8-f0bf-4357-ab6b-cd21651ff559" TargetMode="External"/><Relationship Id="rId140" Type="http://schemas.openxmlformats.org/officeDocument/2006/relationships/hyperlink" Target="https://grls.rosminzdrav.ru/Grls_View_v2.aspx?routingGuid=0fef3b4e-c5a8-46f5-86d9-dbb6b3ea7f69" TargetMode="External"/><Relationship Id="rId5" Type="http://schemas.openxmlformats.org/officeDocument/2006/relationships/hyperlink" Target="https://grls.rosminzdrav.ru/Grls_View_v2.aspx?routingGuid=60b8bad6-1fec-492d-a07c-25eee3daa0b5" TargetMode="External"/><Relationship Id="rId147" Type="http://schemas.openxmlformats.org/officeDocument/2006/relationships/hyperlink" Target="https://lk.regmed.ru/Register/GetPDFfromDAToken?Token=1a7b0dc3-0d55-4995-9e0a-3a9bc58544df" TargetMode="External"/><Relationship Id="rId6" Type="http://schemas.openxmlformats.org/officeDocument/2006/relationships/hyperlink" Target="https://grls.rosminzdrav.ru/Grls_View_v2.aspx?routingGuid=73faea00-ddd0-427e-9f40-49dfea9a2470" TargetMode="External"/><Relationship Id="rId146" Type="http://schemas.openxmlformats.org/officeDocument/2006/relationships/hyperlink" Target="https://grls.rosminzdrav.ru/Grls_View_v2.aspx?routingGuid=171865ce-48a4-4d02-8392-f65717356121" TargetMode="External"/><Relationship Id="rId7" Type="http://schemas.openxmlformats.org/officeDocument/2006/relationships/hyperlink" Target="http://grls.rosminzdrav.ru/Grls_View_v2.aspx?routingGuid=aba4f9bd-407e-42a8-a32c-1105beece2f6&amp;t=" TargetMode="External"/><Relationship Id="rId145" Type="http://schemas.openxmlformats.org/officeDocument/2006/relationships/hyperlink" Target="https://grls.rosminzdrav.ru/Grls_View_v2.aspx?routingGuid=da452e8e-dbe3-44cd-9f81-03e8f724da4d" TargetMode="External"/><Relationship Id="rId8" Type="http://schemas.openxmlformats.org/officeDocument/2006/relationships/hyperlink" Target="http://grls.rosminzdrav.ru/Grls_View_v2.aspx?routingGuid=81b39c46-e795-4993-b85b-0cf51e164f6b&amp;t=" TargetMode="External"/><Relationship Id="rId144" Type="http://schemas.openxmlformats.org/officeDocument/2006/relationships/hyperlink" Target="https://grls.rosminzdrav.ru/Grls_View_v2.aspx?routingGuid=19de591c-4a02-4e30-9742-fda39270f0da" TargetMode="External"/><Relationship Id="rId73" Type="http://schemas.openxmlformats.org/officeDocument/2006/relationships/hyperlink" Target="https://grls.rosminzdrav.ru/Grls_View_v2.aspx?routingGuid=c88b7ed6-2791-496d-95ac-2bf2453e540b" TargetMode="External"/><Relationship Id="rId72" Type="http://schemas.openxmlformats.org/officeDocument/2006/relationships/hyperlink" Target="https://lk.regmed.ru/Register/GetPDFfromDAToken?Token=a03421c1-d658-4466-a600-c80d1005976d" TargetMode="External"/><Relationship Id="rId75" Type="http://schemas.openxmlformats.org/officeDocument/2006/relationships/hyperlink" Target="https://grls.rosminzdrav.ru/Grls_View_v2.aspx?routingGuid=98f6f75c-4d06-4e15-8e8e-52e513e2c4c1" TargetMode="External"/><Relationship Id="rId74" Type="http://schemas.openxmlformats.org/officeDocument/2006/relationships/hyperlink" Target="https://lk.regmed.ru/Register/GetPDFfromDAToken?Token=3553002d-a459-42b4-8d3c-382ab7278081" TargetMode="External"/><Relationship Id="rId77" Type="http://schemas.openxmlformats.org/officeDocument/2006/relationships/hyperlink" Target="https://lk.regmed.ru/Register/GetPDFfromDAToken?Token=10e497be-3d4a-43a2-aa31-092ce691668e" TargetMode="External"/><Relationship Id="rId76" Type="http://schemas.openxmlformats.org/officeDocument/2006/relationships/hyperlink" Target="https://grls.rosminzdrav.ru/Grls_View_v2.aspx?routingGuid=7ded6546-8feb-4afd-9a4d-1fce9414a552" TargetMode="External"/><Relationship Id="rId79" Type="http://schemas.openxmlformats.org/officeDocument/2006/relationships/hyperlink" Target="https://grls.rosminzdrav.ru/Grls_View_v2.aspx?routingGuid=35f3aeab-53d0-4aa3-b370-016ed06e2330" TargetMode="External"/><Relationship Id="rId78" Type="http://schemas.openxmlformats.org/officeDocument/2006/relationships/hyperlink" Target="https://grls.rosminzdrav.ru/Grls_View_v2.aspx?routingGuid=94cb6422-2bae-41b1-b881-7019bc1e6c88" TargetMode="External"/><Relationship Id="rId71" Type="http://schemas.openxmlformats.org/officeDocument/2006/relationships/hyperlink" Target="https://grls.rosminzdrav.ru/Grls_View_v2.aspx?routingGuid=4f505e78-1d02-4b8f-aaf9-618368787be0" TargetMode="External"/><Relationship Id="rId70" Type="http://schemas.openxmlformats.org/officeDocument/2006/relationships/hyperlink" Target="https://lk.regmed.ru/Register/GetPDFfromDAToken?Token=daa21352-7464-4e37-a24b-31888db79e80" TargetMode="External"/><Relationship Id="rId139" Type="http://schemas.openxmlformats.org/officeDocument/2006/relationships/hyperlink" Target="https://lk.regmed.ru/Register/GetPDFfromDAToken?Token=8cc54647-279e-4b2f-82d7-b1ed3161d86a" TargetMode="External"/><Relationship Id="rId138" Type="http://schemas.openxmlformats.org/officeDocument/2006/relationships/hyperlink" Target="https://grls.rosminzdrav.ru/Grls_View_v2.aspx?routingGuid=907b510e-7f7f-46df-b43a-f6541b9871fc" TargetMode="External"/><Relationship Id="rId137" Type="http://schemas.openxmlformats.org/officeDocument/2006/relationships/hyperlink" Target="https://grls.rosminzdrav.ru/Grls_View_v2.aspx?routingGuid=256ea028-eb19-4200-8221-512438fbd5ef" TargetMode="External"/><Relationship Id="rId132" Type="http://schemas.openxmlformats.org/officeDocument/2006/relationships/hyperlink" Target="https://grls.rosminzdrav.ru/Grls_View_v2.aspx?routingGuid=0cc60fe9-635e-4134-80d2-59a7787e33fb" TargetMode="External"/><Relationship Id="rId131" Type="http://schemas.openxmlformats.org/officeDocument/2006/relationships/hyperlink" Target="https://grls.rosminzdrav.ru/Grls_View_v2.aspx?routingGuid=8790c6b6-9ab5-4df0-8084-075d18ec2595&amp;t=" TargetMode="External"/><Relationship Id="rId130" Type="http://schemas.openxmlformats.org/officeDocument/2006/relationships/hyperlink" Target="https://lk.regmed.ru/Register/GetPDFfromDAToken?Token=0f30d250-b996-4595-b47d-8966e076423c" TargetMode="External"/><Relationship Id="rId136" Type="http://schemas.openxmlformats.org/officeDocument/2006/relationships/hyperlink" Target="https://grls.rosminzdrav.ru/Grls_View_v2.aspx?routingGuid=5e4345d6-7ca0-45c7-8f39-928c497b5e6e" TargetMode="External"/><Relationship Id="rId135" Type="http://schemas.openxmlformats.org/officeDocument/2006/relationships/hyperlink" Target="https://lk.regmed.ru/Register/GetPDFfromDAToken?Token=7037708a-d472-4a50-890a-76944cf29ef7" TargetMode="External"/><Relationship Id="rId134" Type="http://schemas.openxmlformats.org/officeDocument/2006/relationships/hyperlink" Target="https://grls.rosminzdrav.ru/Grls_View_v2.aspx?routingGuid=c925a572-ac44-4311-b506-0b50d1d43cf7" TargetMode="External"/><Relationship Id="rId133" Type="http://schemas.openxmlformats.org/officeDocument/2006/relationships/hyperlink" Target="https://grls.rosminzdrav.ru/Grls_View_v2.aspx?routingGuid=ec6e3b51-e76b-4abf-99cf-7c02bab06091" TargetMode="External"/><Relationship Id="rId62" Type="http://schemas.openxmlformats.org/officeDocument/2006/relationships/hyperlink" Target="https://grls.rosminzdrav.ru/Grls_View_v2.aspx?routingGuid=a4090b86-5da6-4481-8230-dd9e607b60af" TargetMode="External"/><Relationship Id="rId61" Type="http://schemas.openxmlformats.org/officeDocument/2006/relationships/hyperlink" Target="https://lk.regmed.ru/Register/GetPDFfromDAToken?Token=871cc235-deab-47cc-ac2f-13a865cc2b7f" TargetMode="External"/><Relationship Id="rId64" Type="http://schemas.openxmlformats.org/officeDocument/2006/relationships/hyperlink" Target="https://grls.rosminzdrav.ru/Grls_View_v2.aspx?routingGuid=aa975a20-f44a-451e-bf3e-3dcc80435b61" TargetMode="External"/><Relationship Id="rId63" Type="http://schemas.openxmlformats.org/officeDocument/2006/relationships/hyperlink" Target="https://lk.regmed.ru/Register/GetPDFfromDAToken?Token=8415d4f4-69df-4249-bc87-8ca7cad24c51" TargetMode="External"/><Relationship Id="rId66" Type="http://schemas.openxmlformats.org/officeDocument/2006/relationships/hyperlink" Target="https://lk.regmed.ru/Register/GetPDFfromDAToken?Token=22a07d8d-d541-45f6-8093-29d650df9705" TargetMode="External"/><Relationship Id="rId172" Type="http://schemas.openxmlformats.org/officeDocument/2006/relationships/hyperlink" Target="https://lk.regmed.ru/Register/GetPDFfromDAToken?Token=f465d04c-878b-470d-bdc4-80fe697e5668" TargetMode="External"/><Relationship Id="rId65" Type="http://schemas.openxmlformats.org/officeDocument/2006/relationships/hyperlink" Target="https://grls.rosminzdrav.ru/Grls_View_v2.aspx?routingGuid=573dc2fd-b104-4a0c-a56a-486f57764912" TargetMode="External"/><Relationship Id="rId171" Type="http://schemas.openxmlformats.org/officeDocument/2006/relationships/hyperlink" Target="https://grls.rosminzdrav.ru/Grls_View_v2.aspx?routingGuid=e0de1bec-a881-4f57-9b47-a6152b3b9902" TargetMode="External"/><Relationship Id="rId68" Type="http://schemas.openxmlformats.org/officeDocument/2006/relationships/hyperlink" Target="https://lk.regmed.ru/Register/GetPDFfromDAToken?Token=023326ba-2394-4cee-8436-d2d7251635d0" TargetMode="External"/><Relationship Id="rId170" Type="http://schemas.openxmlformats.org/officeDocument/2006/relationships/hyperlink" Target="https://grls.rosminzdrav.ru/Grls_View_v2.aspx?routingGuid=1ec467a3-99d4-4109-a1e5-089702b7c177" TargetMode="External"/><Relationship Id="rId67" Type="http://schemas.openxmlformats.org/officeDocument/2006/relationships/hyperlink" Target="https://grls.rosminzdrav.ru/Grls_View_v2.aspx?routingGuid=162087a7-8c2e-4c1c-ada9-b2d41a7fc06d" TargetMode="External"/><Relationship Id="rId60" Type="http://schemas.openxmlformats.org/officeDocument/2006/relationships/hyperlink" Target="https://grls.rosminzdrav.ru/Grls_View_v2.aspx?routingGuid=bbcf7276-a503-4968-abd0-286f29aa80a7" TargetMode="External"/><Relationship Id="rId165" Type="http://schemas.openxmlformats.org/officeDocument/2006/relationships/hyperlink" Target="https://grls.rosminzdrav.ru/Grls_View_v2.aspx?routingGuid=d2ede1d8-e73f-4e5c-924d-b822f8f0e85a" TargetMode="External"/><Relationship Id="rId69" Type="http://schemas.openxmlformats.org/officeDocument/2006/relationships/hyperlink" Target="https://grls.rosminzdrav.ru/Grls_View_v2.aspx?routingGuid=f79c63df-14fc-4066-a985-f34555bed179" TargetMode="External"/><Relationship Id="rId164" Type="http://schemas.openxmlformats.org/officeDocument/2006/relationships/hyperlink" Target="https://lk.regmed.ru/Register/GetPDFfromDAToken?Token=e29e3046-2780-4b38-98d4-6db2916b84dd" TargetMode="External"/><Relationship Id="rId163" Type="http://schemas.openxmlformats.org/officeDocument/2006/relationships/hyperlink" Target="https://grls.rosminzdrav.ru/Grls_View_v2.aspx?routingGuid=831b739d-0598-4fef-adaf-7038c119d3f3" TargetMode="External"/><Relationship Id="rId162" Type="http://schemas.openxmlformats.org/officeDocument/2006/relationships/hyperlink" Target="https://grls.rosminzdrav.ru/Grls_View_v2.aspx?routingGuid=3d3b451d-8d08-4645-a5ad-1ec5b9dbee4a" TargetMode="External"/><Relationship Id="rId169" Type="http://schemas.openxmlformats.org/officeDocument/2006/relationships/hyperlink" Target="https://grls.rosminzdrav.ru/Grls_View_v2.aspx?routingGuid=09eddf8c-cba4-4468-9262-3c582b28ca1b" TargetMode="External"/><Relationship Id="rId168" Type="http://schemas.openxmlformats.org/officeDocument/2006/relationships/hyperlink" Target="https://grls.rosminzdrav.ru/Grls_View_v2.aspx?routingGuid=c4cf7e73-cdee-4bd7-ab58-00e2bb5e6958" TargetMode="External"/><Relationship Id="rId167" Type="http://schemas.openxmlformats.org/officeDocument/2006/relationships/hyperlink" Target="https://lk.regmed.ru/Register/GetPDFfromDAToken?Token=464df451-dc26-492d-829a-c416d1e140e2" TargetMode="External"/><Relationship Id="rId166" Type="http://schemas.openxmlformats.org/officeDocument/2006/relationships/hyperlink" Target="https://grls.rosminzdrav.ru/Grls_View_v2.aspx?routingGuid=31ac5c67-3971-408e-9f95-48f4368633f3" TargetMode="External"/><Relationship Id="rId51" Type="http://schemas.openxmlformats.org/officeDocument/2006/relationships/hyperlink" Target="https://grls.rosminzdrav.ru/Grls_View_v2.aspx?routingGuid=f0e5ea62-1cea-4427-923d-201a87349492" TargetMode="External"/><Relationship Id="rId50" Type="http://schemas.openxmlformats.org/officeDocument/2006/relationships/hyperlink" Target="https://grls.rosminzdrav.ru/Grls_View_v2.aspx?routingGuid=34537f7c-cc43-45ef-bc9a-9820641bf718" TargetMode="External"/><Relationship Id="rId53" Type="http://schemas.openxmlformats.org/officeDocument/2006/relationships/hyperlink" Target="https://lk.regmed.ru/Register/GetPDFfromDAToken?Token=6b6de448-9da8-4025-8b7a-e10951e7ff00" TargetMode="External"/><Relationship Id="rId52" Type="http://schemas.openxmlformats.org/officeDocument/2006/relationships/hyperlink" Target="https://grls.rosminzdrav.ru/Grls_View_v2.aspx?routingGuid=39b44822-0ca7-409d-bc25-db49ef3d5471" TargetMode="External"/><Relationship Id="rId55" Type="http://schemas.openxmlformats.org/officeDocument/2006/relationships/hyperlink" Target="https://lk.regmed.ru/Register/GetPDFfromDAToken?Token=21d09ab4-e8b0-4241-88e6-6f4a8868109c" TargetMode="External"/><Relationship Id="rId161" Type="http://schemas.openxmlformats.org/officeDocument/2006/relationships/hyperlink" Target="https://grls.rosminzdrav.ru/Grls_View_v2.aspx?routingGuid=dd508633-c49f-470d-8160-f9f0307f5c2a" TargetMode="External"/><Relationship Id="rId54" Type="http://schemas.openxmlformats.org/officeDocument/2006/relationships/hyperlink" Target="https://grls.rosminzdrav.ru/Grls_View_v2.aspx?routingGuid=9d163668-04c5-490d-81ed-287f1cc6ac47" TargetMode="External"/><Relationship Id="rId160" Type="http://schemas.openxmlformats.org/officeDocument/2006/relationships/hyperlink" Target="https://grls.rosminzdrav.ru/Grls_View_v2.aspx?routingGuid=e52e38b6-79d2-41fc-b6ed-2eb372023a81" TargetMode="External"/><Relationship Id="rId57" Type="http://schemas.openxmlformats.org/officeDocument/2006/relationships/hyperlink" Target="https://lk.regmed.ru/Register/GetPDFfromDAToken?Token=7542b90d-b67b-4205-9d82-117e106aba6c" TargetMode="External"/><Relationship Id="rId56" Type="http://schemas.openxmlformats.org/officeDocument/2006/relationships/hyperlink" Target="https://grls.rosminzdrav.ru/Grls_View_v2.aspx?routingGuid=21ef9e10-0802-4099-9f29-815fab9bf24f" TargetMode="External"/><Relationship Id="rId159" Type="http://schemas.openxmlformats.org/officeDocument/2006/relationships/hyperlink" Target="https://grls.rosminzdrav.ru/Grls_View_v2.aspx?routingGuid=5c6779c4-47b4-4c91-9642-933f4c3b11da" TargetMode="External"/><Relationship Id="rId59" Type="http://schemas.openxmlformats.org/officeDocument/2006/relationships/hyperlink" Target="https://grls.rosminzdrav.ru/Grls_View_v2.aspx?routingGuid=1c26875c-896c-488d-b713-142d18c1310f" TargetMode="External"/><Relationship Id="rId154" Type="http://schemas.openxmlformats.org/officeDocument/2006/relationships/hyperlink" Target="https://grls.rosminzdrav.ru/Grls_View_v2.aspx?routingGuid=831c5a30-1b96-43a6-bf67-a6dc879f33ed" TargetMode="External"/><Relationship Id="rId58" Type="http://schemas.openxmlformats.org/officeDocument/2006/relationships/hyperlink" Target="https://grls.rosminzdrav.ru/Grls_View_v2.aspx?routingGuid=af4dd5ba-8e11-450c-83f0-3c6db2b13cf6" TargetMode="External"/><Relationship Id="rId153" Type="http://schemas.openxmlformats.org/officeDocument/2006/relationships/hyperlink" Target="https://lk.regmed.ru/Register/GetPDFfromDAToken?Token=a5551ce2-9a90-4746-bdaa-77d891c76946" TargetMode="External"/><Relationship Id="rId152" Type="http://schemas.openxmlformats.org/officeDocument/2006/relationships/hyperlink" Target="https://grls.rosminzdrav.ru/Grls_View_v2.aspx?routingGuid=bba91e7b-b9d4-4f7b-bf4d-6fde2e9956ea" TargetMode="External"/><Relationship Id="rId151" Type="http://schemas.openxmlformats.org/officeDocument/2006/relationships/hyperlink" Target="https://grls.rosminzdrav.ru/Grls_View_v2.aspx?routingGuid=3cf40fcb-fe6b-4f3b-aac2-300e5253d28f" TargetMode="External"/><Relationship Id="rId158" Type="http://schemas.openxmlformats.org/officeDocument/2006/relationships/hyperlink" Target="https://grls.rosminzdrav.ru/Grls_View_v2.aspx?routingGuid=09c1471e-ec8c-42ce-9ef9-0f1ded2db528" TargetMode="External"/><Relationship Id="rId157" Type="http://schemas.openxmlformats.org/officeDocument/2006/relationships/hyperlink" Target="https://grls.rosminzdrav.ru/Grls_View_v2.aspx?routingGuid=3415eb53-da40-4647-b1bb-659792a9c18e" TargetMode="External"/><Relationship Id="rId156" Type="http://schemas.openxmlformats.org/officeDocument/2006/relationships/hyperlink" Target="https://grls.rosminzdrav.ru/Grls_View_v2.aspx?routingGuid=03b79f0e-932b-4d1b-afcc-ed70f037b9ea" TargetMode="External"/><Relationship Id="rId155" Type="http://schemas.openxmlformats.org/officeDocument/2006/relationships/hyperlink" Target="https://grls.rosminzdrav.ru/Grls_View_v2.aspx?routingGuid=4c557b4f-d993-4256-84b8-be1a3067c76b" TargetMode="External"/><Relationship Id="rId107" Type="http://schemas.openxmlformats.org/officeDocument/2006/relationships/hyperlink" Target="http://grls.rosminzdrav.ru/Grls_View_v2.aspx?routingGuid=0962362a-d8cb-4c53-b4f2-43cc75eea35f&amp;t=" TargetMode="External"/><Relationship Id="rId228" Type="http://schemas.openxmlformats.org/officeDocument/2006/relationships/hyperlink" Target="https://grls.rosminzdrav.ru/Grls_View_v2.aspx?routingGuid=f035b599-e2f5-41c1-9ede-a7398483a6c4" TargetMode="External"/><Relationship Id="rId106" Type="http://schemas.openxmlformats.org/officeDocument/2006/relationships/hyperlink" Target="https://grls.rosminzdrav.ru/Grls_View_v2.aspx?routingGuid=d4e26cea-321e-489e-90b0-10674ba3eaf9" TargetMode="External"/><Relationship Id="rId227" Type="http://schemas.openxmlformats.org/officeDocument/2006/relationships/hyperlink" Target="https://lk.regmed.ru/Register/GetPDFfromDAToken?Token=fd521f05-a4c3-4eeb-95f5-ca5ab71cbf29" TargetMode="External"/><Relationship Id="rId105" Type="http://schemas.openxmlformats.org/officeDocument/2006/relationships/hyperlink" Target="https://lk.regmed.ru/Register/GetPDFfromDAToken?Token=ec8dbc07-4048-4803-b294-939328173382" TargetMode="External"/><Relationship Id="rId226" Type="http://schemas.openxmlformats.org/officeDocument/2006/relationships/hyperlink" Target="https://grls.rosminzdrav.ru/Grls_View_v2.aspx?routingGuid=6d1d9760-3bab-4d35-b454-a9539b9fd9e6" TargetMode="External"/><Relationship Id="rId104" Type="http://schemas.openxmlformats.org/officeDocument/2006/relationships/hyperlink" Target="https://grls.rosminzdrav.ru/Grls_View_v2.aspx?routingGuid=1f496df2-7c22-4ddc-8980-da1023a88a35" TargetMode="External"/><Relationship Id="rId225" Type="http://schemas.openxmlformats.org/officeDocument/2006/relationships/hyperlink" Target="https://grls.rosminzdrav.ru/Grls_View_v2.aspx?routingGuid=0fcbffbf-d247-4aa3-a4df-cccf3af59785" TargetMode="External"/><Relationship Id="rId109" Type="http://schemas.openxmlformats.org/officeDocument/2006/relationships/hyperlink" Target="https://grls.rosminzdrav.ru/Grls_View_v2.aspx?routingGuid=a55e6d43-fef5-4c3d-af16-a15f6b065685" TargetMode="External"/><Relationship Id="rId108" Type="http://schemas.openxmlformats.org/officeDocument/2006/relationships/hyperlink" Target="http://grls.rosminzdrav.ru/Grls_View_v2.aspx?routingGuid=37890f2a-f963-4c4a-a9fc-d7738025bf49&amp;t=" TargetMode="External"/><Relationship Id="rId229" Type="http://schemas.openxmlformats.org/officeDocument/2006/relationships/hyperlink" Target="https://grls.rosminzdrav.ru/Grls_View_v2.aspx?routingGuid=3d207bf4-c6a2-49bf-aa53-76c242f79c31" TargetMode="External"/><Relationship Id="rId220" Type="http://schemas.openxmlformats.org/officeDocument/2006/relationships/hyperlink" Target="https://lk.regmed.ru/Register/GetPDFfromDAToken?Token=15837a61-cde6-4017-ab21-aa0710335a9e" TargetMode="External"/><Relationship Id="rId103" Type="http://schemas.openxmlformats.org/officeDocument/2006/relationships/hyperlink" Target="https://grls.rosminzdrav.ru/Grls_View_v2.aspx?routingGuid=a0eece39-1af9-4420-be24-7ff034677feb" TargetMode="External"/><Relationship Id="rId224" Type="http://schemas.openxmlformats.org/officeDocument/2006/relationships/hyperlink" Target="https://lk.regmed.ru/Register/GetPDFfromDAToken?Token=7efc3fca-7110-41f0-adc2-f32077b43099" TargetMode="External"/><Relationship Id="rId102" Type="http://schemas.openxmlformats.org/officeDocument/2006/relationships/hyperlink" Target="https://lk.regmed.ru/Register/GetPDFfromDAToken?Token=0cff0d2a-3085-4425-a8d9-40621446b45c" TargetMode="External"/><Relationship Id="rId223" Type="http://schemas.openxmlformats.org/officeDocument/2006/relationships/hyperlink" Target="https://grls.rosminzdrav.ru/Grls_View_v2.aspx?routingGuid=b974d161-6689-49b1-a6f6-a825ebf5a7f2" TargetMode="External"/><Relationship Id="rId101" Type="http://schemas.openxmlformats.org/officeDocument/2006/relationships/hyperlink" Target="https://grls.rosminzdrav.ru/Grls_View_v2.aspx?routingGuid=cf5179f1-d6f7-4a8b-9251-28065290b167" TargetMode="External"/><Relationship Id="rId222" Type="http://schemas.openxmlformats.org/officeDocument/2006/relationships/hyperlink" Target="https://lk.regmed.ru/Register/GetPDFfromDAToken?Token=ea20c32d-1656-4930-81f0-a2940083f505" TargetMode="External"/><Relationship Id="rId100" Type="http://schemas.openxmlformats.org/officeDocument/2006/relationships/hyperlink" Target="https://lk.regmed.ru/Register/GetPDFfromDAToken?Token=2516e721-6e26-4b63-bc37-7163e862ca17" TargetMode="External"/><Relationship Id="rId221" Type="http://schemas.openxmlformats.org/officeDocument/2006/relationships/hyperlink" Target="https://grls.rosminzdrav.ru/Grls_View_v2.aspx?routingGuid=e7b7b94d-8b67-45ff-8bd0-b314a927cb05" TargetMode="External"/><Relationship Id="rId217" Type="http://schemas.openxmlformats.org/officeDocument/2006/relationships/hyperlink" Target="https://grls.rosminzdrav.ru/Grls_View_v2.aspx?routingGuid=67d47b58-44f8-467a-ac68-f50a5e27ec96" TargetMode="External"/><Relationship Id="rId216" Type="http://schemas.openxmlformats.org/officeDocument/2006/relationships/hyperlink" Target="https://grls.rosminzdrav.ru/Grls_View_v2.aspx?routingGuid=c878e337-f3b6-44d8-9ac7-c245862a4463" TargetMode="External"/><Relationship Id="rId215" Type="http://schemas.openxmlformats.org/officeDocument/2006/relationships/hyperlink" Target="https://lk.regmed.ru/Register/GetPDFfromDAToken?Token=7edf99f7-7979-438f-9170-b9e3c18fcc4d" TargetMode="External"/><Relationship Id="rId214" Type="http://schemas.openxmlformats.org/officeDocument/2006/relationships/hyperlink" Target="https://grls.rosminzdrav.ru/Grls_View_v2.aspx?routingGuid=bb770bb9-3c59-44ac-9f5c-9ed0dbce6322" TargetMode="External"/><Relationship Id="rId219" Type="http://schemas.openxmlformats.org/officeDocument/2006/relationships/hyperlink" Target="https://grls.rosminzdrav.ru/Grls_View_v2.aspx?routingGuid=96e23044-21c2-4c98-bdd9-c703f58131cb" TargetMode="External"/><Relationship Id="rId218" Type="http://schemas.openxmlformats.org/officeDocument/2006/relationships/hyperlink" Target="https://lk.regmed.ru/Register/GetPDFfromDAToken?Token=7a5aa5a2-26ce-4b74-a18e-06cad4414c03" TargetMode="External"/><Relationship Id="rId213" Type="http://schemas.openxmlformats.org/officeDocument/2006/relationships/hyperlink" Target="https://lk.regmed.ru/Register/GetPDFfromDAToken?Token=750ab89f-ffeb-4e33-bf98-b18f486693be" TargetMode="External"/><Relationship Id="rId212" Type="http://schemas.openxmlformats.org/officeDocument/2006/relationships/hyperlink" Target="https://grls.rosminzdrav.ru/Grls_View_v2.aspx?routingGuid=f94267d3-8c60-499a-9be7-5bde70d2d7ac" TargetMode="External"/><Relationship Id="rId211" Type="http://schemas.openxmlformats.org/officeDocument/2006/relationships/hyperlink" Target="https://grls.rosminzdrav.ru/Grls_View_v2.aspx?routingGuid=e670abc1-a1f0-498f-88b0-5b59c2384ae8" TargetMode="External"/><Relationship Id="rId210" Type="http://schemas.openxmlformats.org/officeDocument/2006/relationships/hyperlink" Target="https://grls.rosminzdrav.ru/Grls_View_v2.aspx?routingGuid=374366a8-e413-438e-a33f-8f627a5db513" TargetMode="External"/><Relationship Id="rId129" Type="http://schemas.openxmlformats.org/officeDocument/2006/relationships/hyperlink" Target="https://grls.rosminzdrav.ru/Grls_View_v2.aspx?routingGuid=3e6a77c5-d2ae-4f34-b737-7803e65abe65" TargetMode="External"/><Relationship Id="rId128" Type="http://schemas.openxmlformats.org/officeDocument/2006/relationships/hyperlink" Target="https://grls.rosminzdrav.ru/Grls_View_v2.aspx?routingGuid=e674fd41-ea9d-4a0b-9f4b-7f728da76cf0" TargetMode="External"/><Relationship Id="rId127" Type="http://schemas.openxmlformats.org/officeDocument/2006/relationships/hyperlink" Target="https://grls.rosminzdrav.ru/Grls_View_v2.aspx?routingGuid=f6747520-46db-401c-ac99-b006cfc89abf" TargetMode="External"/><Relationship Id="rId126" Type="http://schemas.openxmlformats.org/officeDocument/2006/relationships/hyperlink" Target="https://grls.rosminzdrav.ru/Grls_View_v2.aspx?routingGuid=3f429426-417a-42af-8212-54d0f9b4f48a" TargetMode="External"/><Relationship Id="rId121" Type="http://schemas.openxmlformats.org/officeDocument/2006/relationships/hyperlink" Target="https://grls.rosminzdrav.ru/Grls_View_v2.aspx?routingGuid=0544ac02-95bc-4db8-8c03-e56ad7882e51" TargetMode="External"/><Relationship Id="rId120" Type="http://schemas.openxmlformats.org/officeDocument/2006/relationships/hyperlink" Target="https://grls.rosminzdrav.ru/Grls_View_v2.aspx?routingGuid=fdfbbbec-8dee-4615-b7eb-26968c926dbf" TargetMode="External"/><Relationship Id="rId125" Type="http://schemas.openxmlformats.org/officeDocument/2006/relationships/hyperlink" Target="https://lk.regmed.ru/Register/GetPDFfromDAToken?Token=50f49d83-55c5-4c3f-95fd-eb87ceb7bbc1" TargetMode="External"/><Relationship Id="rId124" Type="http://schemas.openxmlformats.org/officeDocument/2006/relationships/hyperlink" Target="https://grls.rosminzdrav.ru/Grls_View_v2.aspx?routingGuid=e231ed27-8f9b-48e2-9c90-6d4b5edb2693" TargetMode="External"/><Relationship Id="rId123" Type="http://schemas.openxmlformats.org/officeDocument/2006/relationships/hyperlink" Target="https://grls.rosminzdrav.ru/Grls_View_v2.aspx?routingGuid=dd8bb917-0073-4bc0-809b-587e89c9a8b0" TargetMode="External"/><Relationship Id="rId122" Type="http://schemas.openxmlformats.org/officeDocument/2006/relationships/hyperlink" Target="https://grls.rosminzdrav.ru/Grls_View_v2.aspx?routingGuid=45faa55d-d1ab-4179-9b8d-7b152e30bfec" TargetMode="External"/><Relationship Id="rId95" Type="http://schemas.openxmlformats.org/officeDocument/2006/relationships/hyperlink" Target="https://grls.rosminzdrav.ru/Grls_View_v2.aspx?routingGuid=9ea2867c-ced6-45dd-bf78-db44e14fd708" TargetMode="External"/><Relationship Id="rId94" Type="http://schemas.openxmlformats.org/officeDocument/2006/relationships/hyperlink" Target="https://grls.rosminzdrav.ru/Grls_View_v2.aspx?routingGuid=708a5616-61d3-4695-a4cb-2e78bcfca33b" TargetMode="External"/><Relationship Id="rId97" Type="http://schemas.openxmlformats.org/officeDocument/2006/relationships/hyperlink" Target="https://grls.rosminzdrav.ru/Grls_View_v2.aspx?routingGuid=c2615365-07f8-416b-be71-d3e983cb1eb3" TargetMode="External"/><Relationship Id="rId96" Type="http://schemas.openxmlformats.org/officeDocument/2006/relationships/hyperlink" Target="https://lk.regmed.ru/Register/GetPDFfromDAToken?Token=1f268f03-9b1c-4d7b-9599-88099428d00f" TargetMode="External"/><Relationship Id="rId99" Type="http://schemas.openxmlformats.org/officeDocument/2006/relationships/hyperlink" Target="https://grls.rosminzdrav.ru/Grls_View_v2.aspx?routingGuid=69bf2722-aa8e-4374-a63b-c2e0fd5da7cd" TargetMode="External"/><Relationship Id="rId98" Type="http://schemas.openxmlformats.org/officeDocument/2006/relationships/hyperlink" Target="https://lk.regmed.ru/Register/GetPDFfromDAToken?Token=5a727ed4-b3cb-4f35-8c47-cdc269e90fed" TargetMode="External"/><Relationship Id="rId91" Type="http://schemas.openxmlformats.org/officeDocument/2006/relationships/hyperlink" Target="https://grls.rosminzdrav.ru/Grls_View_v2.aspx?routingGuid=2d805292-2bee-4665-b4ef-a466b3e3bc8f" TargetMode="External"/><Relationship Id="rId90" Type="http://schemas.openxmlformats.org/officeDocument/2006/relationships/hyperlink" Target="http://grls.rosminzdrav.ru/Grls_View_v2.aspx?routingGuid=e46d0e09-a66e-402e-8777-b446fa489d1c&amp;t=" TargetMode="External"/><Relationship Id="rId93" Type="http://schemas.openxmlformats.org/officeDocument/2006/relationships/hyperlink" Target="https://grls.rosminzdrav.ru/Grls_View_v2.aspx?routingGuid=708a5616-61d3-4695-a4cb-2e78bcfca33b" TargetMode="External"/><Relationship Id="rId92" Type="http://schemas.openxmlformats.org/officeDocument/2006/relationships/hyperlink" Target="https://grls.rosminzdrav.ru/Grls_View_v2.aspx?routingGuid=2d805292-2bee-4665-b4ef-a466b3e3bc8f" TargetMode="External"/><Relationship Id="rId118" Type="http://schemas.openxmlformats.org/officeDocument/2006/relationships/hyperlink" Target="https://lk.regmed.ru/Register/GetPDFfromDAToken?Token=6d636ac5-7688-499c-b16b-bff4c5285c1a" TargetMode="External"/><Relationship Id="rId239" Type="http://schemas.openxmlformats.org/officeDocument/2006/relationships/drawing" Target="../drawings/drawing1.xml"/><Relationship Id="rId117" Type="http://schemas.openxmlformats.org/officeDocument/2006/relationships/hyperlink" Target="https://grls.rosminzdrav.ru/Grls_View_v2.aspx?routingGuid=62187342-c256-42fb-8419-8f916294db89" TargetMode="External"/><Relationship Id="rId238" Type="http://schemas.openxmlformats.org/officeDocument/2006/relationships/hyperlink" Target="https://grls.rosminzdrav.ru/Grls_View_v2.aspx?routingGuid=f226c735-914f-4562-8e0c-88a46da41b90" TargetMode="External"/><Relationship Id="rId116" Type="http://schemas.openxmlformats.org/officeDocument/2006/relationships/hyperlink" Target="http://grls.rosminzdrav.ru/Grls_View_v2.aspx?routingGuid=5ef363e0-7cee-48c5-ad35-c352b3fb519e&amp;t=" TargetMode="External"/><Relationship Id="rId237" Type="http://schemas.openxmlformats.org/officeDocument/2006/relationships/hyperlink" Target="https://grls.rosminzdrav.ru/Grls_View_v2.aspx?routingGuid=28cf88b2-695f-4467-a36a-7ea401b5c0dd" TargetMode="External"/><Relationship Id="rId115" Type="http://schemas.openxmlformats.org/officeDocument/2006/relationships/hyperlink" Target="https://grls.rosminzdrav.ru/Grls_View_v2.aspx?routingGuid=b5f5bf28-a50c-46a3-8777-66ad5b7b6870" TargetMode="External"/><Relationship Id="rId236" Type="http://schemas.openxmlformats.org/officeDocument/2006/relationships/hyperlink" Target="https://lk.regmed.ru/Register/GetPDFfromDAToken?Token=71281561-3c48-48b5-adce-60fba30d5683" TargetMode="External"/><Relationship Id="rId119" Type="http://schemas.openxmlformats.org/officeDocument/2006/relationships/hyperlink" Target="https://grls.rosminzdrav.ru/Grls_View_v2.aspx?routingGuid=c27afa22-136b-4a31-96c0-fa7b3d7357f4" TargetMode="External"/><Relationship Id="rId110" Type="http://schemas.openxmlformats.org/officeDocument/2006/relationships/hyperlink" Target="http://grls.rosminzdrav.ru/Grls_View_v2.aspx?routingGuid=7da2f9f3-53a6-4cbe-9eae-65a3d0bed21b&amp;t=" TargetMode="External"/><Relationship Id="rId231" Type="http://schemas.openxmlformats.org/officeDocument/2006/relationships/hyperlink" Target="https://lk.regmed.ru/Register/GetPDFfromDAToken?Token=98aa6592-f3ff-4626-8956-8bb4c5db5255" TargetMode="External"/><Relationship Id="rId230" Type="http://schemas.openxmlformats.org/officeDocument/2006/relationships/hyperlink" Target="https://grls.rosminzdrav.ru/Grls_View_v2.aspx?routingGuid=89ef1c8f-42a1-41e7-9675-ad685aa41438" TargetMode="External"/><Relationship Id="rId114" Type="http://schemas.openxmlformats.org/officeDocument/2006/relationships/hyperlink" Target="http://grls.rosminzdrav.ru/Grls_View_v2.aspx?routingGuid=45ea6a47-5e12-4580-b8ed-b03d229557e4&amp;t=" TargetMode="External"/><Relationship Id="rId235" Type="http://schemas.openxmlformats.org/officeDocument/2006/relationships/hyperlink" Target="https://grls.rosminzdrav.ru/Grls_View_v2.aspx?routingGuid=8dc63f11-354b-4d39-ae83-7db709b7e6a3" TargetMode="External"/><Relationship Id="rId113" Type="http://schemas.openxmlformats.org/officeDocument/2006/relationships/hyperlink" Target="http://grls.rosminzdrav.ru/Grls_View_v2.aspx?routingGuid=d7622abd-8b68-42cc-aeb2-08d107689bbc&amp;t=" TargetMode="External"/><Relationship Id="rId234" Type="http://schemas.openxmlformats.org/officeDocument/2006/relationships/hyperlink" Target="https://grls.rosminzdrav.ru/Grls_View_v2.aspx?routingGuid=286b6f36-0609-4bfe-95f0-c61e64984e57" TargetMode="External"/><Relationship Id="rId112" Type="http://schemas.openxmlformats.org/officeDocument/2006/relationships/hyperlink" Target="https://lk.regmed.ru/Register/GetPDFfromDAToken?Token=bbb42574-93e7-4e33-91ef-666773d1f867" TargetMode="External"/><Relationship Id="rId233" Type="http://schemas.openxmlformats.org/officeDocument/2006/relationships/hyperlink" Target="https://lk.regmed.ru/Register/GetPDFfromDAToken?Token=278aa15b-73f4-4b0e-8168-69185b2b8947" TargetMode="External"/><Relationship Id="rId111" Type="http://schemas.openxmlformats.org/officeDocument/2006/relationships/hyperlink" Target="https://grls.rosminzdrav.ru/Grls_View_v2.aspx?routingGuid=41231e71-613c-4a24-ab98-462b5d95f938" TargetMode="External"/><Relationship Id="rId232" Type="http://schemas.openxmlformats.org/officeDocument/2006/relationships/hyperlink" Target="https://grls.rosminzdrav.ru/Grls_View_v2.aspx?routingGuid=1a4a48c3-a278-4283-9a32-aa920611ebe5" TargetMode="External"/><Relationship Id="rId206" Type="http://schemas.openxmlformats.org/officeDocument/2006/relationships/hyperlink" Target="https://lk.regmed.ru/Register/GetPDFfromDAToken?Token=ee5a28a1-b369-4606-bd0e-32a3981091d3" TargetMode="External"/><Relationship Id="rId205" Type="http://schemas.openxmlformats.org/officeDocument/2006/relationships/hyperlink" Target="https://grls.rosminzdrav.ru/Grls_View_v2.aspx?routingGuid=e99e15ff-e349-466b-96fc-4a1c427ba9a8" TargetMode="External"/><Relationship Id="rId204" Type="http://schemas.openxmlformats.org/officeDocument/2006/relationships/hyperlink" Target="https://lk.regmed.ru/Register/GetPDFfromDAToken?Token=f106fac2-b184-4b96-ad68-6ac1fd1325da" TargetMode="External"/><Relationship Id="rId203" Type="http://schemas.openxmlformats.org/officeDocument/2006/relationships/hyperlink" Target="https://grls.rosminzdrav.ru/Grls_View_v2.aspx?routingGuid=0ba24732-9dc8-464f-9334-1656fb2a15d4" TargetMode="External"/><Relationship Id="rId209" Type="http://schemas.openxmlformats.org/officeDocument/2006/relationships/hyperlink" Target="https://lk.regmed.ru/Register/GetPDFfromDAToken?Token=52d43d70-7935-4398-9317-cc070e49481e" TargetMode="External"/><Relationship Id="rId208" Type="http://schemas.openxmlformats.org/officeDocument/2006/relationships/hyperlink" Target="https://grls.rosminzdrav.ru/Grls_View_v2.aspx?routingGuid=d3714db8-cea4-461c-839c-1840024120c8" TargetMode="External"/><Relationship Id="rId207" Type="http://schemas.openxmlformats.org/officeDocument/2006/relationships/hyperlink" Target="https://grls.rosminzdrav.ru/Grls_View_v2.aspx?routingGuid=76a79bba-d7c4-42d4-8469-ef532bed36f7" TargetMode="External"/><Relationship Id="rId202" Type="http://schemas.openxmlformats.org/officeDocument/2006/relationships/hyperlink" Target="https://grls.rosminzdrav.ru/Grls_View_v2.aspx?routingGuid=633cdfdd-34a7-4e62-939f-d39c64bb2c24" TargetMode="External"/><Relationship Id="rId201" Type="http://schemas.openxmlformats.org/officeDocument/2006/relationships/hyperlink" Target="https://grls.rosminzdrav.ru/Grls_View_v2.aspx?routingGuid=bb793945-6dfc-41a3-a8da-fdd3605314ef" TargetMode="External"/><Relationship Id="rId200" Type="http://schemas.openxmlformats.org/officeDocument/2006/relationships/hyperlink" Target="https://grls.rosminzdrav.ru/Grls_View_v2.aspx?routingGuid=ffbbd41c-3c7f-4e9c-a670-58300ad5f28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lk.regmed.ru/Register/GetPDFfromDA?ID=1512826451" TargetMode="External"/><Relationship Id="rId190" Type="http://schemas.openxmlformats.org/officeDocument/2006/relationships/drawing" Target="../drawings/drawing2.xml"/><Relationship Id="rId42" Type="http://schemas.openxmlformats.org/officeDocument/2006/relationships/hyperlink" Target="https://lk.regmed.ru/Register/GetPDFfromDA?ID=1523760571" TargetMode="External"/><Relationship Id="rId41" Type="http://schemas.openxmlformats.org/officeDocument/2006/relationships/hyperlink" Target="https://lk.regmed.ru/Register/GetPDFfromDA?ID=1633580161" TargetMode="External"/><Relationship Id="rId44" Type="http://schemas.openxmlformats.org/officeDocument/2006/relationships/hyperlink" Target="https://grls.rosminzdrav.ru/InstrImg/2021/12/14/1476333/f3799188-0d95-48db-a0ce-bb1396d44765.pdf" TargetMode="External"/><Relationship Id="rId43" Type="http://schemas.openxmlformats.org/officeDocument/2006/relationships/hyperlink" Target="https://grls.rosminzdrav.ru/InstrImg/2026/02/10/1526281/07a2f661-6334-4894-8117-0ad7563ba4ef.pdf" TargetMode="External"/><Relationship Id="rId46" Type="http://schemas.openxmlformats.org/officeDocument/2006/relationships/hyperlink" Target="https://lk.regmed.ru/Register/GetPDFfromDA?ID=1612604181" TargetMode="External"/><Relationship Id="rId45" Type="http://schemas.openxmlformats.org/officeDocument/2006/relationships/hyperlink" Target="https://grls.rosminzdrav.ru/InstrImg/2026/03/05/1527284/4a34f8fb-090f-4a41-bab9-0d4194977316.pdf" TargetMode="External"/><Relationship Id="rId48" Type="http://schemas.openxmlformats.org/officeDocument/2006/relationships/hyperlink" Target="https://lk.regmed.ru/Register/GetPDFfromDA?ID=1581220991" TargetMode="External"/><Relationship Id="rId187" Type="http://schemas.openxmlformats.org/officeDocument/2006/relationships/hyperlink" Target="https://grls.rosminzdrav.ru/InstrImg/2025/07/15/1519302/c7dac0d8-df0c-484e-99a0-d7b6422ab318.pdf" TargetMode="External"/><Relationship Id="rId47" Type="http://schemas.openxmlformats.org/officeDocument/2006/relationships/hyperlink" Target="https://grls.rosminzdrav.ru/InstrImg/2025/05/26/1517557/95b8d8b7-23f5-4e99-a4f7-efc667459b50.pdf" TargetMode="External"/><Relationship Id="rId186" Type="http://schemas.openxmlformats.org/officeDocument/2006/relationships/hyperlink" Target="https://grls.rosminzdrav.ru/InstrImg/2021/09/20/1473405/41395d1f-d6e8-41d5-88fe-a1a29b28be83.pdf" TargetMode="External"/><Relationship Id="rId185" Type="http://schemas.openxmlformats.org/officeDocument/2006/relationships/hyperlink" Target="https://grls.rosminzdrav.ru/InstrImg/2025/04/04/1515791/731944c3-c908-4ee4-8479-026ab476fc4b.pdf" TargetMode="External"/><Relationship Id="rId49" Type="http://schemas.openxmlformats.org/officeDocument/2006/relationships/hyperlink" Target="mailto:savinova@vaccina.info" TargetMode="External"/><Relationship Id="rId184" Type="http://schemas.openxmlformats.org/officeDocument/2006/relationships/hyperlink" Target="https://grls.rosminzdrav.ru/InstrImg/2025/03/14/1514899/44c72a47-2cd3-4a92-b136-0902c17fafb6.pdf" TargetMode="External"/><Relationship Id="rId189" Type="http://schemas.openxmlformats.org/officeDocument/2006/relationships/hyperlink" Target="https://grls.rosminzdrav.ru/InstrImg/2026/04/13/1528638/81dbfeae-d02c-4909-ae9d-1b3092cc89e9.pdf" TargetMode="External"/><Relationship Id="rId188" Type="http://schemas.openxmlformats.org/officeDocument/2006/relationships/hyperlink" Target="https://grls.rosminzdrav.ru/InstrImg/2026/04/13/1528563/1136dc5f-fe53-46a4-ba36-20995e399a16.pdf" TargetMode="External"/><Relationship Id="rId31" Type="http://schemas.openxmlformats.org/officeDocument/2006/relationships/hyperlink" Target="https://grls.rosminzdrav.ru/InstrImg/2019/8/6/1445331/%D0%9F_N011073%5B2016%5D_1.pdf" TargetMode="External"/><Relationship Id="rId30" Type="http://schemas.openxmlformats.org/officeDocument/2006/relationships/hyperlink" Target="https://grls.rosminzdrav.ru/InstrImg/2019/8/6/1445331/%D0%9F_N011073%5B2016%5D_1.pdf" TargetMode="External"/><Relationship Id="rId33" Type="http://schemas.openxmlformats.org/officeDocument/2006/relationships/hyperlink" Target="https://lk.regmed.ru/Register/GetPDFfromDA?ID=1575625191" TargetMode="External"/><Relationship Id="rId183" Type="http://schemas.openxmlformats.org/officeDocument/2006/relationships/hyperlink" Target="https://grls.rosminzdrav.ru/InstrImg/2025/03/25/1515160/e4c206af-2701-4f99-a45f-09d998ef0935.pdf" TargetMode="External"/><Relationship Id="rId32" Type="http://schemas.openxmlformats.org/officeDocument/2006/relationships/hyperlink" Target="https://lk.regmed.ru/Register/GetPDFfromDA?ID=1611660161" TargetMode="External"/><Relationship Id="rId182" Type="http://schemas.openxmlformats.org/officeDocument/2006/relationships/hyperlink" Target="https://grls.rosminzdrav.ru/InstrImg/2024/12/09/1511749/a4738d52-4ff6-4599-a566-530f55491e76.pdf" TargetMode="External"/><Relationship Id="rId35" Type="http://schemas.openxmlformats.org/officeDocument/2006/relationships/hyperlink" Target="https://grls.rosminzdrav.ru/InstrImg/2022/03/24/1479420/567f4c1a-9b51-46b3-aa9d-6be72c91e48b.pdf" TargetMode="External"/><Relationship Id="rId181" Type="http://schemas.openxmlformats.org/officeDocument/2006/relationships/hyperlink" Target="https://lk.regmed.ru/Register/GetPDFfromDA?ID=1607301531" TargetMode="External"/><Relationship Id="rId34" Type="http://schemas.openxmlformats.org/officeDocument/2006/relationships/hyperlink" Target="https://grls.rosminzdrav.ru/InstrImg/2025/07/21/1519595/f7c8e9e3-baf4-4c2e-949f-a41b75a8ad7c.pdf" TargetMode="External"/><Relationship Id="rId180" Type="http://schemas.openxmlformats.org/officeDocument/2006/relationships/hyperlink" Target="https://grls.rosminzdrav.ru/InstrImg/2025/12/30/1524963/862ae1b6-e8bc-417c-8173-0fa0ff6a6e52.pdf" TargetMode="External"/><Relationship Id="rId37" Type="http://schemas.openxmlformats.org/officeDocument/2006/relationships/hyperlink" Target="https://grls.rosminzdrav.ru/InstrImg/2020/11/12/37422/bb3f3b49-b450-42cf-a999-bcc087b2eb05.pdf" TargetMode="External"/><Relationship Id="rId176" Type="http://schemas.openxmlformats.org/officeDocument/2006/relationships/hyperlink" Target="https://lk.regmed.ru/Register/GetPDFfromDA?ID=1621040001" TargetMode="External"/><Relationship Id="rId36" Type="http://schemas.openxmlformats.org/officeDocument/2006/relationships/hyperlink" Target="https://grls.rosminzdrav.ru/InstrImg/2023/01/09/1490224/e76560fa-e72e-49eb-8daf-91f3d1403e22.pdf" TargetMode="External"/><Relationship Id="rId175" Type="http://schemas.openxmlformats.org/officeDocument/2006/relationships/hyperlink" Target="https://grls.rosminzdrav.ru/InstrImg/2019/6/10/1440397/%D0%9F_N014879_01-2003%5B2003%5D_0.pdf" TargetMode="External"/><Relationship Id="rId39" Type="http://schemas.openxmlformats.org/officeDocument/2006/relationships/hyperlink" Target="https://grls.rosminzdrav.ru/InstrImg/2020/11/23/1413288/cb3a391e-05f5-41e6-9963-8f102193f7e0.pdf" TargetMode="External"/><Relationship Id="rId174" Type="http://schemas.openxmlformats.org/officeDocument/2006/relationships/hyperlink" Target="https://grls.rosminzdrav.ru/InstrImg/2025/03/25/1515266/f7896710-fb4c-49f0-9e20-d6272771ab13.pdf" TargetMode="External"/><Relationship Id="rId38" Type="http://schemas.openxmlformats.org/officeDocument/2006/relationships/hyperlink" Target="mailto:savinova@vaccina.info" TargetMode="External"/><Relationship Id="rId173" Type="http://schemas.openxmlformats.org/officeDocument/2006/relationships/hyperlink" Target="https://grls.rosminzdrav.ru/InstrImg/2025/06/02/1517810/7b7b0a6f-2d36-481e-a964-4e8d04031cd7.pdf" TargetMode="External"/><Relationship Id="rId179" Type="http://schemas.openxmlformats.org/officeDocument/2006/relationships/hyperlink" Target="https://grls.rosminzdrav.ru/InstrImg/2025/07/09/1519029/0d8fd7ae-7b89-4160-9ecd-4b0646f6482f.pdf" TargetMode="External"/><Relationship Id="rId178" Type="http://schemas.openxmlformats.org/officeDocument/2006/relationships/hyperlink" Target="https://grls.rosminzdrav.ru/InstrImg/2025/06/16/1518163/105870c5-93ab-426a-9043-b14a77b3a9e1.pdf" TargetMode="External"/><Relationship Id="rId177" Type="http://schemas.openxmlformats.org/officeDocument/2006/relationships/hyperlink" Target="https://grls.rosminzdrav.ru/InstrImg/2025/06/20/1518413/41c4a162-9126-495b-93df-fc2894a8a11f.pdf" TargetMode="External"/><Relationship Id="rId20" Type="http://schemas.openxmlformats.org/officeDocument/2006/relationships/hyperlink" Target="https://grls.rosminzdrav.ru/InstrImg/2018/7/19/1423955/%D0%A0_N002668_01%5B2012%5D_0.pdf" TargetMode="External"/><Relationship Id="rId22" Type="http://schemas.openxmlformats.org/officeDocument/2006/relationships/hyperlink" Target="https://grls.rosminzdrav.ru/InstrImg/2020/9/29/1461721/%D0%A0_N000461_01%5B2018%5D_0.pdf" TargetMode="External"/><Relationship Id="rId21" Type="http://schemas.openxmlformats.org/officeDocument/2006/relationships/hyperlink" Target="https://lk.regmed.ru/Register/GetPDFfromDA?ID=1592320751" TargetMode="External"/><Relationship Id="rId24" Type="http://schemas.openxmlformats.org/officeDocument/2006/relationships/hyperlink" Target="https://lk.regmed.ru/Register/GetPDFfromDA?ID=1607490831" TargetMode="External"/><Relationship Id="rId23" Type="http://schemas.openxmlformats.org/officeDocument/2006/relationships/hyperlink" Target="https://grls.rosminzdrav.ru/InstrImg/2026/05/07/1529632/54e13522-5efa-4c8c-a9b0-7ea539b4f9d1.pdf" TargetMode="External"/><Relationship Id="rId26" Type="http://schemas.openxmlformats.org/officeDocument/2006/relationships/hyperlink" Target="https://grls.rosminzdrav.ru/InstrImg/2021/10/06/1474149/bd8cf367-32be-419a-a06f-cb35a0ecd9d1.pdf" TargetMode="External"/><Relationship Id="rId25" Type="http://schemas.openxmlformats.org/officeDocument/2006/relationships/hyperlink" Target="https://lk.regmed.ru/Register/GetPDFfromDA?ID=1607490831" TargetMode="External"/><Relationship Id="rId28" Type="http://schemas.openxmlformats.org/officeDocument/2006/relationships/hyperlink" Target="https://grls.rosminzdrav.ru/InstrImg/2025/06/16/1518193/6df836e1-9750-4ca5-be05-590641b808ac.pdf" TargetMode="External"/><Relationship Id="rId27" Type="http://schemas.openxmlformats.org/officeDocument/2006/relationships/hyperlink" Target="https://grls.rosminzdrav.ru/InstrImg/2021/10/06/1474147/01e6e663-0f1b-4047-bdc9-365d6ba31c8a.pdf" TargetMode="External"/><Relationship Id="rId29" Type="http://schemas.openxmlformats.org/officeDocument/2006/relationships/hyperlink" Target="https://grls.rosminzdrav.ru/InstrImg/2026/03/04/1527238/fe2adafe-5094-4da2-bbba-1a640a0ceb4e.pdf" TargetMode="External"/><Relationship Id="rId11" Type="http://schemas.openxmlformats.org/officeDocument/2006/relationships/hyperlink" Target="https://grls.rosminzdrav.ru/InstrImg/2020/05/28/10700/9d141b34-47e7-48c8-9480-616cbbc792fc.pdf" TargetMode="External"/><Relationship Id="rId10" Type="http://schemas.openxmlformats.org/officeDocument/2006/relationships/hyperlink" Target="https://grls.rosminzdrav.ru/InstrImg/2017/4/26/1416322/%D0%A0_N002666_01%5B2013%5D_0.pdf" TargetMode="External"/><Relationship Id="rId13" Type="http://schemas.openxmlformats.org/officeDocument/2006/relationships/hyperlink" Target="mailto:zaytseva@vaccina.info" TargetMode="External"/><Relationship Id="rId12" Type="http://schemas.openxmlformats.org/officeDocument/2006/relationships/hyperlink" Target="https://grls.rosminzdrav.ru/InstrImg/2026/05/27/1530421/6bdc8421-6c08-4bf7-be7f-0ae5d96a478d.pdf" TargetMode="External"/><Relationship Id="rId15" Type="http://schemas.openxmlformats.org/officeDocument/2006/relationships/hyperlink" Target="https://grls.rosminzdrav.ru/InstrImg/2026/06/02/1530636/e301156c-c7d5-45d7-bf58-5346c270c493.pdf" TargetMode="External"/><Relationship Id="rId14" Type="http://schemas.openxmlformats.org/officeDocument/2006/relationships/hyperlink" Target="https://grls.rosminzdrav.ru/InstrImg/2025/12/04/1523945/374687b9-516b-4eb9-9e34-640e88c2e1e2.pdf" TargetMode="External"/><Relationship Id="rId17" Type="http://schemas.openxmlformats.org/officeDocument/2006/relationships/hyperlink" Target="mailto:savinova@vaccina.info" TargetMode="External"/><Relationship Id="rId16" Type="http://schemas.openxmlformats.org/officeDocument/2006/relationships/hyperlink" Target="https://lk.regmed.ru/Register/GetPDFfromDA?ID=1601683231" TargetMode="External"/><Relationship Id="rId19" Type="http://schemas.openxmlformats.org/officeDocument/2006/relationships/hyperlink" Target="https://grls.rosminzdrav.ru/InstrImg/2024/12/16/1511954/43eafc3c-33ac-4e33-969c-259e9a175ebb.pdf" TargetMode="External"/><Relationship Id="rId18" Type="http://schemas.openxmlformats.org/officeDocument/2006/relationships/hyperlink" Target="https://lk.regmed.ru/Register/GetPDFfromDA?ID=1605321651" TargetMode="External"/><Relationship Id="rId84" Type="http://schemas.openxmlformats.org/officeDocument/2006/relationships/hyperlink" Target="https://grls.rosminzdrav.ru/InstrImg/2025/06/10/1518039/2f088da7-8272-4666-bcb6-a2e0826808b5.pdf" TargetMode="External"/><Relationship Id="rId83" Type="http://schemas.openxmlformats.org/officeDocument/2006/relationships/hyperlink" Target="mailto:savinova@vaccina.info" TargetMode="External"/><Relationship Id="rId86" Type="http://schemas.openxmlformats.org/officeDocument/2006/relationships/hyperlink" Target="https://lk.regmed.ru/Register/GetPDFfromDA?ID=1626767261" TargetMode="External"/><Relationship Id="rId85" Type="http://schemas.openxmlformats.org/officeDocument/2006/relationships/hyperlink" Target="https://grls.rosminzdrav.ru/InstrImg/2022/11/30/1489210/e0b55ee6-f6b6-4a34-8719-972e455bb957.pdf" TargetMode="External"/><Relationship Id="rId88" Type="http://schemas.openxmlformats.org/officeDocument/2006/relationships/hyperlink" Target="https://grls.rosminzdrav.ru/InstrImg/2021/07/22/86490/6edc4318-42c0-4bc8-b5c8-ce3d12306614.pdf" TargetMode="External"/><Relationship Id="rId150" Type="http://schemas.openxmlformats.org/officeDocument/2006/relationships/hyperlink" Target="https://lk.regmed.ru/Register/GetPDFfromDA?ID=1448256521" TargetMode="External"/><Relationship Id="rId87" Type="http://schemas.openxmlformats.org/officeDocument/2006/relationships/hyperlink" Target="https://grls.rosminzdrav.ru/InstrImg/2021/10/22/1474770/84220d47-9ed2-44e3-a2d3-89170a0f96d8.pdf" TargetMode="External"/><Relationship Id="rId89" Type="http://schemas.openxmlformats.org/officeDocument/2006/relationships/hyperlink" Target="https://grls.rosminzdrav.ru/InstrImg/2020/06/13/86486/475a8abf-d0b5-425d-9ae0-6f893e6a19eb.pdf" TargetMode="External"/><Relationship Id="rId80" Type="http://schemas.openxmlformats.org/officeDocument/2006/relationships/hyperlink" Target="https://lk.regmed.ru/Register/GetPDFfromDA?ID=1609919901" TargetMode="External"/><Relationship Id="rId82" Type="http://schemas.openxmlformats.org/officeDocument/2006/relationships/hyperlink" Target="https://grls.rosminzdrav.ru/InstrImg/2025/03/28/1515433/7cb66dc6-27dc-4004-ae84-1159c993bc84.pdf" TargetMode="External"/><Relationship Id="rId81" Type="http://schemas.openxmlformats.org/officeDocument/2006/relationships/hyperlink" Target="mailto:savinova@vaccina.info" TargetMode="External"/><Relationship Id="rId1" Type="http://schemas.openxmlformats.org/officeDocument/2006/relationships/hyperlink" Target="https://lk.regmed.ru/Register/GetPDFfromDA?ID=1597322951" TargetMode="External"/><Relationship Id="rId2" Type="http://schemas.openxmlformats.org/officeDocument/2006/relationships/hyperlink" Target="mailto:savinova@vaccina.info" TargetMode="External"/><Relationship Id="rId3" Type="http://schemas.openxmlformats.org/officeDocument/2006/relationships/hyperlink" Target="https://lk.regmed.ru/Register/GetPDFfromDA?ID=1597318981" TargetMode="External"/><Relationship Id="rId149" Type="http://schemas.openxmlformats.org/officeDocument/2006/relationships/hyperlink" Target="https://lk.regmed.ru/Register/GetPDFfromDA?ID=1485438071" TargetMode="External"/><Relationship Id="rId4" Type="http://schemas.openxmlformats.org/officeDocument/2006/relationships/hyperlink" Target="mailto:savinova@vaccina.info" TargetMode="External"/><Relationship Id="rId148" Type="http://schemas.openxmlformats.org/officeDocument/2006/relationships/hyperlink" Target="https://lk.regmed.ru/Register/GetPDFfromDA?ID=1494836031" TargetMode="External"/><Relationship Id="rId9" Type="http://schemas.openxmlformats.org/officeDocument/2006/relationships/hyperlink" Target="https://lk.regmed.ru/Register/GetPDFfromDA?ID=1587927891" TargetMode="External"/><Relationship Id="rId143" Type="http://schemas.openxmlformats.org/officeDocument/2006/relationships/hyperlink" Target="https://grls.rosminzdrav.ru/InstrImg/2025/10/30/1523008/59dd5156-957b-4de5-86c8-83d284b70f65.pdf" TargetMode="External"/><Relationship Id="rId142" Type="http://schemas.openxmlformats.org/officeDocument/2006/relationships/hyperlink" Target="https://grls.rosminzdrav.ru/InstrImg/2026/01/22/1525402/07c3adec-cd5e-49f6-9bc3-7a3e029cd98c.pdf" TargetMode="External"/><Relationship Id="rId141" Type="http://schemas.openxmlformats.org/officeDocument/2006/relationships/hyperlink" Target="https://lk.regmed.ru/Register/GetPDFfromDA?ID=1589687781" TargetMode="External"/><Relationship Id="rId140" Type="http://schemas.openxmlformats.org/officeDocument/2006/relationships/hyperlink" Target="mailto:savinova@vaccina.info" TargetMode="External"/><Relationship Id="rId5" Type="http://schemas.openxmlformats.org/officeDocument/2006/relationships/hyperlink" Target="https://grls.rosminzdrav.ru/InstrImg/2025/05/19/1517351/3bec22d2-65bc-4a94-9482-413901e57760.pdf" TargetMode="External"/><Relationship Id="rId147" Type="http://schemas.openxmlformats.org/officeDocument/2006/relationships/hyperlink" Target="https://lk.regmed.ru/Register/GetPDFfromDA?ID=1501096611" TargetMode="External"/><Relationship Id="rId6" Type="http://schemas.openxmlformats.org/officeDocument/2006/relationships/hyperlink" Target="https://grls.rosminzdrav.ru/InstrImg/2025/06/02/1517794/d7367d9e-e745-46a7-b297-5a093bf3738a.pdf" TargetMode="External"/><Relationship Id="rId146" Type="http://schemas.openxmlformats.org/officeDocument/2006/relationships/hyperlink" Target="https://lk.regmed.ru/Register/GetPDFfromDA?ID=1544404631" TargetMode="External"/><Relationship Id="rId7" Type="http://schemas.openxmlformats.org/officeDocument/2006/relationships/hyperlink" Target="https://lk.regmed.ru/Register/GetPDFfromDA?ID=1484709711" TargetMode="External"/><Relationship Id="rId145" Type="http://schemas.openxmlformats.org/officeDocument/2006/relationships/hyperlink" Target="https://lk.regmed.ru/Register/GetPDFfromDA?ID=1543829851" TargetMode="External"/><Relationship Id="rId8" Type="http://schemas.openxmlformats.org/officeDocument/2006/relationships/hyperlink" Target="mailto:savinova@vaccina.info" TargetMode="External"/><Relationship Id="rId144" Type="http://schemas.openxmlformats.org/officeDocument/2006/relationships/hyperlink" Target="https://grls.rosminzdrav.ru/InstrImg/2020/06/16/1416543/cc00d61d-e7e3-4d66-bfd4-02dc184c0de6.pdf" TargetMode="External"/><Relationship Id="rId73" Type="http://schemas.openxmlformats.org/officeDocument/2006/relationships/hyperlink" Target="https://grls.rosminzdrav.ru/InstrImg/2024/12/05/1511721/ee78b171-6cf3-474c-9f58-0391a7a5b91f.pdf" TargetMode="External"/><Relationship Id="rId72" Type="http://schemas.openxmlformats.org/officeDocument/2006/relationships/hyperlink" Target="https://grls.rosminzdrav.ru/InstrImg/2016/4/4/37565/%D0%9F_N015218_01%5B2009%5D_0.pdf" TargetMode="External"/><Relationship Id="rId75" Type="http://schemas.openxmlformats.org/officeDocument/2006/relationships/hyperlink" Target="https://grls.rosminzdrav.ru/InstrImg/2021/1/19/1465274/%D0%9F_N012585_01%5B2014%5D_0.pdf" TargetMode="External"/><Relationship Id="rId74" Type="http://schemas.openxmlformats.org/officeDocument/2006/relationships/hyperlink" Target="https://grls.rosminzdrav.ru/InstrImg/2017/4/26/1416345/%D0%A0_N002667_01%5B2012%5D_0.pdf" TargetMode="External"/><Relationship Id="rId77" Type="http://schemas.openxmlformats.org/officeDocument/2006/relationships/hyperlink" Target="https://grls.rosminzdrav.ru/InstrImg/2025/09/15/1521458/990be5c7-4178-4812-a999-fd00eaeb3d60.pdf" TargetMode="External"/><Relationship Id="rId76" Type="http://schemas.openxmlformats.org/officeDocument/2006/relationships/hyperlink" Target="https://grls.rosminzdrav.ru/InstrImg/2021/1/19/1465274/%D0%9F_N012585_01%5B2014%5D_0.pdf" TargetMode="External"/><Relationship Id="rId79" Type="http://schemas.openxmlformats.org/officeDocument/2006/relationships/hyperlink" Target="https://lk.regmed.ru/Register/GetPDFfromDA?ID=1607784571" TargetMode="External"/><Relationship Id="rId78" Type="http://schemas.openxmlformats.org/officeDocument/2006/relationships/hyperlink" Target="https://grls.rosminzdrav.ru/InstrImg/2025/09/15/1521458/990be5c7-4178-4812-a999-fd00eaeb3d60.pdf" TargetMode="External"/><Relationship Id="rId71" Type="http://schemas.openxmlformats.org/officeDocument/2006/relationships/hyperlink" Target="mailto:savinova@vaccina.info" TargetMode="External"/><Relationship Id="rId70" Type="http://schemas.openxmlformats.org/officeDocument/2006/relationships/hyperlink" Target="https://lk.regmed.ru/Register/GetPDFfromDA?ID=1621077341" TargetMode="External"/><Relationship Id="rId139" Type="http://schemas.openxmlformats.org/officeDocument/2006/relationships/hyperlink" Target="https://grls.rosminzdrav.ru/InstrImg/2023/03/14/1491812/20189f0f-07b3-427e-9a8a-d8006843c2d6.pdf" TargetMode="External"/><Relationship Id="rId138" Type="http://schemas.openxmlformats.org/officeDocument/2006/relationships/hyperlink" Target="mailto:savinova@vaccina.info" TargetMode="External"/><Relationship Id="rId137" Type="http://schemas.openxmlformats.org/officeDocument/2006/relationships/hyperlink" Target="https://lk.regmed.ru/Register/GetPDFfromDA?ID=1558408561" TargetMode="External"/><Relationship Id="rId132" Type="http://schemas.openxmlformats.org/officeDocument/2006/relationships/hyperlink" Target="https://grls.rosminzdrav.ru/InstrImg/2020/4/29/1456610/%D0%9F_N013850_01%5B2017%5D_2.pdf" TargetMode="External"/><Relationship Id="rId131" Type="http://schemas.openxmlformats.org/officeDocument/2006/relationships/hyperlink" Target="https://grls.rosminzdrav.ru/InstrImg/2023/07/19/1495141/8a2ba9a0-eb39-4368-9a0d-f81451183bb0.pdf" TargetMode="External"/><Relationship Id="rId130" Type="http://schemas.openxmlformats.org/officeDocument/2006/relationships/hyperlink" Target="https://grls.rosminzdrav.ru/InstrImg/2019/8/14/1445562/%D0%9F_N013657_01%5B2009%5D_0.pdf" TargetMode="External"/><Relationship Id="rId136" Type="http://schemas.openxmlformats.org/officeDocument/2006/relationships/hyperlink" Target="https://grls.rosminzdrav.ru/InstrImg/2023/02/09/1490961/74e94624-eabc-450e-bf32-2c1ddaca2be5.pdf" TargetMode="External"/><Relationship Id="rId135" Type="http://schemas.openxmlformats.org/officeDocument/2006/relationships/hyperlink" Target="https://grls.rosminzdrav.ru/InstrImg/2020/12/18/1464410/%D0%9F_N014361_01%5B2020%5D_0.pdf" TargetMode="External"/><Relationship Id="rId134" Type="http://schemas.openxmlformats.org/officeDocument/2006/relationships/hyperlink" Target="https://grls.rosminzdrav.ru/InstrImg/2016/6/9/1308974/%D0%9B%D0%A1%D0%A0-003210_07%5B2018%5D_0.pdf" TargetMode="External"/><Relationship Id="rId133" Type="http://schemas.openxmlformats.org/officeDocument/2006/relationships/hyperlink" Target="https://grls.rosminzdrav.ru/InstrImg/2020/12/15/1464278/%D0%9F_N015829_01%5B2017%5D_3.pdf" TargetMode="External"/><Relationship Id="rId62" Type="http://schemas.openxmlformats.org/officeDocument/2006/relationships/hyperlink" Target="https://lk.regmed.ru/Register/GetPDFfromDA?ID=1509638211" TargetMode="External"/><Relationship Id="rId61" Type="http://schemas.openxmlformats.org/officeDocument/2006/relationships/hyperlink" Target="https://grls.rosminzdrav.ru/InstrImg/2021/1/12/1464953/%D0%9B%D0%9F-001412%5B2019%5D_0.pdf" TargetMode="External"/><Relationship Id="rId64" Type="http://schemas.openxmlformats.org/officeDocument/2006/relationships/hyperlink" Target="https://grls.rosminzdrav.ru/InstrImg/2025/07/25/1519625/ca601e77-829c-48a9-b9b5-204e5b86aa88.pdf" TargetMode="External"/><Relationship Id="rId63" Type="http://schemas.openxmlformats.org/officeDocument/2006/relationships/hyperlink" Target="https://grls.rosminzdrav.ru/InstrImg/2022/07/11/1482961/7ca870d6-4357-4c0d-8ba4-f49b758dfd88.pdf" TargetMode="External"/><Relationship Id="rId66" Type="http://schemas.openxmlformats.org/officeDocument/2006/relationships/hyperlink" Target="https://lk.regmed.ru/Register/GetPDFfromDA?ID=1649843881" TargetMode="External"/><Relationship Id="rId172" Type="http://schemas.openxmlformats.org/officeDocument/2006/relationships/hyperlink" Target="https://grls.rosminzdrav.ru/InstrImg/2020/06/18/1452053/3993efd1-cdd7-4127-88ae-330ac7a6d1c1.pdf" TargetMode="External"/><Relationship Id="rId65" Type="http://schemas.openxmlformats.org/officeDocument/2006/relationships/hyperlink" Target="https://grls.rosminzdrav.ru/InstrImg/2024/12/19/1512043/59e764b9-60fd-455d-b6fc-d0056460286e.pdf" TargetMode="External"/><Relationship Id="rId171" Type="http://schemas.openxmlformats.org/officeDocument/2006/relationships/hyperlink" Target="https://lk.regmed.ru/Register/GetPDFfromDA?ID=1634791611" TargetMode="External"/><Relationship Id="rId68" Type="http://schemas.openxmlformats.org/officeDocument/2006/relationships/hyperlink" Target="https://grls.rosminzdrav.ru/InstrImg/2017/6/22/1417297/%D0%9B%D0%A1-001296%5B2012%5D_0.pdf" TargetMode="External"/><Relationship Id="rId170" Type="http://schemas.openxmlformats.org/officeDocument/2006/relationships/hyperlink" Target="https://grls.rosminzdrav.ru/InstrImg/2020/11/25/140879/fd8765bc-811d-4fc0-8599-fd0eeb9dd8aa.pdf" TargetMode="External"/><Relationship Id="rId67" Type="http://schemas.openxmlformats.org/officeDocument/2006/relationships/hyperlink" Target="https://grls.rosminzdrav.ru/InstrImg/2022/11/25/1488723/80c7b6fb-3d8f-4ee9-9610-da77ce371e71.pdf" TargetMode="External"/><Relationship Id="rId60" Type="http://schemas.openxmlformats.org/officeDocument/2006/relationships/hyperlink" Target="mailto:savinova@vaccina.info" TargetMode="External"/><Relationship Id="rId165" Type="http://schemas.openxmlformats.org/officeDocument/2006/relationships/hyperlink" Target="https://grls.rosminzdrav.ru/InstrImg/2020/11/20/1414272/ad633910-6fd8-473c-8c81-dc945f343f42.pdf" TargetMode="External"/><Relationship Id="rId69" Type="http://schemas.openxmlformats.org/officeDocument/2006/relationships/hyperlink" Target="https://grls.rosminzdrav.ru/InstrImg/2022/11/25/1488637/2d8b70a5-023e-45f6-a321-21ab12c43cb4.pdf" TargetMode="External"/><Relationship Id="rId164" Type="http://schemas.openxmlformats.org/officeDocument/2006/relationships/hyperlink" Target="https://grls.rosminzdrav.ru/InstrImg/2020/05/28/37407/eca15fe8-8706-4bd3-9148-1f54c5ab52ed.pdf" TargetMode="External"/><Relationship Id="rId163" Type="http://schemas.openxmlformats.org/officeDocument/2006/relationships/hyperlink" Target="https://grls.rosminzdrav.ru/InstrImg/2020/06/01/1422432/8314c8e6-25f4-4bd2-97f0-1a3b881e7dcb.pdf" TargetMode="External"/><Relationship Id="rId162" Type="http://schemas.openxmlformats.org/officeDocument/2006/relationships/hyperlink" Target="https://grls.rosminzdrav.ru/InstrImg/2019/06/30/739/1fca1237-4a6a-4bdd-b176-7ef01c56c1bf.pdf" TargetMode="External"/><Relationship Id="rId169" Type="http://schemas.openxmlformats.org/officeDocument/2006/relationships/hyperlink" Target="https://grls.rosminzdrav.ru/InstrImg/2025/03/27/1515398/ec0df501-9186-4e20-ae68-c07f28302f7b.pdf" TargetMode="External"/><Relationship Id="rId168" Type="http://schemas.openxmlformats.org/officeDocument/2006/relationships/hyperlink" Target="https://grls.rosminzdrav.ru/InstrImg/2025/02/28/1514525/002c6594-b19d-4b5a-a79c-60853ca8612c.pdf" TargetMode="External"/><Relationship Id="rId167" Type="http://schemas.openxmlformats.org/officeDocument/2006/relationships/hyperlink" Target="https://grls.rosminzdrav.ru/InstrImg/2020/11/23/146563/3780d7de-b3a2-42ee-b652-ae7a04722a90.pdf" TargetMode="External"/><Relationship Id="rId166" Type="http://schemas.openxmlformats.org/officeDocument/2006/relationships/hyperlink" Target="https://grls.rosminzdrav.ru/InstrImg/2020/11/25/146561/ca0de68f-feec-4e52-b6e6-210c5d91c6af.pdf" TargetMode="External"/><Relationship Id="rId51" Type="http://schemas.openxmlformats.org/officeDocument/2006/relationships/hyperlink" Target="https://grls.rosminzdrav.ru/InstrImg/2020/10/15/1462300/%D0%A0_N001586_01%5B2007%5D_0.pdf" TargetMode="External"/><Relationship Id="rId50" Type="http://schemas.openxmlformats.org/officeDocument/2006/relationships/hyperlink" Target="https://grls.rosminzdrav.ru/InstrImg/2025/12/30/1524922/f74ec015-a175-4792-8828-9d0c1f6547ab.pdf" TargetMode="External"/><Relationship Id="rId53" Type="http://schemas.openxmlformats.org/officeDocument/2006/relationships/hyperlink" Target="https://grls.rosminzdrav.ru/InstrImg/2025/06/19/1518378/557245be-23d7-4913-9af3-4fa130d3c97f.pdf" TargetMode="External"/><Relationship Id="rId52" Type="http://schemas.openxmlformats.org/officeDocument/2006/relationships/hyperlink" Target="https://lk.regmed.ru/Register/GetPDFfromDA?ID=1597558391" TargetMode="External"/><Relationship Id="rId55" Type="http://schemas.openxmlformats.org/officeDocument/2006/relationships/hyperlink" Target="https://lk.regmed.ru/Register/GetPDFfromDA?ID=1583272671" TargetMode="External"/><Relationship Id="rId161" Type="http://schemas.openxmlformats.org/officeDocument/2006/relationships/hyperlink" Target="https://grls.rosminzdrav.ru/InstrImg/2020/06/11/1206428/53252686-7415-4f30-bdba-632b434439f9.pdf" TargetMode="External"/><Relationship Id="rId54" Type="http://schemas.openxmlformats.org/officeDocument/2006/relationships/hyperlink" Target="https://grls.rosminzdrav.ru/InstrImg/2022/09/20/1485497/ec14bfcf-e7ae-4d2a-8916-3a79e74272eb.pdf" TargetMode="External"/><Relationship Id="rId160" Type="http://schemas.openxmlformats.org/officeDocument/2006/relationships/hyperlink" Target="https://grls.rosminzdrav.ru/InstrImg/2024/01/23/1501030/43ed9d31-44e7-403a-a977-d714a002b9c6.pdf" TargetMode="External"/><Relationship Id="rId57" Type="http://schemas.openxmlformats.org/officeDocument/2006/relationships/hyperlink" Target="https://lk.regmed.ru/Register/GetPDFfromDA?ID=1574028031" TargetMode="External"/><Relationship Id="rId56" Type="http://schemas.openxmlformats.org/officeDocument/2006/relationships/hyperlink" Target="https://lk.regmed.ru/Register/GetPDFfromDA?ID=1581523381" TargetMode="External"/><Relationship Id="rId159" Type="http://schemas.openxmlformats.org/officeDocument/2006/relationships/hyperlink" Target="https://grls.rosminzdrav.ru/InstrImg/2025/12/30/1524963/862ae1b6-e8bc-417c-8173-0fa0ff6a6e52.pdf" TargetMode="External"/><Relationship Id="rId59" Type="http://schemas.openxmlformats.org/officeDocument/2006/relationships/hyperlink" Target="https://lk.regmed.ru/Register/GetPDFfromDA?ID=1544529771" TargetMode="External"/><Relationship Id="rId154" Type="http://schemas.openxmlformats.org/officeDocument/2006/relationships/hyperlink" Target="https://grls.rosminzdrav.ru/InstrImg/2023/11/15/1499083/aedb6c35-3db8-494a-a41e-8ffc737dc35b.pdf" TargetMode="External"/><Relationship Id="rId58" Type="http://schemas.openxmlformats.org/officeDocument/2006/relationships/hyperlink" Target="https://lk.regmed.ru/Register/GetPDFfromDA?ID=1594767771" TargetMode="External"/><Relationship Id="rId153" Type="http://schemas.openxmlformats.org/officeDocument/2006/relationships/hyperlink" Target="https://grls.rosminzdrav.ru/InstrImg/2024/02/12/1501815/32f958db-a12b-4c41-9b5b-e1707a1b19ee.pdf" TargetMode="External"/><Relationship Id="rId152" Type="http://schemas.openxmlformats.org/officeDocument/2006/relationships/hyperlink" Target="https://grls.rosminzdrav.ru/InstrImg/2026/05/19/1529992/3e4bff0f-b904-49bd-8f8c-cf901c4749df.pdf" TargetMode="External"/><Relationship Id="rId151" Type="http://schemas.openxmlformats.org/officeDocument/2006/relationships/hyperlink" Target="https://lk.regmed.ru/Register/GetPDFfromDA?ID=1501926911" TargetMode="External"/><Relationship Id="rId158" Type="http://schemas.openxmlformats.org/officeDocument/2006/relationships/hyperlink" Target="https://grls.rosminzdrav.ru/InstrImg/2020/06/03/37799/c7a7977e-fea0-4451-80db-bfd751ccf3f6.pdf" TargetMode="External"/><Relationship Id="rId157" Type="http://schemas.openxmlformats.org/officeDocument/2006/relationships/hyperlink" Target="https://grls.rosminzdrav.ru/InstrImg/2019/10/17/1448631/%D0%9B%D0%9F-001290%5B2017%5D_0.pdf" TargetMode="External"/><Relationship Id="rId156" Type="http://schemas.openxmlformats.org/officeDocument/2006/relationships/hyperlink" Target="https://grls.rosminzdrav.ru/InstrImg/2018/11/10/1426168/%D0%A0_N000460_01%5B2018%5D_0.pdf" TargetMode="External"/><Relationship Id="rId155" Type="http://schemas.openxmlformats.org/officeDocument/2006/relationships/hyperlink" Target="https://grls.rosminzdrav.ru/InstrImg/2026/04/08/1528373/3fb2f386-4fb1-4866-bc9c-0268096bb4fc.pdf" TargetMode="External"/><Relationship Id="rId107" Type="http://schemas.openxmlformats.org/officeDocument/2006/relationships/hyperlink" Target="https://grls.rosminzdrav.ru/InstrImg/2026/01/22/1525392/c4730a97-f7f4-406f-954c-6a6bed44be35.pdf" TargetMode="External"/><Relationship Id="rId106" Type="http://schemas.openxmlformats.org/officeDocument/2006/relationships/hyperlink" Target="https://grls.rosminzdrav.ru/InstrImg/2022/07/01/1482554/5f33ae33-eaa6-4ca5-aed1-e39900dc85a6.pdf" TargetMode="External"/><Relationship Id="rId105" Type="http://schemas.openxmlformats.org/officeDocument/2006/relationships/hyperlink" Target="mailto:savinova@vaccina.info" TargetMode="External"/><Relationship Id="rId104" Type="http://schemas.openxmlformats.org/officeDocument/2006/relationships/hyperlink" Target="https://grls.rosminzdrav.ru/InstrImg/2025/06/20/1518412/cd0f3dff-5242-4a3d-b71e-22447afe0e73.pdf" TargetMode="External"/><Relationship Id="rId109" Type="http://schemas.openxmlformats.org/officeDocument/2006/relationships/hyperlink" Target="https://lk.regmed.ru/Register/GetPDFfromDA?ID=1641359721" TargetMode="External"/><Relationship Id="rId108" Type="http://schemas.openxmlformats.org/officeDocument/2006/relationships/hyperlink" Target="https://grls.rosminzdrav.ru/InstrImg/2023/03/01/1491468/c8da2905-b80e-470c-adc7-c40c03707ddd.pdf" TargetMode="External"/><Relationship Id="rId103" Type="http://schemas.openxmlformats.org/officeDocument/2006/relationships/hyperlink" Target="https://grls.rosminzdrav.ru/InstrImg/2022/10/26/1480925/8a4034a5-ce9e-4e60-8aed-62309841b33e.pdf" TargetMode="External"/><Relationship Id="rId102" Type="http://schemas.openxmlformats.org/officeDocument/2006/relationships/hyperlink" Target="https://grls.rosminzdrav.ru/InstrImg/2026/02/03/1525996/748a2896-887a-40f1-82c0-510ac345461d.pdf" TargetMode="External"/><Relationship Id="rId101" Type="http://schemas.openxmlformats.org/officeDocument/2006/relationships/hyperlink" Target="https://grls.rosminzdrav.ru/InstrImg/2021/6/4/1469733/%D0%A0_N000661_01%5B2017%5D_0.pdf" TargetMode="External"/><Relationship Id="rId100" Type="http://schemas.openxmlformats.org/officeDocument/2006/relationships/hyperlink" Target="https://grls.rosminzdrav.ru/InstrImg/2026/02/06/1526184/204c2bdf-4b3b-45c5-b641-f7ce1ae753b3.pdf" TargetMode="External"/><Relationship Id="rId129" Type="http://schemas.openxmlformats.org/officeDocument/2006/relationships/hyperlink" Target="https://grls.rosminzdrav.ru/InstrImg/2019/8/15/1445618/%D0%9F_N015312_01%5B2010%5D_0.pdf" TargetMode="External"/><Relationship Id="rId128" Type="http://schemas.openxmlformats.org/officeDocument/2006/relationships/hyperlink" Target="https://grls.rosminzdrav.ru/InstrImg/2023/07/13/1494926/d8440e50-44f6-4e4b-a50d-64608384e586.pdf" TargetMode="External"/><Relationship Id="rId127" Type="http://schemas.openxmlformats.org/officeDocument/2006/relationships/hyperlink" Target="mailto:savinova@vaccina.info" TargetMode="External"/><Relationship Id="rId126" Type="http://schemas.openxmlformats.org/officeDocument/2006/relationships/hyperlink" Target="https://lk.regmed.ru/Register/GetPDFfromDA?ID=1574006211" TargetMode="External"/><Relationship Id="rId121" Type="http://schemas.openxmlformats.org/officeDocument/2006/relationships/hyperlink" Target="https://grls.rosminzdrav.ru/InstrImg/2019/06/29/1424317/a2b80c77-0857-4a1d-a948-36a987511e54.pdf" TargetMode="External"/><Relationship Id="rId120" Type="http://schemas.openxmlformats.org/officeDocument/2006/relationships/hyperlink" Target="https://grls.rosminzdrav.ru/InstrImg/2020/12/02/1423524/629a6384-1db2-499f-afb1-e87dac723b9a.pdf" TargetMode="External"/><Relationship Id="rId125" Type="http://schemas.openxmlformats.org/officeDocument/2006/relationships/hyperlink" Target="https://grls.rosminzdrav.ru/InstrImg/2026/01/16/1525169/a5f21ff0-2d7c-4ab8-8025-1ccbc0cf7cc6.pdf" TargetMode="External"/><Relationship Id="rId124" Type="http://schemas.openxmlformats.org/officeDocument/2006/relationships/hyperlink" Target="https://grls.rosminzdrav.ru/InstrImg/2021/04/08/1467900/f508c5e7-aa0d-42c7-bedb-2e85c64ad4f7.pdf" TargetMode="External"/><Relationship Id="rId123" Type="http://schemas.openxmlformats.org/officeDocument/2006/relationships/hyperlink" Target="https://grls.rosminzdrav.ru/InstrImg/2025/06/02/1517806/3c9102ff-eafa-47bc-b83f-eb05cfac1092.pdf" TargetMode="External"/><Relationship Id="rId122" Type="http://schemas.openxmlformats.org/officeDocument/2006/relationships/hyperlink" Target="https://lk.regmed.ru/Register/GetPDFfromDA?ID=1497046991" TargetMode="External"/><Relationship Id="rId95" Type="http://schemas.openxmlformats.org/officeDocument/2006/relationships/hyperlink" Target="https://grls.rosminzdrav.ru/InstrImg/2020/08/24/86488/cd62e567-52e1-43cd-a128-999c87d1773a.pdf" TargetMode="External"/><Relationship Id="rId94" Type="http://schemas.openxmlformats.org/officeDocument/2006/relationships/hyperlink" Target="mailto:savinova@vaccina.info" TargetMode="External"/><Relationship Id="rId97" Type="http://schemas.openxmlformats.org/officeDocument/2006/relationships/hyperlink" Target="https://grls.rosminzdrav.ru/InstrImg/2020/11/27/1463688/%D0%A0_N002481_01%5B2020%5D_0.pdf" TargetMode="External"/><Relationship Id="rId96" Type="http://schemas.openxmlformats.org/officeDocument/2006/relationships/hyperlink" Target="https://grls.rosminzdrav.ru/InstrImg/2021/09/20/1473405/41395d1f-d6e8-41d5-88fe-a1a29b28be83.pdf" TargetMode="External"/><Relationship Id="rId99" Type="http://schemas.openxmlformats.org/officeDocument/2006/relationships/hyperlink" Target="https://grls.rosminzdrav.ru/InstrImg/2022/12/12/1489555/281290ac-8b7f-4930-a191-7eff9a7cb147.pdf" TargetMode="External"/><Relationship Id="rId98" Type="http://schemas.openxmlformats.org/officeDocument/2006/relationships/hyperlink" Target="https://grls.rosminzdrav.ru/InstrImg/2025/02/06/1513573/c7fd0ba6-d018-4726-b9e2-1ae791edec76.pdf" TargetMode="External"/><Relationship Id="rId91" Type="http://schemas.openxmlformats.org/officeDocument/2006/relationships/hyperlink" Target="https://grls.rosminzdrav.ru/InstrImg/2020/06/08/86489/1668d555-c914-4376-a4a0-b5164cb2a0e9.pdf" TargetMode="External"/><Relationship Id="rId90" Type="http://schemas.openxmlformats.org/officeDocument/2006/relationships/hyperlink" Target="https://grls.rosminzdrav.ru/InstrImg/2021/7/6/1470535/%D0%9B%D0%A1%D0%A0-005759_08%5B2020%5D_0.pdf" TargetMode="External"/><Relationship Id="rId93" Type="http://schemas.openxmlformats.org/officeDocument/2006/relationships/hyperlink" Target="https://grls.rosminzdrav.ru/InstrImg/2019/10/25/1448929/%D0%A0_N001273_01%5B2019%5D_0.pdf" TargetMode="External"/><Relationship Id="rId92" Type="http://schemas.openxmlformats.org/officeDocument/2006/relationships/hyperlink" Target="https://grls.rosminzdrav.ru/InstrImg/2025/04/08/1515924/2cb5904f-0eb6-4463-9e6d-a2aa95a7192c.pdf" TargetMode="External"/><Relationship Id="rId118" Type="http://schemas.openxmlformats.org/officeDocument/2006/relationships/hyperlink" Target="https://grls.rosminzdrav.ru/InstrImg/2025/04/07/1515838/1b86346c-ace0-4de8-a757-2d3e7e4604e4.pdf" TargetMode="External"/><Relationship Id="rId117" Type="http://schemas.openxmlformats.org/officeDocument/2006/relationships/hyperlink" Target="https://lk.regmed.ru/Register/GetPDFfromDA?ID=1512826451" TargetMode="External"/><Relationship Id="rId116" Type="http://schemas.openxmlformats.org/officeDocument/2006/relationships/hyperlink" Target="mailto:savinova@vaccina.info" TargetMode="External"/><Relationship Id="rId115" Type="http://schemas.openxmlformats.org/officeDocument/2006/relationships/hyperlink" Target="https://grls.rosminzdrav.ru/InstrImg/2022/09/09/1485745/6205a5ae-4bbb-42bf-84d2-93c4042be1cb.pdf" TargetMode="External"/><Relationship Id="rId119" Type="http://schemas.openxmlformats.org/officeDocument/2006/relationships/hyperlink" Target="https://lk.regmed.ru/Register/GetPDFfromDA?ID=1545562701" TargetMode="External"/><Relationship Id="rId110" Type="http://schemas.openxmlformats.org/officeDocument/2006/relationships/hyperlink" Target="https://grls.rosminzdrav.ru/InstrImg/2020/11/27/1463649/%D0%9B%D0%9F-000499%5B2016%5D_0.pdf" TargetMode="External"/><Relationship Id="rId114" Type="http://schemas.openxmlformats.org/officeDocument/2006/relationships/hyperlink" Target="https://grls.rosminzdrav.ru/InstrImg/2023/04/13/1492490/6ff5839d-5715-4ac9-b3b7-b35008686c67.pdf" TargetMode="External"/><Relationship Id="rId113" Type="http://schemas.openxmlformats.org/officeDocument/2006/relationships/hyperlink" Target="https://lk.regmed.ru/Register/GetPDFfromDA?ID=1596978511" TargetMode="External"/><Relationship Id="rId112" Type="http://schemas.openxmlformats.org/officeDocument/2006/relationships/hyperlink" Target="https://grls.rosminzdrav.ru/InstrImg/2025/06/16/1518193/6df836e1-9750-4ca5-be05-590641b808ac.pdf" TargetMode="External"/><Relationship Id="rId111" Type="http://schemas.openxmlformats.org/officeDocument/2006/relationships/hyperlink" Target="https://grls.rosminzdrav.ru/InstrImg/2026/03/04/1527238/fe2adafe-5094-4da2-bbba-1a640a0ceb4e.pdf"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lk.regmed.ru/Register/GetPDFfromDA?ID=1512826451" TargetMode="External"/><Relationship Id="rId42" Type="http://schemas.openxmlformats.org/officeDocument/2006/relationships/hyperlink" Target="https://lk.regmed.ru/Register/GetPDFfromDA?ID=1523760571" TargetMode="External"/><Relationship Id="rId41" Type="http://schemas.openxmlformats.org/officeDocument/2006/relationships/hyperlink" Target="https://lk.regmed.ru/Register/GetPDFfromDA?ID=1633580161" TargetMode="External"/><Relationship Id="rId44" Type="http://schemas.openxmlformats.org/officeDocument/2006/relationships/hyperlink" Target="https://grls.rosminzdrav.ru/InstrImg/2021/12/14/1476333/6ec3965b-4239-4718-add0-ce5ef822b7c4.pdf" TargetMode="External"/><Relationship Id="rId43" Type="http://schemas.openxmlformats.org/officeDocument/2006/relationships/hyperlink" Target="https://grls.rosminzdrav.ru/InstrImg/2026/02/10/1526281/07a2f661-6334-4894-8117-0ad7563ba4ef.pdf" TargetMode="External"/><Relationship Id="rId46" Type="http://schemas.openxmlformats.org/officeDocument/2006/relationships/hyperlink" Target="https://lk.regmed.ru/Register/GetPDFfromDA?ID=1612604181" TargetMode="External"/><Relationship Id="rId45" Type="http://schemas.openxmlformats.org/officeDocument/2006/relationships/hyperlink" Target="https://grls.rosminzdrav.ru/InstrImg/2026/03/05/1527284/4a34f8fb-090f-4a41-bab9-0d4194977316.pdf" TargetMode="External"/><Relationship Id="rId48" Type="http://schemas.openxmlformats.org/officeDocument/2006/relationships/hyperlink" Target="https://lk.regmed.ru/Register/GetPDFfromDA?ID=1581220991" TargetMode="External"/><Relationship Id="rId187" Type="http://schemas.openxmlformats.org/officeDocument/2006/relationships/hyperlink" Target="https://grls.rosminzdrav.ru/InstrImg/2026/04/13/1528563/1136dc5f-fe53-46a4-ba36-20995e399a16.pdf" TargetMode="External"/><Relationship Id="rId47" Type="http://schemas.openxmlformats.org/officeDocument/2006/relationships/hyperlink" Target="https://grls.rosminzdrav.ru/InstrImg/2025/05/26/1517557/95b8d8b7-23f5-4e99-a4f7-efc667459b50.pdf" TargetMode="External"/><Relationship Id="rId186" Type="http://schemas.openxmlformats.org/officeDocument/2006/relationships/hyperlink" Target="https://grls.rosminzdrav.ru/InstrImg/2025/07/15/1519302/c7dac0d8-df0c-484e-99a0-d7b6422ab318.pdf" TargetMode="External"/><Relationship Id="rId185" Type="http://schemas.openxmlformats.org/officeDocument/2006/relationships/hyperlink" Target="https://grls.rosminzdrav.ru/InstrImg/2021/09/20/1473405/41395d1f-d6e8-41d5-88fe-a1a29b28be83.pdf" TargetMode="External"/><Relationship Id="rId49" Type="http://schemas.openxmlformats.org/officeDocument/2006/relationships/hyperlink" Target="https://grls.rosminzdrav.ru/InstrImg/2025/12/30/1524922/f74ec015-a175-4792-8828-9d0c1f6547ab.pdf" TargetMode="External"/><Relationship Id="rId184" Type="http://schemas.openxmlformats.org/officeDocument/2006/relationships/hyperlink" Target="https://grls.rosminzdrav.ru/InstrImg/2025/04/04/1515791/731944c3-c908-4ee4-8479-026ab476fc4b.pdf" TargetMode="External"/><Relationship Id="rId189" Type="http://schemas.openxmlformats.org/officeDocument/2006/relationships/drawing" Target="../drawings/drawing3.xml"/><Relationship Id="rId188" Type="http://schemas.openxmlformats.org/officeDocument/2006/relationships/hyperlink" Target="https://grls.rosminzdrav.ru/InstrImg/2026/04/13/1528638/81dbfeae-d02c-4909-ae9d-1b3092cc89e9.pdf" TargetMode="External"/><Relationship Id="rId31" Type="http://schemas.openxmlformats.org/officeDocument/2006/relationships/hyperlink" Target="https://grls.rosminzdrav.ru/InstrImg/2019/8/6/1445331/%D0%9F_N011073%5B2014%5D_0.pdf" TargetMode="External"/><Relationship Id="rId30" Type="http://schemas.openxmlformats.org/officeDocument/2006/relationships/hyperlink" Target="https://grls.rosminzdrav.ru/InstrImg/2019/8/6/1445331/%D0%9F_N011073%5B2014%5D_0.pdf" TargetMode="External"/><Relationship Id="rId33" Type="http://schemas.openxmlformats.org/officeDocument/2006/relationships/hyperlink" Target="https://lk.regmed.ru/Register/GetPDFfromDA?ID=1575625191" TargetMode="External"/><Relationship Id="rId183" Type="http://schemas.openxmlformats.org/officeDocument/2006/relationships/hyperlink" Target="https://grls.rosminzdrav.ru/InstrImg/2025/03/14/1514899/44c72a47-2cd3-4a92-b136-0902c17fafb6.pdf" TargetMode="External"/><Relationship Id="rId32" Type="http://schemas.openxmlformats.org/officeDocument/2006/relationships/hyperlink" Target="https://lk.regmed.ru/Register/GetPDFfromDA?ID=1611660161" TargetMode="External"/><Relationship Id="rId182" Type="http://schemas.openxmlformats.org/officeDocument/2006/relationships/hyperlink" Target="https://grls.rosminzdrav.ru/InstrImg/2025/03/25/1515160/e4c206af-2701-4f99-a45f-09d998ef0935.pdf" TargetMode="External"/><Relationship Id="rId35" Type="http://schemas.openxmlformats.org/officeDocument/2006/relationships/hyperlink" Target="https://grls.rosminzdrav.ru/InstrImg/2022/03/24/1479420/3838bcfc-cc6a-448b-abf8-404668c05a34.pdf" TargetMode="External"/><Relationship Id="rId181" Type="http://schemas.openxmlformats.org/officeDocument/2006/relationships/hyperlink" Target="https://grls.rosminzdrav.ru/InstrImg/2024/12/09/1511749/a4738d52-4ff6-4599-a566-530f55491e76.pdf" TargetMode="External"/><Relationship Id="rId34" Type="http://schemas.openxmlformats.org/officeDocument/2006/relationships/hyperlink" Target="https://grls.rosminzdrav.ru/InstrImg/2025/07/21/1519595/f7c8e9e3-baf4-4c2e-949f-a41b75a8ad7c.pdf" TargetMode="External"/><Relationship Id="rId180" Type="http://schemas.openxmlformats.org/officeDocument/2006/relationships/hyperlink" Target="https://lk.regmed.ru/Register/GetPDFfromDA?ID=1607301531" TargetMode="External"/><Relationship Id="rId37" Type="http://schemas.openxmlformats.org/officeDocument/2006/relationships/hyperlink" Target="https://grls.rosminzdrav.ru/InstrImg/2020/11/12/37422/bb3f3b49-b450-42cf-a999-bcc087b2eb05.pdf" TargetMode="External"/><Relationship Id="rId176" Type="http://schemas.openxmlformats.org/officeDocument/2006/relationships/hyperlink" Target="https://grls.rosminzdrav.ru/InstrImg/2025/06/20/1518413/41c4a162-9126-495b-93df-fc2894a8a11f.pdf" TargetMode="External"/><Relationship Id="rId36" Type="http://schemas.openxmlformats.org/officeDocument/2006/relationships/hyperlink" Target="https://grls.rosminzdrav.ru/InstrImg/2023/01/09/1490224/e76560fa-e72e-49eb-8daf-91f3d1403e22.pdf" TargetMode="External"/><Relationship Id="rId175" Type="http://schemas.openxmlformats.org/officeDocument/2006/relationships/hyperlink" Target="https://lk.regmed.ru/Register/GetPDFfromDA?ID=1621040001" TargetMode="External"/><Relationship Id="rId39" Type="http://schemas.openxmlformats.org/officeDocument/2006/relationships/hyperlink" Target="mailto:savinova@vaccina.info" TargetMode="External"/><Relationship Id="rId174" Type="http://schemas.openxmlformats.org/officeDocument/2006/relationships/hyperlink" Target="https://grls.rosminzdrav.ru/InstrImg/2019/6/10/1440397/%D0%9F_N014879_01-2003%5B2003%5D_0.pdf" TargetMode="External"/><Relationship Id="rId38" Type="http://schemas.openxmlformats.org/officeDocument/2006/relationships/hyperlink" Target="https://grls.rosminzdrav.ru/InstrImg/2020/11/23/1413288/cb3a391e-05f5-41e6-9963-8f102193f7e0.pdf" TargetMode="External"/><Relationship Id="rId173" Type="http://schemas.openxmlformats.org/officeDocument/2006/relationships/hyperlink" Target="https://grls.rosminzdrav.ru/InstrImg/2025/03/25/1515266/f7896710-fb4c-49f0-9e20-d6272771ab13.pdf" TargetMode="External"/><Relationship Id="rId179" Type="http://schemas.openxmlformats.org/officeDocument/2006/relationships/hyperlink" Target="https://grls.rosminzdrav.ru/InstrImg/2025/12/30/1524963/862ae1b6-e8bc-417c-8173-0fa0ff6a6e52.pdf" TargetMode="External"/><Relationship Id="rId178" Type="http://schemas.openxmlformats.org/officeDocument/2006/relationships/hyperlink" Target="https://grls.rosminzdrav.ru/InstrImg/2025/07/09/1519029/0d8fd7ae-7b89-4160-9ecd-4b0646f6482f.pdf" TargetMode="External"/><Relationship Id="rId177" Type="http://schemas.openxmlformats.org/officeDocument/2006/relationships/hyperlink" Target="https://grls.rosminzdrav.ru/InstrImg/2025/06/16/1518163/105870c5-93ab-426a-9043-b14a77b3a9e1.pdf" TargetMode="External"/><Relationship Id="rId20" Type="http://schemas.openxmlformats.org/officeDocument/2006/relationships/hyperlink" Target="https://lk.regmed.ru/Register/GetPDFfromDA?ID=1592320751" TargetMode="External"/><Relationship Id="rId22" Type="http://schemas.openxmlformats.org/officeDocument/2006/relationships/hyperlink" Target="https://grls.rosminzdrav.ru/InstrImg/2026/05/07/1529632/54e13522-5efa-4c8c-a9b0-7ea539b4f9d1.pdf" TargetMode="External"/><Relationship Id="rId21" Type="http://schemas.openxmlformats.org/officeDocument/2006/relationships/hyperlink" Target="https://grls.rosminzdrav.ru/InstrImg/2020/9/29/1461721/%D0%A0_N000461_01%5B2018%5D_0.pdf" TargetMode="External"/><Relationship Id="rId24" Type="http://schemas.openxmlformats.org/officeDocument/2006/relationships/hyperlink" Target="https://lk.regmed.ru/Register/GetPDFfromDA?ID=1607490831" TargetMode="External"/><Relationship Id="rId23" Type="http://schemas.openxmlformats.org/officeDocument/2006/relationships/hyperlink" Target="https://lk.regmed.ru/Register/GetPDFfromDA?ID=1607490831" TargetMode="External"/><Relationship Id="rId26" Type="http://schemas.openxmlformats.org/officeDocument/2006/relationships/hyperlink" Target="https://grls.rosminzdrav.ru/InstrImg/2021/10/06/1474147/01e6e663-0f1b-4047-bdc9-365d6ba31c8a.pdf" TargetMode="External"/><Relationship Id="rId25" Type="http://schemas.openxmlformats.org/officeDocument/2006/relationships/hyperlink" Target="https://grls.rosminzdrav.ru/InstrImg/2021/10/06/1474149/9fb37d4d-6fc7-451d-ae8b-ff2258dcae40.pdf" TargetMode="External"/><Relationship Id="rId28" Type="http://schemas.openxmlformats.org/officeDocument/2006/relationships/hyperlink" Target="mailto:savinova@vaccina.info" TargetMode="External"/><Relationship Id="rId27" Type="http://schemas.openxmlformats.org/officeDocument/2006/relationships/hyperlink" Target="https://grls.rosminzdrav.ru/InstrImg/2025/06/16/1518193/6df836e1-9750-4ca5-be05-590641b808ac.pdf" TargetMode="External"/><Relationship Id="rId29" Type="http://schemas.openxmlformats.org/officeDocument/2006/relationships/hyperlink" Target="https://grls.rosminzdrav.ru/InstrImg/2026/03/04/1527238/fe2adafe-5094-4da2-bbba-1a640a0ceb4e.pdf" TargetMode="External"/><Relationship Id="rId11" Type="http://schemas.openxmlformats.org/officeDocument/2006/relationships/hyperlink" Target="https://grls.rosminzdrav.ru/InstrImg/2020/05/28/10700/9d141b34-47e7-48c8-9480-616cbbc792fc.pdf" TargetMode="External"/><Relationship Id="rId10" Type="http://schemas.openxmlformats.org/officeDocument/2006/relationships/hyperlink" Target="https://grls.rosminzdrav.ru/InstrImg/2017/4/26/1416322/%D0%A0_N002666_01%5B2013%5D_0.pdf" TargetMode="External"/><Relationship Id="rId13" Type="http://schemas.openxmlformats.org/officeDocument/2006/relationships/hyperlink" Target="https://grls.rosminzdrav.ru/InstrImg/2025/12/04/1523945/374687b9-516b-4eb9-9e34-640e88c2e1e2.pdf" TargetMode="External"/><Relationship Id="rId12" Type="http://schemas.openxmlformats.org/officeDocument/2006/relationships/hyperlink" Target="https://grls.rosminzdrav.ru/InstrImg/2026/05/27/1530421/6bdc8421-6c08-4bf7-be7f-0ae5d96a478d.pdf" TargetMode="External"/><Relationship Id="rId15" Type="http://schemas.openxmlformats.org/officeDocument/2006/relationships/hyperlink" Target="https://lk.regmed.ru/Register/GetPDFfromDA?ID=1601683231" TargetMode="External"/><Relationship Id="rId14" Type="http://schemas.openxmlformats.org/officeDocument/2006/relationships/hyperlink" Target="https://grls.rosminzdrav.ru/InstrImg/2026/06/02/1530636/e301156c-c7d5-45d7-bf58-5346c270c493.pdf" TargetMode="External"/><Relationship Id="rId17" Type="http://schemas.openxmlformats.org/officeDocument/2006/relationships/hyperlink" Target="mailto:savinova@vaccina.info" TargetMode="External"/><Relationship Id="rId16" Type="http://schemas.openxmlformats.org/officeDocument/2006/relationships/hyperlink" Target="https://lk.regmed.ru/Register/GetPDFfromDA?ID=1605321651" TargetMode="External"/><Relationship Id="rId19" Type="http://schemas.openxmlformats.org/officeDocument/2006/relationships/hyperlink" Target="https://grls.rosminzdrav.ru/InstrImg/2018/7/19/1423955/%D0%A0_N002668_01%5B2012%5D_0.pdf" TargetMode="External"/><Relationship Id="rId18" Type="http://schemas.openxmlformats.org/officeDocument/2006/relationships/hyperlink" Target="https://grls.rosminzdrav.ru/InstrImg/2024/12/16/1511954/43eafc3c-33ac-4e33-969c-259e9a175ebb.pdf" TargetMode="External"/><Relationship Id="rId84" Type="http://schemas.openxmlformats.org/officeDocument/2006/relationships/hyperlink" Target="https://grls.rosminzdrav.ru/InstrImg/2022/11/30/1489210/e0b55ee6-f6b6-4a34-8719-972e455bb957.pdf" TargetMode="External"/><Relationship Id="rId83" Type="http://schemas.openxmlformats.org/officeDocument/2006/relationships/hyperlink" Target="mailto:savinova@vaccina.info" TargetMode="External"/><Relationship Id="rId86" Type="http://schemas.openxmlformats.org/officeDocument/2006/relationships/hyperlink" Target="https://grls.rosminzdrav.ru/InstrImg/2021/10/22/1474770/84220d47-9ed2-44e3-a2d3-89170a0f96d8.pdf" TargetMode="External"/><Relationship Id="rId85" Type="http://schemas.openxmlformats.org/officeDocument/2006/relationships/hyperlink" Target="https://lk.regmed.ru/Register/GetPDFfromDA?ID=1626767261" TargetMode="External"/><Relationship Id="rId88" Type="http://schemas.openxmlformats.org/officeDocument/2006/relationships/hyperlink" Target="https://grls.rosminzdrav.ru/InstrImg/2020/06/13/86486/607fd14a-da55-42fe-8db7-52767fd34cc2.pdf" TargetMode="External"/><Relationship Id="rId150" Type="http://schemas.openxmlformats.org/officeDocument/2006/relationships/hyperlink" Target="https://lk.regmed.ru/Register/GetPDFfromDA?ID=1501926911" TargetMode="External"/><Relationship Id="rId87" Type="http://schemas.openxmlformats.org/officeDocument/2006/relationships/hyperlink" Target="https://grls.rosminzdrav.ru/InstrImg/2021/07/22/86490/fa07de3f-3b07-40e8-b027-068e2a19359f.pdf" TargetMode="External"/><Relationship Id="rId89" Type="http://schemas.openxmlformats.org/officeDocument/2006/relationships/hyperlink" Target="https://grls.rosminzdrav.ru/InstrImg/2021/7/6/1470535/%D0%9B%D0%A1%D0%A0-005759_08%5B2020%5D_0.pdf" TargetMode="External"/><Relationship Id="rId80" Type="http://schemas.openxmlformats.org/officeDocument/2006/relationships/hyperlink" Target="https://lk.regmed.ru/Register/GetPDFfromDA?ID=1609919901" TargetMode="External"/><Relationship Id="rId82" Type="http://schemas.openxmlformats.org/officeDocument/2006/relationships/hyperlink" Target="https://grls.rosminzdrav.ru/InstrImg/2025/06/10/1518039/2f088da7-8272-4666-bcb6-a2e0826808b5.pdf" TargetMode="External"/><Relationship Id="rId81" Type="http://schemas.openxmlformats.org/officeDocument/2006/relationships/hyperlink" Target="https://grls.rosminzdrav.ru/InstrImg/2025/03/28/1515433/7cb66dc6-27dc-4004-ae84-1159c993bc84.pdf" TargetMode="External"/><Relationship Id="rId1" Type="http://schemas.openxmlformats.org/officeDocument/2006/relationships/hyperlink" Target="https://lk.regmed.ru/Register/GetPDFfromDA?ID=1597322951" TargetMode="External"/><Relationship Id="rId2" Type="http://schemas.openxmlformats.org/officeDocument/2006/relationships/hyperlink" Target="mailto:savinova@vaccina.info" TargetMode="External"/><Relationship Id="rId3" Type="http://schemas.openxmlformats.org/officeDocument/2006/relationships/hyperlink" Target="https://lk.regmed.ru/Register/GetPDFfromDA?ID=1597318981" TargetMode="External"/><Relationship Id="rId149" Type="http://schemas.openxmlformats.org/officeDocument/2006/relationships/hyperlink" Target="https://lk.regmed.ru/Register/GetPDFfromDA?ID=1448256521" TargetMode="External"/><Relationship Id="rId4" Type="http://schemas.openxmlformats.org/officeDocument/2006/relationships/hyperlink" Target="https://grls.rosminzdrav.ru/InstrImg/2025/05/19/1517351/3bec22d2-65bc-4a94-9482-413901e57760.pdf" TargetMode="External"/><Relationship Id="rId148" Type="http://schemas.openxmlformats.org/officeDocument/2006/relationships/hyperlink" Target="https://lk.regmed.ru/Register/GetPDFfromDA?ID=1485438071" TargetMode="External"/><Relationship Id="rId9" Type="http://schemas.openxmlformats.org/officeDocument/2006/relationships/hyperlink" Target="https://lk.regmed.ru/Register/GetPDFfromDA?ID=1587927891" TargetMode="External"/><Relationship Id="rId143" Type="http://schemas.openxmlformats.org/officeDocument/2006/relationships/hyperlink" Target="https://grls.rosminzdrav.ru/InstrImg/2020/06/16/1416543/cc00d61d-e7e3-4d66-bfd4-02dc184c0de6.pdf" TargetMode="External"/><Relationship Id="rId142" Type="http://schemas.openxmlformats.org/officeDocument/2006/relationships/hyperlink" Target="https://grls.rosminzdrav.ru/InstrImg/2025/10/30/1523008/59dd5156-957b-4de5-86c8-83d284b70f65.pdf" TargetMode="External"/><Relationship Id="rId141" Type="http://schemas.openxmlformats.org/officeDocument/2006/relationships/hyperlink" Target="https://grls.rosminzdrav.ru/InstrImg/2026/01/22/1525402/07c3adec-cd5e-49f6-9bc3-7a3e029cd98c.pdf" TargetMode="External"/><Relationship Id="rId140" Type="http://schemas.openxmlformats.org/officeDocument/2006/relationships/hyperlink" Target="https://lk.regmed.ru/Register/GetPDFfromDA?ID=1589687781" TargetMode="External"/><Relationship Id="rId5" Type="http://schemas.openxmlformats.org/officeDocument/2006/relationships/hyperlink" Target="mailto:savinova@vaccina.info" TargetMode="External"/><Relationship Id="rId147" Type="http://schemas.openxmlformats.org/officeDocument/2006/relationships/hyperlink" Target="https://lk.regmed.ru/Register/GetPDFfromDA?ID=1494836031" TargetMode="External"/><Relationship Id="rId6" Type="http://schemas.openxmlformats.org/officeDocument/2006/relationships/hyperlink" Target="https://grls.rosminzdrav.ru/InstrImg/2025/06/02/1517794/d7367d9e-e745-46a7-b297-5a093bf3738a.pdf" TargetMode="External"/><Relationship Id="rId146" Type="http://schemas.openxmlformats.org/officeDocument/2006/relationships/hyperlink" Target="https://lk.regmed.ru/Register/GetPDFfromDA?ID=1501096611" TargetMode="External"/><Relationship Id="rId7" Type="http://schemas.openxmlformats.org/officeDocument/2006/relationships/hyperlink" Target="https://lk.regmed.ru/Register/GetPDFfromDA?ID=1484709711" TargetMode="External"/><Relationship Id="rId145" Type="http://schemas.openxmlformats.org/officeDocument/2006/relationships/hyperlink" Target="https://lk.regmed.ru/Register/GetPDFfromDA?ID=1544404631" TargetMode="External"/><Relationship Id="rId8" Type="http://schemas.openxmlformats.org/officeDocument/2006/relationships/hyperlink" Target="mailto:savinova@vaccina.info" TargetMode="External"/><Relationship Id="rId144" Type="http://schemas.openxmlformats.org/officeDocument/2006/relationships/hyperlink" Target="https://lk.regmed.ru/Register/GetPDFfromDA?ID=1543829851" TargetMode="External"/><Relationship Id="rId73" Type="http://schemas.openxmlformats.org/officeDocument/2006/relationships/hyperlink" Target="https://grls.rosminzdrav.ru/InstrImg/2024/12/05/1511721/ee78b171-6cf3-474c-9f58-0391a7a5b91f.pdf" TargetMode="External"/><Relationship Id="rId72" Type="http://schemas.openxmlformats.org/officeDocument/2006/relationships/hyperlink" Target="mailto:savinova@vaccina.info" TargetMode="External"/><Relationship Id="rId75" Type="http://schemas.openxmlformats.org/officeDocument/2006/relationships/hyperlink" Target="https://grls.rosminzdrav.ru/InstrImg/2021/1/19/1465274/%D0%9F_N012585_01%5B2014%5D_0.pdf" TargetMode="External"/><Relationship Id="rId74" Type="http://schemas.openxmlformats.org/officeDocument/2006/relationships/hyperlink" Target="https://grls.rosminzdrav.ru/InstrImg/2017/4/26/1416345/%D0%A0_N002667_01%5B2012%5D_0.pdf" TargetMode="External"/><Relationship Id="rId77" Type="http://schemas.openxmlformats.org/officeDocument/2006/relationships/hyperlink" Target="https://grls.rosminzdrav.ru/InstrImg/2025/09/15/1521458/990be5c7-4178-4812-a999-fd00eaeb3d60.pdf" TargetMode="External"/><Relationship Id="rId76" Type="http://schemas.openxmlformats.org/officeDocument/2006/relationships/hyperlink" Target="https://grls.rosminzdrav.ru/InstrImg/2021/1/19/1465274/%D0%9F_N012585_01%5B2014%5D_0.pdf" TargetMode="External"/><Relationship Id="rId79" Type="http://schemas.openxmlformats.org/officeDocument/2006/relationships/hyperlink" Target="https://lk.regmed.ru/Register/GetPDFfromDA?ID=1607784571" TargetMode="External"/><Relationship Id="rId78" Type="http://schemas.openxmlformats.org/officeDocument/2006/relationships/hyperlink" Target="https://grls.rosminzdrav.ru/InstrImg/2025/09/15/1521458/990be5c7-4178-4812-a999-fd00eaeb3d60.pdf" TargetMode="External"/><Relationship Id="rId71" Type="http://schemas.openxmlformats.org/officeDocument/2006/relationships/hyperlink" Target="https://grls.rosminzdrav.ru/InstrImg/2016/4/4/37565/%D0%9F_N015218_01%5B2009%5D_0.pdf" TargetMode="External"/><Relationship Id="rId70" Type="http://schemas.openxmlformats.org/officeDocument/2006/relationships/hyperlink" Target="https://lk.regmed.ru/Register/GetPDFfromDA?ID=1621077341" TargetMode="External"/><Relationship Id="rId139" Type="http://schemas.openxmlformats.org/officeDocument/2006/relationships/hyperlink" Target="mailto:savinova@vaccina.info" TargetMode="External"/><Relationship Id="rId138" Type="http://schemas.openxmlformats.org/officeDocument/2006/relationships/hyperlink" Target="https://grls.rosminzdrav.ru/InstrImg/2023/03/14/1491812/20189f0f-07b3-427e-9a8a-d8006843c2d6.pdf" TargetMode="External"/><Relationship Id="rId137" Type="http://schemas.openxmlformats.org/officeDocument/2006/relationships/hyperlink" Target="https://lk.regmed.ru/Register/GetPDFfromDA?ID=1558408561" TargetMode="External"/><Relationship Id="rId132" Type="http://schemas.openxmlformats.org/officeDocument/2006/relationships/hyperlink" Target="https://grls.rosminzdrav.ru/InstrImg/2020/12/15/1464278/%D0%9F_N015829_01%5B2016%5D_5.pdf" TargetMode="External"/><Relationship Id="rId131" Type="http://schemas.openxmlformats.org/officeDocument/2006/relationships/hyperlink" Target="https://grls.rosminzdrav.ru/InstrImg/2020/4/29/1456610/%D0%9F_N013850_01%5B2014%5D_0.pdf" TargetMode="External"/><Relationship Id="rId130" Type="http://schemas.openxmlformats.org/officeDocument/2006/relationships/hyperlink" Target="https://grls.rosminzdrav.ru/InstrImg/2023/07/19/1495141/8a2ba9a0-eb39-4368-9a0d-f81451183bb0.pdf" TargetMode="External"/><Relationship Id="rId136" Type="http://schemas.openxmlformats.org/officeDocument/2006/relationships/hyperlink" Target="mailto:savinova@vaccina.info" TargetMode="External"/><Relationship Id="rId135" Type="http://schemas.openxmlformats.org/officeDocument/2006/relationships/hyperlink" Target="https://grls.rosminzdrav.ru/InstrImg/2023/02/09/1490961/74e94624-eabc-450e-bf32-2c1ddaca2be5.pdf" TargetMode="External"/><Relationship Id="rId134" Type="http://schemas.openxmlformats.org/officeDocument/2006/relationships/hyperlink" Target="https://grls.rosminzdrav.ru/InstrImg/2020/12/18/1464410/%D0%9F_N014361_01%5B2020%5D_0.pdf" TargetMode="External"/><Relationship Id="rId133" Type="http://schemas.openxmlformats.org/officeDocument/2006/relationships/hyperlink" Target="https://grls.rosminzdrav.ru/InstrImg/2016/6/9/1308974/%D0%9B%D0%A1%D0%A0-003210_07%5B2018%5D_0.pdf" TargetMode="External"/><Relationship Id="rId62" Type="http://schemas.openxmlformats.org/officeDocument/2006/relationships/hyperlink" Target="https://lk.regmed.ru/Register/GetPDFfromDA?ID=1509638211" TargetMode="External"/><Relationship Id="rId61" Type="http://schemas.openxmlformats.org/officeDocument/2006/relationships/hyperlink" Target="mailto:savinova@vaccina.info" TargetMode="External"/><Relationship Id="rId64" Type="http://schemas.openxmlformats.org/officeDocument/2006/relationships/hyperlink" Target="https://grls.rosminzdrav.ru/InstrImg/2025/07/25/1519625/ca601e77-829c-48a9-b9b5-204e5b86aa88.pdf" TargetMode="External"/><Relationship Id="rId63" Type="http://schemas.openxmlformats.org/officeDocument/2006/relationships/hyperlink" Target="https://grls.rosminzdrav.ru/InstrImg/2022/07/11/1482961/91a975c9-b5b0-4f4e-8827-f5683ed7c461.pdf" TargetMode="External"/><Relationship Id="rId66" Type="http://schemas.openxmlformats.org/officeDocument/2006/relationships/hyperlink" Target="https://lk.regmed.ru/Register/GetPDFfromDA?ID=1649843881" TargetMode="External"/><Relationship Id="rId172" Type="http://schemas.openxmlformats.org/officeDocument/2006/relationships/hyperlink" Target="https://grls.rosminzdrav.ru/InstrImg/2025/06/02/1517810/7b7b0a6f-2d36-481e-a964-4e8d04031cd7.pdf" TargetMode="External"/><Relationship Id="rId65" Type="http://schemas.openxmlformats.org/officeDocument/2006/relationships/hyperlink" Target="https://grls.rosminzdrav.ru/InstrImg/2024/12/19/1512043/59e764b9-60fd-455d-b6fc-d0056460286e.pdf" TargetMode="External"/><Relationship Id="rId171" Type="http://schemas.openxmlformats.org/officeDocument/2006/relationships/hyperlink" Target="https://grls.rosminzdrav.ru/InstrImg/2020/06/18/1452053/3993efd1-cdd7-4127-88ae-330ac7a6d1c1.pdf" TargetMode="External"/><Relationship Id="rId68" Type="http://schemas.openxmlformats.org/officeDocument/2006/relationships/hyperlink" Target="https://grls.rosminzdrav.ru/InstrImg/2017/6/22/1417297/%D0%9B%D0%A1-001296%5B2012%5D_0.pdf" TargetMode="External"/><Relationship Id="rId170" Type="http://schemas.openxmlformats.org/officeDocument/2006/relationships/hyperlink" Target="https://lk.regmed.ru/Register/GetPDFfromDA?ID=1634791611" TargetMode="External"/><Relationship Id="rId67" Type="http://schemas.openxmlformats.org/officeDocument/2006/relationships/hyperlink" Target="https://grls.rosminzdrav.ru/InstrImg/2022/11/25/1488723/80c7b6fb-3d8f-4ee9-9610-da77ce371e71.pdf" TargetMode="External"/><Relationship Id="rId60" Type="http://schemas.openxmlformats.org/officeDocument/2006/relationships/hyperlink" Target="https://grls.rosminzdrav.ru/InstrImg/2021/1/12/1464953/%D0%9B%D0%9F-001412%5B2019%5D_0.pdf" TargetMode="External"/><Relationship Id="rId165" Type="http://schemas.openxmlformats.org/officeDocument/2006/relationships/hyperlink" Target="https://grls.rosminzdrav.ru/InstrImg/2020/11/25/146561/742bfd83-5da9-4e9c-bbb5-b9de800c21fa.pdf" TargetMode="External"/><Relationship Id="rId69" Type="http://schemas.openxmlformats.org/officeDocument/2006/relationships/hyperlink" Target="https://grls.rosminzdrav.ru/InstrImg/2022/11/25/1488637/c97cdf1c-9f19-49af-853a-b664873cc8fb.pdf" TargetMode="External"/><Relationship Id="rId164" Type="http://schemas.openxmlformats.org/officeDocument/2006/relationships/hyperlink" Target="https://grls.rosminzdrav.ru/InstrImg/2020/11/20/1414272/ad633910-6fd8-473c-8c81-dc945f343f42.pdf" TargetMode="External"/><Relationship Id="rId163" Type="http://schemas.openxmlformats.org/officeDocument/2006/relationships/hyperlink" Target="https://grls.rosminzdrav.ru/InstrImg/2020/05/28/37407/eca15fe8-8706-4bd3-9148-1f54c5ab52ed.pdf" TargetMode="External"/><Relationship Id="rId162" Type="http://schemas.openxmlformats.org/officeDocument/2006/relationships/hyperlink" Target="https://grls.rosminzdrav.ru/InstrImg/2020/06/01/1422432/8314c8e6-25f4-4bd2-97f0-1a3b881e7dcb.pdf" TargetMode="External"/><Relationship Id="rId169" Type="http://schemas.openxmlformats.org/officeDocument/2006/relationships/hyperlink" Target="https://grls.rosminzdrav.ru/InstrImg/2020/11/25/140879/f4484511-f351-42f9-8a7a-85a995f31517.pdf" TargetMode="External"/><Relationship Id="rId168" Type="http://schemas.openxmlformats.org/officeDocument/2006/relationships/hyperlink" Target="https://grls.rosminzdrav.ru/InstrImg/2025/03/27/1515398/ec0df501-9186-4e20-ae68-c07f28302f7b.pdf" TargetMode="External"/><Relationship Id="rId167" Type="http://schemas.openxmlformats.org/officeDocument/2006/relationships/hyperlink" Target="https://grls.rosminzdrav.ru/InstrImg/2025/02/28/1514525/002c6594-b19d-4b5a-a79c-60853ca8612c.pdf" TargetMode="External"/><Relationship Id="rId166" Type="http://schemas.openxmlformats.org/officeDocument/2006/relationships/hyperlink" Target="https://grls.rosminzdrav.ru/InstrImg/2020/11/23/146563/3780d7de-b3a2-42ee-b652-ae7a04722a90.pdf" TargetMode="External"/><Relationship Id="rId51" Type="http://schemas.openxmlformats.org/officeDocument/2006/relationships/hyperlink" Target="https://grls.rosminzdrav.ru/InstrImg/2020/10/15/1462300/%D0%A0_N001586_01%5B2007%5D_0.pdf" TargetMode="External"/><Relationship Id="rId50" Type="http://schemas.openxmlformats.org/officeDocument/2006/relationships/hyperlink" Target="mailto:savinova@vaccina.info" TargetMode="External"/><Relationship Id="rId53" Type="http://schemas.openxmlformats.org/officeDocument/2006/relationships/hyperlink" Target="https://grls.rosminzdrav.ru/InstrImg/2025/06/19/1518378/557245be-23d7-4913-9af3-4fa130d3c97f.pdf" TargetMode="External"/><Relationship Id="rId52" Type="http://schemas.openxmlformats.org/officeDocument/2006/relationships/hyperlink" Target="https://lk.regmed.ru/Register/GetPDFfromDA?ID=1597558391" TargetMode="External"/><Relationship Id="rId55" Type="http://schemas.openxmlformats.org/officeDocument/2006/relationships/hyperlink" Target="https://lk.regmed.ru/Register/GetPDFfromDA?ID=1583272671" TargetMode="External"/><Relationship Id="rId161" Type="http://schemas.openxmlformats.org/officeDocument/2006/relationships/hyperlink" Target="https://grls.rosminzdrav.ru/InstrImg/2019/06/30/739/1fca1237-4a6a-4bdd-b176-7ef01c56c1bf.pdf" TargetMode="External"/><Relationship Id="rId54" Type="http://schemas.openxmlformats.org/officeDocument/2006/relationships/hyperlink" Target="https://grls.rosminzdrav.ru/InstrImg/2022/09/20/1485497/31812477-c020-47c0-9f2e-80268b27b29f.pdf" TargetMode="External"/><Relationship Id="rId160" Type="http://schemas.openxmlformats.org/officeDocument/2006/relationships/hyperlink" Target="https://grls.rosminzdrav.ru/InstrImg/2020/06/11/1206428/53252686-7415-4f30-bdba-632b434439f9.pdf" TargetMode="External"/><Relationship Id="rId57" Type="http://schemas.openxmlformats.org/officeDocument/2006/relationships/hyperlink" Target="https://lk.regmed.ru/Register/GetPDFfromDA?ID=1574028031" TargetMode="External"/><Relationship Id="rId56" Type="http://schemas.openxmlformats.org/officeDocument/2006/relationships/hyperlink" Target="https://lk.regmed.ru/Register/GetPDFfromDA?ID=1581523381" TargetMode="External"/><Relationship Id="rId159" Type="http://schemas.openxmlformats.org/officeDocument/2006/relationships/hyperlink" Target="https://grls.rosminzdrav.ru/InstrImg/2024/01/23/1501030/43ed9d31-44e7-403a-a977-d714a002b9c6.pdf" TargetMode="External"/><Relationship Id="rId59" Type="http://schemas.openxmlformats.org/officeDocument/2006/relationships/hyperlink" Target="https://lk.regmed.ru/Register/GetPDFfromDA?ID=1544529771" TargetMode="External"/><Relationship Id="rId154" Type="http://schemas.openxmlformats.org/officeDocument/2006/relationships/hyperlink" Target="https://grls.rosminzdrav.ru/InstrImg/2026/04/08/1528373/3fb2f386-4fb1-4866-bc9c-0268096bb4fc.pdf" TargetMode="External"/><Relationship Id="rId58" Type="http://schemas.openxmlformats.org/officeDocument/2006/relationships/hyperlink" Target="https://lk.regmed.ru/Register/GetPDFfromDA?ID=1594767771" TargetMode="External"/><Relationship Id="rId153" Type="http://schemas.openxmlformats.org/officeDocument/2006/relationships/hyperlink" Target="https://grls.rosminzdrav.ru/InstrImg/2023/11/15/1499083/aedb6c35-3db8-494a-a41e-8ffc737dc35b.pdf" TargetMode="External"/><Relationship Id="rId152" Type="http://schemas.openxmlformats.org/officeDocument/2006/relationships/hyperlink" Target="https://grls.rosminzdrav.ru/InstrImg/2024/02/12/1501815/32f958db-a12b-4c41-9b5b-e1707a1b19ee.pdf" TargetMode="External"/><Relationship Id="rId151" Type="http://schemas.openxmlformats.org/officeDocument/2006/relationships/hyperlink" Target="https://grls.rosminzdrav.ru/InstrImg/2026/05/19/1529992/3e4bff0f-b904-49bd-8f8c-cf901c4749df.pdf" TargetMode="External"/><Relationship Id="rId158" Type="http://schemas.openxmlformats.org/officeDocument/2006/relationships/hyperlink" Target="https://grls.rosminzdrav.ru/InstrImg/2025/12/30/1524963/862ae1b6-e8bc-417c-8173-0fa0ff6a6e52.pdf" TargetMode="External"/><Relationship Id="rId157" Type="http://schemas.openxmlformats.org/officeDocument/2006/relationships/hyperlink" Target="https://grls.rosminzdrav.ru/InstrImg/2020/06/03/37799/c7a7977e-fea0-4451-80db-bfd751ccf3f6.pdf" TargetMode="External"/><Relationship Id="rId156" Type="http://schemas.openxmlformats.org/officeDocument/2006/relationships/hyperlink" Target="https://grls.rosminzdrav.ru/InstrImg/2019/10/17/1448631/%D0%9B%D0%9F-001290%5B2017%5D_0.pdf" TargetMode="External"/><Relationship Id="rId155" Type="http://schemas.openxmlformats.org/officeDocument/2006/relationships/hyperlink" Target="https://grls.rosminzdrav.ru/InstrImg/2018/11/10/1426168/%D0%A0_N000460_01%5B2018%5D_0.pdf" TargetMode="External"/><Relationship Id="rId107" Type="http://schemas.openxmlformats.org/officeDocument/2006/relationships/hyperlink" Target="https://grls.rosminzdrav.ru/InstrImg/2023/03/01/1491468/c8da2905-b80e-470c-adc7-c40c03707ddd.pdf" TargetMode="External"/><Relationship Id="rId106" Type="http://schemas.openxmlformats.org/officeDocument/2006/relationships/hyperlink" Target="https://grls.rosminzdrav.ru/InstrImg/2026/01/22/1525392/c4730a97-f7f4-406f-954c-6a6bed44be35.pdf" TargetMode="External"/><Relationship Id="rId105" Type="http://schemas.openxmlformats.org/officeDocument/2006/relationships/hyperlink" Target="mailto:savinova@vaccina.info" TargetMode="External"/><Relationship Id="rId104" Type="http://schemas.openxmlformats.org/officeDocument/2006/relationships/hyperlink" Target="https://grls.rosminzdrav.ru/InstrImg/2022/07/01/1482554/5f33ae33-eaa6-4ca5-aed1-e39900dc85a6.pdf" TargetMode="External"/><Relationship Id="rId109" Type="http://schemas.openxmlformats.org/officeDocument/2006/relationships/hyperlink" Target="https://grls.rosminzdrav.ru/InstrImg/2020/11/27/1463649/%D0%9B%D0%9F-000499%5B2016%5D_0.pdf" TargetMode="External"/><Relationship Id="rId108" Type="http://schemas.openxmlformats.org/officeDocument/2006/relationships/hyperlink" Target="https://lk.regmed.ru/Register/GetPDFfromDA?ID=1641359721" TargetMode="External"/><Relationship Id="rId103" Type="http://schemas.openxmlformats.org/officeDocument/2006/relationships/hyperlink" Target="https://grls.rosminzdrav.ru/InstrImg/2025/06/20/1518412/cd0f3dff-5242-4a3d-b71e-22447afe0e73.pdf" TargetMode="External"/><Relationship Id="rId102" Type="http://schemas.openxmlformats.org/officeDocument/2006/relationships/hyperlink" Target="https://grls.rosminzdrav.ru/InstrImg/2022/10/26/1480925/bbce1055-ce8d-4cf1-8ce2-d5a008359d42.pdf" TargetMode="External"/><Relationship Id="rId101" Type="http://schemas.openxmlformats.org/officeDocument/2006/relationships/hyperlink" Target="https://grls.rosminzdrav.ru/InstrImg/2026/02/03/1525996/748a2896-887a-40f1-82c0-510ac345461d.pdf" TargetMode="External"/><Relationship Id="rId100" Type="http://schemas.openxmlformats.org/officeDocument/2006/relationships/hyperlink" Target="https://grls.rosminzdrav.ru/InstrImg/2021/6/4/1469733/%D0%A0_N000661_01%5B2017%5D_0.pdf" TargetMode="External"/><Relationship Id="rId129" Type="http://schemas.openxmlformats.org/officeDocument/2006/relationships/hyperlink" Target="https://grls.rosminzdrav.ru/InstrImg/2019/8/14/1445562/%D0%9F_N013657_01%5B2009%5D_0.pdf" TargetMode="External"/><Relationship Id="rId128" Type="http://schemas.openxmlformats.org/officeDocument/2006/relationships/hyperlink" Target="https://grls.rosminzdrav.ru/InstrImg/2019/8/15/1445618/%D0%9F_N015312_01%5B2010%5D_0.pdf" TargetMode="External"/><Relationship Id="rId127" Type="http://schemas.openxmlformats.org/officeDocument/2006/relationships/hyperlink" Target="mailto:savinova@vaccina.info" TargetMode="External"/><Relationship Id="rId126" Type="http://schemas.openxmlformats.org/officeDocument/2006/relationships/hyperlink" Target="https://grls.rosminzdrav.ru/InstrImg/2023/07/13/1494926/d8440e50-44f6-4e4b-a50d-64608384e586.pdf" TargetMode="External"/><Relationship Id="rId121" Type="http://schemas.openxmlformats.org/officeDocument/2006/relationships/hyperlink" Target="https://lk.regmed.ru/Register/GetPDFfromDA?ID=1497046991" TargetMode="External"/><Relationship Id="rId120" Type="http://schemas.openxmlformats.org/officeDocument/2006/relationships/hyperlink" Target="https://grls.rosminzdrav.ru/InstrImg/2019/06/29/1424317/a2b80c77-0857-4a1d-a948-36a987511e54.pdf" TargetMode="External"/><Relationship Id="rId125" Type="http://schemas.openxmlformats.org/officeDocument/2006/relationships/hyperlink" Target="https://lk.regmed.ru/Register/GetPDFfromDA?ID=1574006211" TargetMode="External"/><Relationship Id="rId124" Type="http://schemas.openxmlformats.org/officeDocument/2006/relationships/hyperlink" Target="https://grls.rosminzdrav.ru/InstrImg/2026/01/16/1525169/a5f21ff0-2d7c-4ab8-8025-1ccbc0cf7cc6.pdf" TargetMode="External"/><Relationship Id="rId123" Type="http://schemas.openxmlformats.org/officeDocument/2006/relationships/hyperlink" Target="https://grls.rosminzdrav.ru/InstrImg/2021/04/08/1467900/ea2f5550-f9f6-4b5f-918d-7101ffaea430.pdf" TargetMode="External"/><Relationship Id="rId122" Type="http://schemas.openxmlformats.org/officeDocument/2006/relationships/hyperlink" Target="https://grls.rosminzdrav.ru/InstrImg/2025/06/02/1517806/3c9102ff-eafa-47bc-b83f-eb05cfac1092.pdf" TargetMode="External"/><Relationship Id="rId95" Type="http://schemas.openxmlformats.org/officeDocument/2006/relationships/hyperlink" Target="https://grls.rosminzdrav.ru/InstrImg/2021/09/20/1473405/41395d1f-d6e8-41d5-88fe-a1a29b28be83.pdf" TargetMode="External"/><Relationship Id="rId94" Type="http://schemas.openxmlformats.org/officeDocument/2006/relationships/hyperlink" Target="mailto:savinova@vaccina.info" TargetMode="External"/><Relationship Id="rId97" Type="http://schemas.openxmlformats.org/officeDocument/2006/relationships/hyperlink" Target="https://grls.rosminzdrav.ru/InstrImg/2025/02/06/1513573/c7fd0ba6-d018-4726-b9e2-1ae791edec76.pdf" TargetMode="External"/><Relationship Id="rId96" Type="http://schemas.openxmlformats.org/officeDocument/2006/relationships/hyperlink" Target="https://grls.rosminzdrav.ru/InstrImg/2020/11/27/1463688/%D0%A0_N002481_01%5B2020%5D_0.pdf" TargetMode="External"/><Relationship Id="rId99" Type="http://schemas.openxmlformats.org/officeDocument/2006/relationships/hyperlink" Target="https://grls.rosminzdrav.ru/InstrImg/2026/02/06/1526184/204c2bdf-4b3b-45c5-b641-f7ce1ae753b3.pdf" TargetMode="External"/><Relationship Id="rId98" Type="http://schemas.openxmlformats.org/officeDocument/2006/relationships/hyperlink" Target="https://grls.rosminzdrav.ru/InstrImg/2022/12/12/1489555/281290ac-8b7f-4930-a191-7eff9a7cb147.pdf" TargetMode="External"/><Relationship Id="rId91" Type="http://schemas.openxmlformats.org/officeDocument/2006/relationships/hyperlink" Target="https://grls.rosminzdrav.ru/InstrImg/2025/04/08/1515924/2cb5904f-0eb6-4463-9e6d-a2aa95a7192c.pdf" TargetMode="External"/><Relationship Id="rId90" Type="http://schemas.openxmlformats.org/officeDocument/2006/relationships/hyperlink" Target="https://grls.rosminzdrav.ru/InstrImg/2020/06/08/86489/f8c71c84-d7eb-4cba-990a-8c9e218ca432.pdf" TargetMode="External"/><Relationship Id="rId93" Type="http://schemas.openxmlformats.org/officeDocument/2006/relationships/hyperlink" Target="https://grls.rosminzdrav.ru/InstrImg/2020/08/24/86488/1ed689ab-55e8-4379-9b04-687068382c27.pdf" TargetMode="External"/><Relationship Id="rId92" Type="http://schemas.openxmlformats.org/officeDocument/2006/relationships/hyperlink" Target="https://grls.rosminzdrav.ru/InstrImg/2019/10/25/1448929/%D0%A0_N001273_01%5B2019%5D_0.pdf" TargetMode="External"/><Relationship Id="rId118" Type="http://schemas.openxmlformats.org/officeDocument/2006/relationships/hyperlink" Target="https://lk.regmed.ru/Register/GetPDFfromDA?ID=1545562701" TargetMode="External"/><Relationship Id="rId117" Type="http://schemas.openxmlformats.org/officeDocument/2006/relationships/hyperlink" Target="https://grls.rosminzdrav.ru/InstrImg/2025/04/07/1515838/1b86346c-ace0-4de8-a757-2d3e7e4604e4.pdf" TargetMode="External"/><Relationship Id="rId116" Type="http://schemas.openxmlformats.org/officeDocument/2006/relationships/hyperlink" Target="mailto:savinova@vaccina.info" TargetMode="External"/><Relationship Id="rId115" Type="http://schemas.openxmlformats.org/officeDocument/2006/relationships/hyperlink" Target="https://lk.regmed.ru/Register/GetPDFfromDA?ID=1512826451" TargetMode="External"/><Relationship Id="rId119" Type="http://schemas.openxmlformats.org/officeDocument/2006/relationships/hyperlink" Target="https://grls.rosminzdrav.ru/InstrImg/2020/12/02/1423524/629a6384-1db2-499f-afb1-e87dac723b9a.pdf" TargetMode="External"/><Relationship Id="rId110" Type="http://schemas.openxmlformats.org/officeDocument/2006/relationships/hyperlink" Target="https://grls.rosminzdrav.ru/InstrImg/2026/03/04/1527238/fe2adafe-5094-4da2-bbba-1a640a0ceb4e.pdf" TargetMode="External"/><Relationship Id="rId114" Type="http://schemas.openxmlformats.org/officeDocument/2006/relationships/hyperlink" Target="https://grls.rosminzdrav.ru/InstrImg/2022/09/09/1485745/6205a5ae-4bbb-42bf-84d2-93c4042be1cb.pdf" TargetMode="External"/><Relationship Id="rId113" Type="http://schemas.openxmlformats.org/officeDocument/2006/relationships/hyperlink" Target="https://grls.rosminzdrav.ru/InstrImg/2023/04/13/1492490/b02b0c0a-7a26-4b3a-8e0b-7f5d8e8e4ef1.pdf" TargetMode="External"/><Relationship Id="rId112" Type="http://schemas.openxmlformats.org/officeDocument/2006/relationships/hyperlink" Target="https://lk.regmed.ru/Register/GetPDFfromDA?ID=1596978511" TargetMode="External"/><Relationship Id="rId111" Type="http://schemas.openxmlformats.org/officeDocument/2006/relationships/hyperlink" Target="https://grls.rosminzdrav.ru/InstrImg/2025/06/16/1518193/6df836e1-9750-4ca5-be05-590641b808ac.pdf"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lk.regmed.ru/Register/GetPDFfromDA?ID=1512826451" TargetMode="External"/><Relationship Id="rId190" Type="http://schemas.openxmlformats.org/officeDocument/2006/relationships/drawing" Target="../drawings/drawing4.xml"/><Relationship Id="rId42" Type="http://schemas.openxmlformats.org/officeDocument/2006/relationships/hyperlink" Target="https://lk.regmed.ru/Register/GetPDFfromDA?ID=1633580161" TargetMode="External"/><Relationship Id="rId41" Type="http://schemas.openxmlformats.org/officeDocument/2006/relationships/hyperlink" Target="mailto:savinova@vaccina.info" TargetMode="External"/><Relationship Id="rId44" Type="http://schemas.openxmlformats.org/officeDocument/2006/relationships/hyperlink" Target="https://grls.rosminzdrav.ru/InstrImg/2026/02/10/1526281/07a2f661-6334-4894-8117-0ad7563ba4ef.pdf" TargetMode="External"/><Relationship Id="rId43" Type="http://schemas.openxmlformats.org/officeDocument/2006/relationships/hyperlink" Target="https://lk.regmed.ru/Register/GetPDFfromDA?ID=1523760571" TargetMode="External"/><Relationship Id="rId46" Type="http://schemas.openxmlformats.org/officeDocument/2006/relationships/hyperlink" Target="https://grls.rosminzdrav.ru/InstrImg/2026/03/05/1527284/4a34f8fb-090f-4a41-bab9-0d4194977316.pdf" TargetMode="External"/><Relationship Id="rId45" Type="http://schemas.openxmlformats.org/officeDocument/2006/relationships/hyperlink" Target="https://grls.rosminzdrav.ru/InstrImg/2021/12/14/1476333/f3799188-0d95-48db-a0ce-bb1396d44765.pdf" TargetMode="External"/><Relationship Id="rId48" Type="http://schemas.openxmlformats.org/officeDocument/2006/relationships/hyperlink" Target="https://grls.rosminzdrav.ru/InstrImg/2025/05/26/1517557/95b8d8b7-23f5-4e99-a4f7-efc667459b50.pdf" TargetMode="External"/><Relationship Id="rId187" Type="http://schemas.openxmlformats.org/officeDocument/2006/relationships/hyperlink" Target="https://grls.rosminzdrav.ru/InstrImg/2025/07/15/1519302/c7dac0d8-df0c-484e-99a0-d7b6422ab318.pdf" TargetMode="External"/><Relationship Id="rId47" Type="http://schemas.openxmlformats.org/officeDocument/2006/relationships/hyperlink" Target="https://lk.regmed.ru/Register/GetPDFfromDA?ID=1612604181" TargetMode="External"/><Relationship Id="rId186" Type="http://schemas.openxmlformats.org/officeDocument/2006/relationships/hyperlink" Target="https://grls.rosminzdrav.ru/InstrImg/2021/09/20/1473405/41395d1f-d6e8-41d5-88fe-a1a29b28be83.pdf" TargetMode="External"/><Relationship Id="rId185" Type="http://schemas.openxmlformats.org/officeDocument/2006/relationships/hyperlink" Target="https://grls.rosminzdrav.ru/InstrImg/2025/04/04/1515791/731944c3-c908-4ee4-8479-026ab476fc4b.pdf" TargetMode="External"/><Relationship Id="rId49" Type="http://schemas.openxmlformats.org/officeDocument/2006/relationships/hyperlink" Target="https://lk.regmed.ru/Register/GetPDFfromDA?ID=1581220991" TargetMode="External"/><Relationship Id="rId184" Type="http://schemas.openxmlformats.org/officeDocument/2006/relationships/hyperlink" Target="https://grls.rosminzdrav.ru/InstrImg/2025/03/14/1514899/44c72a47-2cd3-4a92-b136-0902c17fafb6.pdf" TargetMode="External"/><Relationship Id="rId189" Type="http://schemas.openxmlformats.org/officeDocument/2006/relationships/hyperlink" Target="https://grls.rosminzdrav.ru/InstrImg/2026/04/13/1528638/81dbfeae-d02c-4909-ae9d-1b3092cc89e9.pdf" TargetMode="External"/><Relationship Id="rId188" Type="http://schemas.openxmlformats.org/officeDocument/2006/relationships/hyperlink" Target="https://grls.rosminzdrav.ru/InstrImg/2026/04/13/1528563/1136dc5f-fe53-46a4-ba36-20995e399a16.pdf" TargetMode="External"/><Relationship Id="rId31" Type="http://schemas.openxmlformats.org/officeDocument/2006/relationships/hyperlink" Target="mailto:savinova@vaccina.info" TargetMode="External"/><Relationship Id="rId30" Type="http://schemas.openxmlformats.org/officeDocument/2006/relationships/hyperlink" Target="https://grls.rosminzdrav.ru/InstrImg/2019/8/6/1445331/%D0%9F_N011073%5B2016%5D_1.pdf" TargetMode="External"/><Relationship Id="rId33" Type="http://schemas.openxmlformats.org/officeDocument/2006/relationships/hyperlink" Target="https://lk.regmed.ru/Register/GetPDFfromDA?ID=1611660161" TargetMode="External"/><Relationship Id="rId183" Type="http://schemas.openxmlformats.org/officeDocument/2006/relationships/hyperlink" Target="https://grls.rosminzdrav.ru/InstrImg/2025/03/25/1515160/e4c206af-2701-4f99-a45f-09d998ef0935.pdf" TargetMode="External"/><Relationship Id="rId32" Type="http://schemas.openxmlformats.org/officeDocument/2006/relationships/hyperlink" Target="https://grls.rosminzdrav.ru/InstrImg/2019/8/6/1445331/%D0%9F_N011073%5B2016%5D_1.pdf" TargetMode="External"/><Relationship Id="rId182" Type="http://schemas.openxmlformats.org/officeDocument/2006/relationships/hyperlink" Target="https://grls.rosminzdrav.ru/InstrImg/2024/12/09/1511749/a4738d52-4ff6-4599-a566-530f55491e76.pdf" TargetMode="External"/><Relationship Id="rId35" Type="http://schemas.openxmlformats.org/officeDocument/2006/relationships/hyperlink" Target="https://grls.rosminzdrav.ru/InstrImg/2025/07/21/1519595/f7c8e9e3-baf4-4c2e-949f-a41b75a8ad7c.pdf" TargetMode="External"/><Relationship Id="rId181" Type="http://schemas.openxmlformats.org/officeDocument/2006/relationships/hyperlink" Target="https://lk.regmed.ru/Register/GetPDFfromDA?ID=1607301531" TargetMode="External"/><Relationship Id="rId34" Type="http://schemas.openxmlformats.org/officeDocument/2006/relationships/hyperlink" Target="https://lk.regmed.ru/Register/GetPDFfromDA?ID=1575625191" TargetMode="External"/><Relationship Id="rId180" Type="http://schemas.openxmlformats.org/officeDocument/2006/relationships/hyperlink" Target="https://grls.rosminzdrav.ru/InstrImg/2025/12/30/1524963/862ae1b6-e8bc-417c-8173-0fa0ff6a6e52.pdf" TargetMode="External"/><Relationship Id="rId37" Type="http://schemas.openxmlformats.org/officeDocument/2006/relationships/hyperlink" Target="https://grls.rosminzdrav.ru/InstrImg/2023/01/09/1490224/e76560fa-e72e-49eb-8daf-91f3d1403e22.pdf" TargetMode="External"/><Relationship Id="rId176" Type="http://schemas.openxmlformats.org/officeDocument/2006/relationships/hyperlink" Target="https://lk.regmed.ru/Register/GetPDFfromDA?ID=1621040001" TargetMode="External"/><Relationship Id="rId36" Type="http://schemas.openxmlformats.org/officeDocument/2006/relationships/hyperlink" Target="https://grls.rosminzdrav.ru/InstrImg/2022/03/24/1479420/3838bcfc-cc6a-448b-abf8-404668c05a34.pdf" TargetMode="External"/><Relationship Id="rId175" Type="http://schemas.openxmlformats.org/officeDocument/2006/relationships/hyperlink" Target="https://grls.rosminzdrav.ru/InstrImg/2019/6/10/1440397/%D0%9F_N014879_01-2003%5B2003%5D_0.pdf" TargetMode="External"/><Relationship Id="rId39" Type="http://schemas.openxmlformats.org/officeDocument/2006/relationships/hyperlink" Target="https://grls.rosminzdrav.ru/InstrImg/2020/11/23/1413288/cb3a391e-05f5-41e6-9963-8f102193f7e0.pdf" TargetMode="External"/><Relationship Id="rId174" Type="http://schemas.openxmlformats.org/officeDocument/2006/relationships/hyperlink" Target="https://grls.rosminzdrav.ru/InstrImg/2025/03/25/1515266/f7896710-fb4c-49f0-9e20-d6272771ab13.pdf" TargetMode="External"/><Relationship Id="rId38" Type="http://schemas.openxmlformats.org/officeDocument/2006/relationships/hyperlink" Target="https://grls.rosminzdrav.ru/InstrImg/2020/11/12/37422/bb3f3b49-b450-42cf-a999-bcc087b2eb05.pdf" TargetMode="External"/><Relationship Id="rId173" Type="http://schemas.openxmlformats.org/officeDocument/2006/relationships/hyperlink" Target="https://grls.rosminzdrav.ru/InstrImg/2025/06/02/1517810/7b7b0a6f-2d36-481e-a964-4e8d04031cd7.pdf" TargetMode="External"/><Relationship Id="rId179" Type="http://schemas.openxmlformats.org/officeDocument/2006/relationships/hyperlink" Target="https://grls.rosminzdrav.ru/InstrImg/2025/07/09/1519029/0d8fd7ae-7b89-4160-9ecd-4b0646f6482f.pdf" TargetMode="External"/><Relationship Id="rId178" Type="http://schemas.openxmlformats.org/officeDocument/2006/relationships/hyperlink" Target="https://grls.rosminzdrav.ru/InstrImg/2025/06/16/1518163/105870c5-93ab-426a-9043-b14a77b3a9e1.pdf" TargetMode="External"/><Relationship Id="rId177" Type="http://schemas.openxmlformats.org/officeDocument/2006/relationships/hyperlink" Target="https://grls.rosminzdrav.ru/InstrImg/2025/06/20/1518413/41c4a162-9126-495b-93df-fc2894a8a11f.pdf" TargetMode="External"/><Relationship Id="rId20" Type="http://schemas.openxmlformats.org/officeDocument/2006/relationships/hyperlink" Target="https://lk.regmed.ru/Register/GetPDFfromDA?ID=1592320751" TargetMode="External"/><Relationship Id="rId22" Type="http://schemas.openxmlformats.org/officeDocument/2006/relationships/hyperlink" Target="https://grls.rosminzdrav.ru/InstrImg/2026/05/07/1529632/54e13522-5efa-4c8c-a9b0-7ea539b4f9d1.pdf" TargetMode="External"/><Relationship Id="rId21" Type="http://schemas.openxmlformats.org/officeDocument/2006/relationships/hyperlink" Target="https://grls.rosminzdrav.ru/InstrImg/2020/9/29/1461721/%D0%A0_N000461_01%5B2018%5D_0.pdf" TargetMode="External"/><Relationship Id="rId24" Type="http://schemas.openxmlformats.org/officeDocument/2006/relationships/hyperlink" Target="https://lk.regmed.ru/Register/GetPDFfromDA?ID=1607490831" TargetMode="External"/><Relationship Id="rId23" Type="http://schemas.openxmlformats.org/officeDocument/2006/relationships/hyperlink" Target="https://lk.regmed.ru/Register/GetPDFfromDA?ID=1607490831" TargetMode="External"/><Relationship Id="rId26" Type="http://schemas.openxmlformats.org/officeDocument/2006/relationships/hyperlink" Target="https://grls.rosminzdrav.ru/InstrImg/2021/10/06/1474147/01e6e663-0f1b-4047-bdc9-365d6ba31c8a.pdf" TargetMode="External"/><Relationship Id="rId25" Type="http://schemas.openxmlformats.org/officeDocument/2006/relationships/hyperlink" Target="https://grls.rosminzdrav.ru/InstrImg/2021/10/06/1474149/9fb37d4d-6fc7-451d-ae8b-ff2258dcae40.pdf" TargetMode="External"/><Relationship Id="rId28" Type="http://schemas.openxmlformats.org/officeDocument/2006/relationships/hyperlink" Target="https://grls.rosminzdrav.ru/InstrImg/2026/03/04/1527238/fe2adafe-5094-4da2-bbba-1a640a0ceb4e.pdf" TargetMode="External"/><Relationship Id="rId27" Type="http://schemas.openxmlformats.org/officeDocument/2006/relationships/hyperlink" Target="https://grls.rosminzdrav.ru/InstrImg/2025/06/16/1518193/6df836e1-9750-4ca5-be05-590641b808ac.pdf" TargetMode="External"/><Relationship Id="rId29" Type="http://schemas.openxmlformats.org/officeDocument/2006/relationships/hyperlink" Target="mailto:savinova@vaccina.info" TargetMode="External"/><Relationship Id="rId11" Type="http://schemas.openxmlformats.org/officeDocument/2006/relationships/hyperlink" Target="https://grls.rosminzdrav.ru/InstrImg/2020/05/28/10700/9d141b34-47e7-48c8-9480-616cbbc792fc.pdf" TargetMode="External"/><Relationship Id="rId10" Type="http://schemas.openxmlformats.org/officeDocument/2006/relationships/hyperlink" Target="https://grls.rosminzdrav.ru/InstrImg/2017/4/26/1416322/%D0%A0_N002666_01%5B2013%5D_0.pdf" TargetMode="External"/><Relationship Id="rId13" Type="http://schemas.openxmlformats.org/officeDocument/2006/relationships/hyperlink" Target="https://grls.rosminzdrav.ru/InstrImg/2025/12/04/1523945/374687b9-516b-4eb9-9e34-640e88c2e1e2.pdf" TargetMode="External"/><Relationship Id="rId12" Type="http://schemas.openxmlformats.org/officeDocument/2006/relationships/hyperlink" Target="https://grls.rosminzdrav.ru/InstrImg/2026/05/27/1530421/6bdc8421-6c08-4bf7-be7f-0ae5d96a478d.pdf" TargetMode="External"/><Relationship Id="rId15" Type="http://schemas.openxmlformats.org/officeDocument/2006/relationships/hyperlink" Target="https://lk.regmed.ru/Register/GetPDFfromDA?ID=1601683231" TargetMode="External"/><Relationship Id="rId14" Type="http://schemas.openxmlformats.org/officeDocument/2006/relationships/hyperlink" Target="https://grls.rosminzdrav.ru/InstrImg/2026/06/02/1530636/e301156c-c7d5-45d7-bf58-5346c270c493.pdf" TargetMode="External"/><Relationship Id="rId17" Type="http://schemas.openxmlformats.org/officeDocument/2006/relationships/hyperlink" Target="https://grls.rosminzdrav.ru/InstrImg/2024/12/16/1511954/43eafc3c-33ac-4e33-969c-259e9a175ebb.pdf" TargetMode="External"/><Relationship Id="rId16" Type="http://schemas.openxmlformats.org/officeDocument/2006/relationships/hyperlink" Target="https://lk.regmed.ru/Register/GetPDFfromDA?ID=1605321651" TargetMode="External"/><Relationship Id="rId19" Type="http://schemas.openxmlformats.org/officeDocument/2006/relationships/hyperlink" Target="https://grls.rosminzdrav.ru/InstrImg/2018/7/19/1423955/%D0%A0_N002668_01%5B2012%5D_0.pdf" TargetMode="External"/><Relationship Id="rId18" Type="http://schemas.openxmlformats.org/officeDocument/2006/relationships/hyperlink" Target="mailto:savinova@vaccina.info" TargetMode="External"/><Relationship Id="rId84" Type="http://schemas.openxmlformats.org/officeDocument/2006/relationships/hyperlink" Target="https://grls.rosminzdrav.ru/InstrImg/2024/01/11/1500686/a4e8c4ef-1a75-4265-b493-987635facdbe.pdf" TargetMode="External"/><Relationship Id="rId83" Type="http://schemas.openxmlformats.org/officeDocument/2006/relationships/hyperlink" Target="https://grls.rosminzdrav.ru/InstrImg/2025/06/10/1518039/2f088da7-8272-4666-bcb6-a2e0826808b5.pdf" TargetMode="External"/><Relationship Id="rId86" Type="http://schemas.openxmlformats.org/officeDocument/2006/relationships/hyperlink" Target="https://lk.regmed.ru/Register/GetPDFfromDA?ID=1626767261" TargetMode="External"/><Relationship Id="rId85" Type="http://schemas.openxmlformats.org/officeDocument/2006/relationships/hyperlink" Target="mailto:savinova@vaccina.info" TargetMode="External"/><Relationship Id="rId88" Type="http://schemas.openxmlformats.org/officeDocument/2006/relationships/hyperlink" Target="https://grls.rosminzdrav.ru/InstrImg/2021/07/22/86490/fa07de3f-3b07-40e8-b027-068e2a19359f.pdf" TargetMode="External"/><Relationship Id="rId150" Type="http://schemas.openxmlformats.org/officeDocument/2006/relationships/hyperlink" Target="https://lk.regmed.ru/Register/GetPDFfromDA?ID=1448256521" TargetMode="External"/><Relationship Id="rId87" Type="http://schemas.openxmlformats.org/officeDocument/2006/relationships/hyperlink" Target="https://grls.rosminzdrav.ru/InstrImg/2021/10/22/1474770/84220d47-9ed2-44e3-a2d3-89170a0f96d8.pdf" TargetMode="External"/><Relationship Id="rId89" Type="http://schemas.openxmlformats.org/officeDocument/2006/relationships/hyperlink" Target="https://grls.rosminzdrav.ru/InstrImg/2020/06/13/86486/607fd14a-da55-42fe-8db7-52767fd34cc2.pdf" TargetMode="External"/><Relationship Id="rId80" Type="http://schemas.openxmlformats.org/officeDocument/2006/relationships/hyperlink" Target="https://lk.regmed.ru/Register/GetPDFfromDA?ID=1607784571" TargetMode="External"/><Relationship Id="rId82" Type="http://schemas.openxmlformats.org/officeDocument/2006/relationships/hyperlink" Target="https://grls.rosminzdrav.ru/InstrImg/2025/03/28/1515433/7cb66dc6-27dc-4004-ae84-1159c993bc84.pdf" TargetMode="External"/><Relationship Id="rId81" Type="http://schemas.openxmlformats.org/officeDocument/2006/relationships/hyperlink" Target="https://lk.regmed.ru/Register/GetPDFfromDA?ID=1609919901" TargetMode="External"/><Relationship Id="rId1" Type="http://schemas.openxmlformats.org/officeDocument/2006/relationships/hyperlink" Target="https://lk.regmed.ru/Register/GetPDFfromDA?ID=1597322951" TargetMode="External"/><Relationship Id="rId2" Type="http://schemas.openxmlformats.org/officeDocument/2006/relationships/hyperlink" Target="mailto:savinova@vaccina.info" TargetMode="External"/><Relationship Id="rId3" Type="http://schemas.openxmlformats.org/officeDocument/2006/relationships/hyperlink" Target="https://lk.regmed.ru/Register/GetPDFfromDA?ID=1597318981" TargetMode="External"/><Relationship Id="rId149" Type="http://schemas.openxmlformats.org/officeDocument/2006/relationships/hyperlink" Target="https://lk.regmed.ru/Register/GetPDFfromDA?ID=1485438071" TargetMode="External"/><Relationship Id="rId4" Type="http://schemas.openxmlformats.org/officeDocument/2006/relationships/hyperlink" Target="https://grls.rosminzdrav.ru/InstrImg/2025/05/19/1517351/3bec22d2-65bc-4a94-9482-413901e57760.pdf" TargetMode="External"/><Relationship Id="rId148" Type="http://schemas.openxmlformats.org/officeDocument/2006/relationships/hyperlink" Target="https://lk.regmed.ru/Register/GetPDFfromDA?ID=1494836031" TargetMode="External"/><Relationship Id="rId9" Type="http://schemas.openxmlformats.org/officeDocument/2006/relationships/hyperlink" Target="https://lk.regmed.ru/Register/GetPDFfromDA?ID=1587927891" TargetMode="External"/><Relationship Id="rId143" Type="http://schemas.openxmlformats.org/officeDocument/2006/relationships/hyperlink" Target="https://grls.rosminzdrav.ru/InstrImg/2025/10/30/1523008/59dd5156-957b-4de5-86c8-83d284b70f65.pdf" TargetMode="External"/><Relationship Id="rId142" Type="http://schemas.openxmlformats.org/officeDocument/2006/relationships/hyperlink" Target="https://grls.rosminzdrav.ru/InstrImg/2026/01/22/1525402/07c3adec-cd5e-49f6-9bc3-7a3e029cd98c.pdf" TargetMode="External"/><Relationship Id="rId141" Type="http://schemas.openxmlformats.org/officeDocument/2006/relationships/hyperlink" Target="https://lk.regmed.ru/Register/GetPDFfromDA?ID=1589687781" TargetMode="External"/><Relationship Id="rId140" Type="http://schemas.openxmlformats.org/officeDocument/2006/relationships/hyperlink" Target="mailto:savinova@vaccina.info" TargetMode="External"/><Relationship Id="rId5" Type="http://schemas.openxmlformats.org/officeDocument/2006/relationships/hyperlink" Target="https://grls.rosminzdrav.ru/InstrImg/2025/06/02/1517794/d7367d9e-e745-46a7-b297-5a093bf3738a.pdf" TargetMode="External"/><Relationship Id="rId147" Type="http://schemas.openxmlformats.org/officeDocument/2006/relationships/hyperlink" Target="https://lk.regmed.ru/Register/GetPDFfromDA?ID=1501096611" TargetMode="External"/><Relationship Id="rId6" Type="http://schemas.openxmlformats.org/officeDocument/2006/relationships/hyperlink" Target="mailto:savinova@vaccina.info" TargetMode="External"/><Relationship Id="rId146" Type="http://schemas.openxmlformats.org/officeDocument/2006/relationships/hyperlink" Target="https://lk.regmed.ru/Register/GetPDFfromDA?ID=1544404631" TargetMode="External"/><Relationship Id="rId7" Type="http://schemas.openxmlformats.org/officeDocument/2006/relationships/hyperlink" Target="https://lk.regmed.ru/Register/GetPDFfromDA?ID=1484709711" TargetMode="External"/><Relationship Id="rId145" Type="http://schemas.openxmlformats.org/officeDocument/2006/relationships/hyperlink" Target="https://lk.regmed.ru/Register/GetPDFfromDA?ID=1543829851" TargetMode="External"/><Relationship Id="rId8" Type="http://schemas.openxmlformats.org/officeDocument/2006/relationships/hyperlink" Target="mailto:savinova@vaccina.info" TargetMode="External"/><Relationship Id="rId144" Type="http://schemas.openxmlformats.org/officeDocument/2006/relationships/hyperlink" Target="https://grls.rosminzdrav.ru/InstrImg/2020/06/16/1416543/cc00d61d-e7e3-4d66-bfd4-02dc184c0de6.pdf" TargetMode="External"/><Relationship Id="rId73" Type="http://schemas.openxmlformats.org/officeDocument/2006/relationships/hyperlink" Target="https://grls.rosminzdrav.ru/InstrImg/2024/12/05/1511721/ee78b171-6cf3-474c-9f58-0391a7a5b91f.pdf" TargetMode="External"/><Relationship Id="rId72" Type="http://schemas.openxmlformats.org/officeDocument/2006/relationships/hyperlink" Target="https://grls.rosminzdrav.ru/InstrImg/2016/4/4/37565/%D0%9F_N015218_01%5B2009%5D_0.pdf" TargetMode="External"/><Relationship Id="rId75" Type="http://schemas.openxmlformats.org/officeDocument/2006/relationships/hyperlink" Target="https://grls.rosminzdrav.ru/InstrImg/2017/4/26/1416345/%D0%A0_N002667_01%5B2012%5D_0.pdf" TargetMode="External"/><Relationship Id="rId74" Type="http://schemas.openxmlformats.org/officeDocument/2006/relationships/hyperlink" Target="mailto:savinova@vaccina.info" TargetMode="External"/><Relationship Id="rId77" Type="http://schemas.openxmlformats.org/officeDocument/2006/relationships/hyperlink" Target="https://grls.rosminzdrav.ru/InstrImg/2021/1/19/1465274/%D0%9F_N012585_01%5B2014%5D_0.pdf" TargetMode="External"/><Relationship Id="rId76" Type="http://schemas.openxmlformats.org/officeDocument/2006/relationships/hyperlink" Target="https://grls.rosminzdrav.ru/InstrImg/2021/1/19/1465274/%D0%9F_N012585_01%5B2014%5D_0.pdf" TargetMode="External"/><Relationship Id="rId79" Type="http://schemas.openxmlformats.org/officeDocument/2006/relationships/hyperlink" Target="https://grls.rosminzdrav.ru/InstrImg/2025/09/15/1521458/990be5c7-4178-4812-a999-fd00eaeb3d60.pdf" TargetMode="External"/><Relationship Id="rId78" Type="http://schemas.openxmlformats.org/officeDocument/2006/relationships/hyperlink" Target="https://grls.rosminzdrav.ru/InstrImg/2025/09/15/1521458/990be5c7-4178-4812-a999-fd00eaeb3d60.pdf" TargetMode="External"/><Relationship Id="rId71" Type="http://schemas.openxmlformats.org/officeDocument/2006/relationships/hyperlink" Target="https://lk.regmed.ru/Register/GetPDFfromDA?ID=1621077341" TargetMode="External"/><Relationship Id="rId70" Type="http://schemas.openxmlformats.org/officeDocument/2006/relationships/hyperlink" Target="https://grls.rosminzdrav.ru/InstrImg/2022/11/25/1488637/081df120-9112-42bd-a1fc-c7b9aa3e2987.pdf" TargetMode="External"/><Relationship Id="rId139" Type="http://schemas.openxmlformats.org/officeDocument/2006/relationships/hyperlink" Target="https://grls.rosminzdrav.ru/InstrImg/2023/03/14/1491812/20189f0f-07b3-427e-9a8a-d8006843c2d6.pdf" TargetMode="External"/><Relationship Id="rId138" Type="http://schemas.openxmlformats.org/officeDocument/2006/relationships/hyperlink" Target="https://lk.regmed.ru/Register/GetPDFfromDA?ID=1558408561" TargetMode="External"/><Relationship Id="rId137" Type="http://schemas.openxmlformats.org/officeDocument/2006/relationships/hyperlink" Target="https://grls.rosminzdrav.ru/InstrImg/2023/02/09/1490961/74e94624-eabc-450e-bf32-2c1ddaca2be5.pdf" TargetMode="External"/><Relationship Id="rId132" Type="http://schemas.openxmlformats.org/officeDocument/2006/relationships/hyperlink" Target="https://grls.rosminzdrav.ru/InstrImg/2020/4/29/1456610/%D0%9F_N013850_01%5B2014%5D_0.pdf" TargetMode="External"/><Relationship Id="rId131" Type="http://schemas.openxmlformats.org/officeDocument/2006/relationships/hyperlink" Target="https://grls.rosminzdrav.ru/InstrImg/2023/07/19/1495141/8a2ba9a0-eb39-4368-9a0d-f81451183bb0.pdf" TargetMode="External"/><Relationship Id="rId130" Type="http://schemas.openxmlformats.org/officeDocument/2006/relationships/hyperlink" Target="https://grls.rosminzdrav.ru/InstrImg/2019/8/14/1445562/%D0%9F_N013657_01%5B2009%5D_0.pdf" TargetMode="External"/><Relationship Id="rId136" Type="http://schemas.openxmlformats.org/officeDocument/2006/relationships/hyperlink" Target="mailto:savinova@vaccina.info" TargetMode="External"/><Relationship Id="rId135" Type="http://schemas.openxmlformats.org/officeDocument/2006/relationships/hyperlink" Target="https://grls.rosminzdrav.ru/InstrImg/2020/12/18/1464410/%D0%9F_N014361_01%5B2020%5D_0.pdf" TargetMode="External"/><Relationship Id="rId134" Type="http://schemas.openxmlformats.org/officeDocument/2006/relationships/hyperlink" Target="https://grls.rosminzdrav.ru/InstrImg/2016/6/9/1308974/%D0%9B%D0%A1%D0%A0-003210_07%5B2018%5D_0.pdf" TargetMode="External"/><Relationship Id="rId133" Type="http://schemas.openxmlformats.org/officeDocument/2006/relationships/hyperlink" Target="https://grls.rosminzdrav.ru/InstrImg/2020/12/15/1464278/%D0%9F_N015829_01%5B2012%5D_0.pdf" TargetMode="External"/><Relationship Id="rId62" Type="http://schemas.openxmlformats.org/officeDocument/2006/relationships/hyperlink" Target="https://lk.regmed.ru/Register/GetPDFfromDA?ID=1509638211" TargetMode="External"/><Relationship Id="rId61" Type="http://schemas.openxmlformats.org/officeDocument/2006/relationships/hyperlink" Target="https://grls.rosminzdrav.ru/InstrImg/2021/1/12/1464953/%D0%9B%D0%9F-001412%5B2019%5D_0.pdf" TargetMode="External"/><Relationship Id="rId64" Type="http://schemas.openxmlformats.org/officeDocument/2006/relationships/hyperlink" Target="https://grls.rosminzdrav.ru/InstrImg/2022/07/11/1482961/91a975c9-b5b0-4f4e-8827-f5683ed7c461.pdf" TargetMode="External"/><Relationship Id="rId63" Type="http://schemas.openxmlformats.org/officeDocument/2006/relationships/hyperlink" Target="mailto:savinova@vaccina.info" TargetMode="External"/><Relationship Id="rId66" Type="http://schemas.openxmlformats.org/officeDocument/2006/relationships/hyperlink" Target="https://grls.rosminzdrav.ru/InstrImg/2024/12/19/1512043/59e764b9-60fd-455d-b6fc-d0056460286e.pdf" TargetMode="External"/><Relationship Id="rId172" Type="http://schemas.openxmlformats.org/officeDocument/2006/relationships/hyperlink" Target="https://grls.rosminzdrav.ru/InstrImg/2020/06/18/1452053/3993efd1-cdd7-4127-88ae-330ac7a6d1c1.pdf" TargetMode="External"/><Relationship Id="rId65" Type="http://schemas.openxmlformats.org/officeDocument/2006/relationships/hyperlink" Target="https://grls.rosminzdrav.ru/InstrImg/2025/07/25/1519625/ca601e77-829c-48a9-b9b5-204e5b86aa88.pdf" TargetMode="External"/><Relationship Id="rId171" Type="http://schemas.openxmlformats.org/officeDocument/2006/relationships/hyperlink" Target="https://lk.regmed.ru/Register/GetPDFfromDA?ID=1634791611" TargetMode="External"/><Relationship Id="rId68" Type="http://schemas.openxmlformats.org/officeDocument/2006/relationships/hyperlink" Target="https://grls.rosminzdrav.ru/InstrImg/2022/11/25/1488723/80c7b6fb-3d8f-4ee9-9610-da77ce371e71.pdf" TargetMode="External"/><Relationship Id="rId170" Type="http://schemas.openxmlformats.org/officeDocument/2006/relationships/hyperlink" Target="https://grls.rosminzdrav.ru/InstrImg/2020/11/25/140879/f4484511-f351-42f9-8a7a-85a995f31517.pdf" TargetMode="External"/><Relationship Id="rId67" Type="http://schemas.openxmlformats.org/officeDocument/2006/relationships/hyperlink" Target="https://lk.regmed.ru/Register/GetPDFfromDA?ID=1649843881" TargetMode="External"/><Relationship Id="rId60" Type="http://schemas.openxmlformats.org/officeDocument/2006/relationships/hyperlink" Target="https://lk.regmed.ru/Register/GetPDFfromDA?ID=1544529771" TargetMode="External"/><Relationship Id="rId165" Type="http://schemas.openxmlformats.org/officeDocument/2006/relationships/hyperlink" Target="https://grls.rosminzdrav.ru/InstrImg/2020/11/20/1414272/ad633910-6fd8-473c-8c81-dc945f343f42.pdf" TargetMode="External"/><Relationship Id="rId69" Type="http://schemas.openxmlformats.org/officeDocument/2006/relationships/hyperlink" Target="https://grls.rosminzdrav.ru/InstrImg/2017/6/22/1417297/%D0%9B%D0%A1-001296%5B2012%5D_0.pdf" TargetMode="External"/><Relationship Id="rId164" Type="http://schemas.openxmlformats.org/officeDocument/2006/relationships/hyperlink" Target="https://grls.rosminzdrav.ru/InstrImg/2020/05/28/37407/eca15fe8-8706-4bd3-9148-1f54c5ab52ed.pdf" TargetMode="External"/><Relationship Id="rId163" Type="http://schemas.openxmlformats.org/officeDocument/2006/relationships/hyperlink" Target="https://grls.rosminzdrav.ru/InstrImg/2020/06/01/1422432/8314c8e6-25f4-4bd2-97f0-1a3b881e7dcb.pdf" TargetMode="External"/><Relationship Id="rId162" Type="http://schemas.openxmlformats.org/officeDocument/2006/relationships/hyperlink" Target="https://grls.rosminzdrav.ru/InstrImg/2019/06/30/739/1fca1237-4a6a-4bdd-b176-7ef01c56c1bf.pdf" TargetMode="External"/><Relationship Id="rId169" Type="http://schemas.openxmlformats.org/officeDocument/2006/relationships/hyperlink" Target="https://grls.rosminzdrav.ru/InstrImg/2025/03/27/1515398/ec0df501-9186-4e20-ae68-c07f28302f7b.pdf" TargetMode="External"/><Relationship Id="rId168" Type="http://schemas.openxmlformats.org/officeDocument/2006/relationships/hyperlink" Target="https://grls.rosminzdrav.ru/InstrImg/2025/02/28/1514525/002c6594-b19d-4b5a-a79c-60853ca8612c.pdf" TargetMode="External"/><Relationship Id="rId167" Type="http://schemas.openxmlformats.org/officeDocument/2006/relationships/hyperlink" Target="https://grls.rosminzdrav.ru/InstrImg/2020/11/23/146563/3780d7de-b3a2-42ee-b652-ae7a04722a90.pdf" TargetMode="External"/><Relationship Id="rId166" Type="http://schemas.openxmlformats.org/officeDocument/2006/relationships/hyperlink" Target="https://grls.rosminzdrav.ru/InstrImg/2020/11/25/146561/742bfd83-5da9-4e9c-bbb5-b9de800c21fa.pdf" TargetMode="External"/><Relationship Id="rId51" Type="http://schemas.openxmlformats.org/officeDocument/2006/relationships/hyperlink" Target="https://grls.rosminzdrav.ru/InstrImg/2020/10/15/1462300/%D0%A0_N001586_01%5B2007%5D_0.pdf" TargetMode="External"/><Relationship Id="rId50" Type="http://schemas.openxmlformats.org/officeDocument/2006/relationships/hyperlink" Target="https://grls.rosminzdrav.ru/InstrImg/2025/12/30/1524922/f74ec015-a175-4792-8828-9d0c1f6547ab.pdf" TargetMode="External"/><Relationship Id="rId53" Type="http://schemas.openxmlformats.org/officeDocument/2006/relationships/hyperlink" Target="https://lk.regmed.ru/Register/GetPDFfromDA?ID=1597558391" TargetMode="External"/><Relationship Id="rId52" Type="http://schemas.openxmlformats.org/officeDocument/2006/relationships/hyperlink" Target="mailto:savinova@vaccina.info" TargetMode="External"/><Relationship Id="rId55" Type="http://schemas.openxmlformats.org/officeDocument/2006/relationships/hyperlink" Target="https://grls.rosminzdrav.ru/InstrImg/2022/09/20/1485497/d454a4ed-f278-470c-9ca3-82a7d582e3aa.pdf" TargetMode="External"/><Relationship Id="rId161" Type="http://schemas.openxmlformats.org/officeDocument/2006/relationships/hyperlink" Target="https://grls.rosminzdrav.ru/InstrImg/2020/06/11/1206428/53252686-7415-4f30-bdba-632b434439f9.pdf" TargetMode="External"/><Relationship Id="rId54" Type="http://schemas.openxmlformats.org/officeDocument/2006/relationships/hyperlink" Target="https://grls.rosminzdrav.ru/InstrImg/2025/06/19/1518378/557245be-23d7-4913-9af3-4fa130d3c97f.pdf" TargetMode="External"/><Relationship Id="rId160" Type="http://schemas.openxmlformats.org/officeDocument/2006/relationships/hyperlink" Target="https://grls.rosminzdrav.ru/InstrImg/2024/01/23/1501030/43ed9d31-44e7-403a-a977-d714a002b9c6.pdf" TargetMode="External"/><Relationship Id="rId57" Type="http://schemas.openxmlformats.org/officeDocument/2006/relationships/hyperlink" Target="https://lk.regmed.ru/Register/GetPDFfromDA?ID=1581523381" TargetMode="External"/><Relationship Id="rId56" Type="http://schemas.openxmlformats.org/officeDocument/2006/relationships/hyperlink" Target="https://lk.regmed.ru/Register/GetPDFfromDA?ID=1583272671" TargetMode="External"/><Relationship Id="rId159" Type="http://schemas.openxmlformats.org/officeDocument/2006/relationships/hyperlink" Target="https://grls.rosminzdrav.ru/InstrImg/2025/12/30/1524963/862ae1b6-e8bc-417c-8173-0fa0ff6a6e52.pdf" TargetMode="External"/><Relationship Id="rId59" Type="http://schemas.openxmlformats.org/officeDocument/2006/relationships/hyperlink" Target="https://lk.regmed.ru/Register/GetPDFfromDA?ID=1594767771" TargetMode="External"/><Relationship Id="rId154" Type="http://schemas.openxmlformats.org/officeDocument/2006/relationships/hyperlink" Target="https://grls.rosminzdrav.ru/InstrImg/2023/11/15/1499083/aedb6c35-3db8-494a-a41e-8ffc737dc35b.pdf" TargetMode="External"/><Relationship Id="rId58" Type="http://schemas.openxmlformats.org/officeDocument/2006/relationships/hyperlink" Target="https://lk.regmed.ru/Register/GetPDFfromDA?ID=1574028031" TargetMode="External"/><Relationship Id="rId153" Type="http://schemas.openxmlformats.org/officeDocument/2006/relationships/hyperlink" Target="https://grls.rosminzdrav.ru/InstrImg/2025/01/09/1512384/c6523a43-f889-4421-a55b-e3e8be3bdc34.pdf" TargetMode="External"/><Relationship Id="rId152" Type="http://schemas.openxmlformats.org/officeDocument/2006/relationships/hyperlink" Target="https://grls.rosminzdrav.ru/InstrImg/2026/05/19/1529992/3e4bff0f-b904-49bd-8f8c-cf901c4749df.pdf" TargetMode="External"/><Relationship Id="rId151" Type="http://schemas.openxmlformats.org/officeDocument/2006/relationships/hyperlink" Target="https://lk.regmed.ru/Register/GetPDFfromDA?ID=1501926911" TargetMode="External"/><Relationship Id="rId158" Type="http://schemas.openxmlformats.org/officeDocument/2006/relationships/hyperlink" Target="https://grls.rosminzdrav.ru/InstrImg/2020/06/03/37799/c7a7977e-fea0-4451-80db-bfd751ccf3f6.pdf" TargetMode="External"/><Relationship Id="rId157" Type="http://schemas.openxmlformats.org/officeDocument/2006/relationships/hyperlink" Target="https://grls.rosminzdrav.ru/InstrImg/2019/10/17/1448631/%D0%9B%D0%9F-001290%5B2017%5D_0.pdf" TargetMode="External"/><Relationship Id="rId156" Type="http://schemas.openxmlformats.org/officeDocument/2006/relationships/hyperlink" Target="https://grls.rosminzdrav.ru/InstrImg/2018/11/10/1426168/%D0%A0_N000460_01%5B2018%5D_0.pdf" TargetMode="External"/><Relationship Id="rId155" Type="http://schemas.openxmlformats.org/officeDocument/2006/relationships/hyperlink" Target="https://grls.rosminzdrav.ru/InstrImg/2026/04/08/1528373/3fb2f386-4fb1-4866-bc9c-0268096bb4fc.pdf" TargetMode="External"/><Relationship Id="rId107" Type="http://schemas.openxmlformats.org/officeDocument/2006/relationships/hyperlink" Target="mailto:savinova@vaccina.info" TargetMode="External"/><Relationship Id="rId106" Type="http://schemas.openxmlformats.org/officeDocument/2006/relationships/hyperlink" Target="https://grls.rosminzdrav.ru/InstrImg/2026/01/22/1525392/c4730a97-f7f4-406f-954c-6a6bed44be35.pdf" TargetMode="External"/><Relationship Id="rId105" Type="http://schemas.openxmlformats.org/officeDocument/2006/relationships/hyperlink" Target="https://grls.rosminzdrav.ru/InstrImg/2022/07/01/1482554/5f33ae33-eaa6-4ca5-aed1-e39900dc85a6.pdf" TargetMode="External"/><Relationship Id="rId104" Type="http://schemas.openxmlformats.org/officeDocument/2006/relationships/hyperlink" Target="https://grls.rosminzdrav.ru/InstrImg/2025/06/20/1518412/cd0f3dff-5242-4a3d-b71e-22447afe0e73.pdf" TargetMode="External"/><Relationship Id="rId109" Type="http://schemas.openxmlformats.org/officeDocument/2006/relationships/hyperlink" Target="https://lk.regmed.ru/Register/GetPDFfromDA?ID=1641359721" TargetMode="External"/><Relationship Id="rId108" Type="http://schemas.openxmlformats.org/officeDocument/2006/relationships/hyperlink" Target="https://grls.rosminzdrav.ru/InstrImg/2023/03/01/1491468/c8da2905-b80e-470c-adc7-c40c03707ddd.pdf" TargetMode="External"/><Relationship Id="rId103" Type="http://schemas.openxmlformats.org/officeDocument/2006/relationships/hyperlink" Target="https://grls.rosminzdrav.ru/InstrImg/2022/10/26/1480925/bbce1055-ce8d-4cf1-8ce2-d5a008359d42.pdf" TargetMode="External"/><Relationship Id="rId102" Type="http://schemas.openxmlformats.org/officeDocument/2006/relationships/hyperlink" Target="https://grls.rosminzdrav.ru/InstrImg/2026/02/03/1525996/748a2896-887a-40f1-82c0-510ac345461d.pdf" TargetMode="External"/><Relationship Id="rId101" Type="http://schemas.openxmlformats.org/officeDocument/2006/relationships/hyperlink" Target="https://grls.rosminzdrav.ru/InstrImg/2021/6/4/1469733/%D0%A0_N000661_01%5B2017%5D_0.pdf" TargetMode="External"/><Relationship Id="rId100" Type="http://schemas.openxmlformats.org/officeDocument/2006/relationships/hyperlink" Target="https://grls.rosminzdrav.ru/InstrImg/2026/02/06/1526184/204c2bdf-4b3b-45c5-b641-f7ce1ae753b3.pdf" TargetMode="External"/><Relationship Id="rId129" Type="http://schemas.openxmlformats.org/officeDocument/2006/relationships/hyperlink" Target="mailto:savinova@vaccina.info" TargetMode="External"/><Relationship Id="rId128" Type="http://schemas.openxmlformats.org/officeDocument/2006/relationships/hyperlink" Target="https://grls.rosminzdrav.ru/InstrImg/2019/8/15/1445618/%D0%9F_N015312_01%5B2010%5D_0.pdf" TargetMode="External"/><Relationship Id="rId127" Type="http://schemas.openxmlformats.org/officeDocument/2006/relationships/hyperlink" Target="https://grls.rosminzdrav.ru/InstrImg/2023/07/13/1494926/d8440e50-44f6-4e4b-a50d-64608384e586.pdf" TargetMode="External"/><Relationship Id="rId126" Type="http://schemas.openxmlformats.org/officeDocument/2006/relationships/hyperlink" Target="https://lk.regmed.ru/Register/GetPDFfromDA?ID=1574006211" TargetMode="External"/><Relationship Id="rId121" Type="http://schemas.openxmlformats.org/officeDocument/2006/relationships/hyperlink" Target="https://grls.rosminzdrav.ru/InstrImg/2019/06/29/1424317/a2b80c77-0857-4a1d-a948-36a987511e54.pdf" TargetMode="External"/><Relationship Id="rId120" Type="http://schemas.openxmlformats.org/officeDocument/2006/relationships/hyperlink" Target="https://grls.rosminzdrav.ru/InstrImg/2020/12/02/1423524/629a6384-1db2-499f-afb1-e87dac723b9a.pdf" TargetMode="External"/><Relationship Id="rId125" Type="http://schemas.openxmlformats.org/officeDocument/2006/relationships/hyperlink" Target="https://grls.rosminzdrav.ru/InstrImg/2026/01/16/1525169/a5f21ff0-2d7c-4ab8-8025-1ccbc0cf7cc6.pdf" TargetMode="External"/><Relationship Id="rId124" Type="http://schemas.openxmlformats.org/officeDocument/2006/relationships/hyperlink" Target="https://grls.rosminzdrav.ru/InstrImg/2021/04/08/1467900/c382c9c7-0b55-4bb8-a3af-a3be999c3012.pdf" TargetMode="External"/><Relationship Id="rId123" Type="http://schemas.openxmlformats.org/officeDocument/2006/relationships/hyperlink" Target="https://grls.rosminzdrav.ru/InstrImg/2025/06/02/1517806/3c9102ff-eafa-47bc-b83f-eb05cfac1092.pdf" TargetMode="External"/><Relationship Id="rId122" Type="http://schemas.openxmlformats.org/officeDocument/2006/relationships/hyperlink" Target="https://lk.regmed.ru/Register/GetPDFfromDA?ID=1497046991" TargetMode="External"/><Relationship Id="rId95" Type="http://schemas.openxmlformats.org/officeDocument/2006/relationships/hyperlink" Target="https://grls.rosminzdrav.ru/InstrImg/2021/09/20/1473405/41395d1f-d6e8-41d5-88fe-a1a29b28be83.pdf" TargetMode="External"/><Relationship Id="rId94" Type="http://schemas.openxmlformats.org/officeDocument/2006/relationships/hyperlink" Target="https://grls.rosminzdrav.ru/InstrImg/2020/08/24/86488/1ed689ab-55e8-4379-9b04-687068382c27.pdf" TargetMode="External"/><Relationship Id="rId97" Type="http://schemas.openxmlformats.org/officeDocument/2006/relationships/hyperlink" Target="https://grls.rosminzdrav.ru/InstrImg/2020/11/27/1463688/%D0%A0_N002481_01%5B2020%5D_0.pdf" TargetMode="External"/><Relationship Id="rId96" Type="http://schemas.openxmlformats.org/officeDocument/2006/relationships/hyperlink" Target="mailto:savinova@vaccina.info" TargetMode="External"/><Relationship Id="rId99" Type="http://schemas.openxmlformats.org/officeDocument/2006/relationships/hyperlink" Target="https://grls.rosminzdrav.ru/InstrImg/2022/12/12/1489555/281290ac-8b7f-4930-a191-7eff9a7cb147.pdf" TargetMode="External"/><Relationship Id="rId98" Type="http://schemas.openxmlformats.org/officeDocument/2006/relationships/hyperlink" Target="https://grls.rosminzdrav.ru/InstrImg/2025/02/06/1513573/c7fd0ba6-d018-4726-b9e2-1ae791edec76.pdf" TargetMode="External"/><Relationship Id="rId91" Type="http://schemas.openxmlformats.org/officeDocument/2006/relationships/hyperlink" Target="https://grls.rosminzdrav.ru/InstrImg/2020/06/08/86489/f8c71c84-d7eb-4cba-990a-8c9e218ca432.pdf" TargetMode="External"/><Relationship Id="rId90" Type="http://schemas.openxmlformats.org/officeDocument/2006/relationships/hyperlink" Target="https://grls.rosminzdrav.ru/InstrImg/2021/7/6/1470535/%D0%9B%D0%A1%D0%A0-005759_08%5B2020%5D_0.pdf" TargetMode="External"/><Relationship Id="rId93" Type="http://schemas.openxmlformats.org/officeDocument/2006/relationships/hyperlink" Target="https://grls.rosminzdrav.ru/InstrImg/2019/10/25/1448929/%D0%A0_N001273_01%5B2019%5D_0.pdf" TargetMode="External"/><Relationship Id="rId92" Type="http://schemas.openxmlformats.org/officeDocument/2006/relationships/hyperlink" Target="https://grls.rosminzdrav.ru/InstrImg/2025/04/08/1515924/2cb5904f-0eb6-4463-9e6d-a2aa95a7192c.pdf" TargetMode="External"/><Relationship Id="rId118" Type="http://schemas.openxmlformats.org/officeDocument/2006/relationships/hyperlink" Target="mailto:savinova@vaccina.info" TargetMode="External"/><Relationship Id="rId117" Type="http://schemas.openxmlformats.org/officeDocument/2006/relationships/hyperlink" Target="https://grls.rosminzdrav.ru/InstrImg/2025/04/07/1515838/1b86346c-ace0-4de8-a757-2d3e7e4604e4.pdf" TargetMode="External"/><Relationship Id="rId116" Type="http://schemas.openxmlformats.org/officeDocument/2006/relationships/hyperlink" Target="https://lk.regmed.ru/Register/GetPDFfromDA?ID=1512826451" TargetMode="External"/><Relationship Id="rId115" Type="http://schemas.openxmlformats.org/officeDocument/2006/relationships/hyperlink" Target="https://grls.rosminzdrav.ru/InstrImg/2022/09/09/1485745/6205a5ae-4bbb-42bf-84d2-93c4042be1cb.pdf" TargetMode="External"/><Relationship Id="rId119" Type="http://schemas.openxmlformats.org/officeDocument/2006/relationships/hyperlink" Target="https://lk.regmed.ru/Register/GetPDFfromDA?ID=1545562701" TargetMode="External"/><Relationship Id="rId110" Type="http://schemas.openxmlformats.org/officeDocument/2006/relationships/hyperlink" Target="https://grls.rosminzdrav.ru/InstrImg/2020/11/27/1463649/%D0%9B%D0%9F-000499%5B2016%5D_0.pdf" TargetMode="External"/><Relationship Id="rId114" Type="http://schemas.openxmlformats.org/officeDocument/2006/relationships/hyperlink" Target="https://grls.rosminzdrav.ru/InstrImg/2023/04/13/1492490/163b41fd-d4cb-4d41-b651-49a0c6b9110f.pdf" TargetMode="External"/><Relationship Id="rId113" Type="http://schemas.openxmlformats.org/officeDocument/2006/relationships/hyperlink" Target="https://lk.regmed.ru/Register/GetPDFfromDA?ID=1596978511" TargetMode="External"/><Relationship Id="rId112" Type="http://schemas.openxmlformats.org/officeDocument/2006/relationships/hyperlink" Target="https://grls.rosminzdrav.ru/InstrImg/2025/06/16/1518193/6df836e1-9750-4ca5-be05-590641b808ac.pdf" TargetMode="External"/><Relationship Id="rId111" Type="http://schemas.openxmlformats.org/officeDocument/2006/relationships/hyperlink" Target="https://grls.rosminzdrav.ru/InstrImg/2026/03/04/1527238/fe2adafe-5094-4da2-bbba-1a640a0ceb4e.pdf"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lk.regmed.ru/Register/GetPDFfromDA?ID=1633580161" TargetMode="External"/><Relationship Id="rId42" Type="http://schemas.openxmlformats.org/officeDocument/2006/relationships/hyperlink" Target="https://lk.regmed.ru/Register/GetPDFfromDA?ID=1523760571" TargetMode="External"/><Relationship Id="rId41" Type="http://schemas.openxmlformats.org/officeDocument/2006/relationships/hyperlink" Target="mailto:savinova@vaccina.info" TargetMode="External"/><Relationship Id="rId44" Type="http://schemas.openxmlformats.org/officeDocument/2006/relationships/hyperlink" Target="https://grls.rosminzdrav.ru/InstrImg/2021/12/14/1476333/f3799188-0d95-48db-a0ce-bb1396d44765.pdf" TargetMode="External"/><Relationship Id="rId43" Type="http://schemas.openxmlformats.org/officeDocument/2006/relationships/hyperlink" Target="https://grls.rosminzdrav.ru/InstrImg/2026/02/10/1526281/07a2f661-6334-4894-8117-0ad7563ba4ef.pdf" TargetMode="External"/><Relationship Id="rId46" Type="http://schemas.openxmlformats.org/officeDocument/2006/relationships/hyperlink" Target="https://lk.regmed.ru/Register/GetPDFfromDA?ID=1612604181" TargetMode="External"/><Relationship Id="rId45" Type="http://schemas.openxmlformats.org/officeDocument/2006/relationships/hyperlink" Target="https://grls.rosminzdrav.ru/InstrImg/2026/03/05/1527284/4a34f8fb-090f-4a41-bab9-0d4194977316.pdf" TargetMode="External"/><Relationship Id="rId48" Type="http://schemas.openxmlformats.org/officeDocument/2006/relationships/hyperlink" Target="https://lk.regmed.ru/Register/GetPDFfromDA?ID=1581220991" TargetMode="External"/><Relationship Id="rId187" Type="http://schemas.openxmlformats.org/officeDocument/2006/relationships/hyperlink" Target="https://grls.rosminzdrav.ru/InstrImg/2026/04/13/1528563/1136dc5f-fe53-46a4-ba36-20995e399a16.pdf" TargetMode="External"/><Relationship Id="rId47" Type="http://schemas.openxmlformats.org/officeDocument/2006/relationships/hyperlink" Target="https://grls.rosminzdrav.ru/InstrImg/2025/05/26/1517557/95b8d8b7-23f5-4e99-a4f7-efc667459b50.pdf" TargetMode="External"/><Relationship Id="rId186" Type="http://schemas.openxmlformats.org/officeDocument/2006/relationships/hyperlink" Target="https://grls.rosminzdrav.ru/InstrImg/2025/07/15/1519302/c7dac0d8-df0c-484e-99a0-d7b6422ab318.pdf" TargetMode="External"/><Relationship Id="rId185" Type="http://schemas.openxmlformats.org/officeDocument/2006/relationships/hyperlink" Target="https://grls.rosminzdrav.ru/InstrImg/2021/09/20/1473405/41395d1f-d6e8-41d5-88fe-a1a29b28be83.pdf" TargetMode="External"/><Relationship Id="rId49" Type="http://schemas.openxmlformats.org/officeDocument/2006/relationships/hyperlink" Target="https://grls.rosminzdrav.ru/InstrImg/2025/12/30/1524922/f74ec015-a175-4792-8828-9d0c1f6547ab.pdf" TargetMode="External"/><Relationship Id="rId184" Type="http://schemas.openxmlformats.org/officeDocument/2006/relationships/hyperlink" Target="https://grls.rosminzdrav.ru/InstrImg/2025/04/04/1515791/731944c3-c908-4ee4-8479-026ab476fc4b.pdf" TargetMode="External"/><Relationship Id="rId189" Type="http://schemas.openxmlformats.org/officeDocument/2006/relationships/drawing" Target="../drawings/drawing5.xml"/><Relationship Id="rId188" Type="http://schemas.openxmlformats.org/officeDocument/2006/relationships/hyperlink" Target="https://grls.rosminzdrav.ru/InstrImg/2026/04/13/1528638/81dbfeae-d02c-4909-ae9d-1b3092cc89e9.pdf" TargetMode="External"/><Relationship Id="rId31" Type="http://schemas.openxmlformats.org/officeDocument/2006/relationships/hyperlink" Target="https://grls.rosminzdrav.ru/InstrImg/2019/8/6/1445331/%D0%9F_N011073%5B2016%5D_1.pdf" TargetMode="External"/><Relationship Id="rId30" Type="http://schemas.openxmlformats.org/officeDocument/2006/relationships/hyperlink" Target="mailto:savinova@vaccina.info" TargetMode="External"/><Relationship Id="rId33" Type="http://schemas.openxmlformats.org/officeDocument/2006/relationships/hyperlink" Target="https://lk.regmed.ru/Register/GetPDFfromDA?ID=1575625191" TargetMode="External"/><Relationship Id="rId183" Type="http://schemas.openxmlformats.org/officeDocument/2006/relationships/hyperlink" Target="https://grls.rosminzdrav.ru/InstrImg/2025/03/14/1514899/44c72a47-2cd3-4a92-b136-0902c17fafb6.pdf" TargetMode="External"/><Relationship Id="rId32" Type="http://schemas.openxmlformats.org/officeDocument/2006/relationships/hyperlink" Target="https://lk.regmed.ru/Register/GetPDFfromDA?ID=1611660161" TargetMode="External"/><Relationship Id="rId182" Type="http://schemas.openxmlformats.org/officeDocument/2006/relationships/hyperlink" Target="https://grls.rosminzdrav.ru/InstrImg/2025/03/25/1515160/e4c206af-2701-4f99-a45f-09d998ef0935.pdf" TargetMode="External"/><Relationship Id="rId35" Type="http://schemas.openxmlformats.org/officeDocument/2006/relationships/hyperlink" Target="https://grls.rosminzdrav.ru/InstrImg/2022/03/24/1479420/3838bcfc-cc6a-448b-abf8-404668c05a34.pdf" TargetMode="External"/><Relationship Id="rId181" Type="http://schemas.openxmlformats.org/officeDocument/2006/relationships/hyperlink" Target="https://grls.rosminzdrav.ru/InstrImg/2024/12/09/1511749/a4738d52-4ff6-4599-a566-530f55491e76.pdf" TargetMode="External"/><Relationship Id="rId34" Type="http://schemas.openxmlformats.org/officeDocument/2006/relationships/hyperlink" Target="https://grls.rosminzdrav.ru/InstrImg/2025/07/21/1519595/f7c8e9e3-baf4-4c2e-949f-a41b75a8ad7c.pdf" TargetMode="External"/><Relationship Id="rId180" Type="http://schemas.openxmlformats.org/officeDocument/2006/relationships/hyperlink" Target="https://lk.regmed.ru/Register/GetPDFfromDA?ID=1607301531" TargetMode="External"/><Relationship Id="rId37" Type="http://schemas.openxmlformats.org/officeDocument/2006/relationships/hyperlink" Target="https://grls.rosminzdrav.ru/InstrImg/2020/11/12/37422/bb3f3b49-b450-42cf-a999-bcc087b2eb05.pdf" TargetMode="External"/><Relationship Id="rId176" Type="http://schemas.openxmlformats.org/officeDocument/2006/relationships/hyperlink" Target="https://grls.rosminzdrav.ru/InstrImg/2025/06/20/1518413/41c4a162-9126-495b-93df-fc2894a8a11f.pdf" TargetMode="External"/><Relationship Id="rId36" Type="http://schemas.openxmlformats.org/officeDocument/2006/relationships/hyperlink" Target="https://grls.rosminzdrav.ru/InstrImg/2023/01/09/1490224/e76560fa-e72e-49eb-8daf-91f3d1403e22.pdf" TargetMode="External"/><Relationship Id="rId175" Type="http://schemas.openxmlformats.org/officeDocument/2006/relationships/hyperlink" Target="https://lk.regmed.ru/Register/GetPDFfromDA?ID=1621040001" TargetMode="External"/><Relationship Id="rId39" Type="http://schemas.openxmlformats.org/officeDocument/2006/relationships/hyperlink" Target="https://lk.regmed.ru/Register/GetPDFfromDA?ID=1512826451" TargetMode="External"/><Relationship Id="rId174" Type="http://schemas.openxmlformats.org/officeDocument/2006/relationships/hyperlink" Target="https://grls.rosminzdrav.ru/InstrImg/2019/6/10/1440397/%D0%9F_N014879_01-2003%5B2003%5D_0.pdf" TargetMode="External"/><Relationship Id="rId38" Type="http://schemas.openxmlformats.org/officeDocument/2006/relationships/hyperlink" Target="https://grls.rosminzdrav.ru/InstrImg/2020/11/23/1413288/cb3a391e-05f5-41e6-9963-8f102193f7e0.pdf" TargetMode="External"/><Relationship Id="rId173" Type="http://schemas.openxmlformats.org/officeDocument/2006/relationships/hyperlink" Target="https://grls.rosminzdrav.ru/InstrImg/2025/03/25/1515266/f7896710-fb4c-49f0-9e20-d6272771ab13.pdf" TargetMode="External"/><Relationship Id="rId179" Type="http://schemas.openxmlformats.org/officeDocument/2006/relationships/hyperlink" Target="https://grls.rosminzdrav.ru/InstrImg/2025/12/30/1524963/862ae1b6-e8bc-417c-8173-0fa0ff6a6e52.pdf" TargetMode="External"/><Relationship Id="rId178" Type="http://schemas.openxmlformats.org/officeDocument/2006/relationships/hyperlink" Target="https://grls.rosminzdrav.ru/InstrImg/2025/07/09/1519029/0d8fd7ae-7b89-4160-9ecd-4b0646f6482f.pdf" TargetMode="External"/><Relationship Id="rId177" Type="http://schemas.openxmlformats.org/officeDocument/2006/relationships/hyperlink" Target="https://grls.rosminzdrav.ru/InstrImg/2025/06/16/1518163/105870c5-93ab-426a-9043-b14a77b3a9e1.pdf" TargetMode="External"/><Relationship Id="rId20" Type="http://schemas.openxmlformats.org/officeDocument/2006/relationships/hyperlink" Target="https://lk.regmed.ru/Register/GetPDFfromDA?ID=1592320751" TargetMode="External"/><Relationship Id="rId22" Type="http://schemas.openxmlformats.org/officeDocument/2006/relationships/hyperlink" Target="https://grls.rosminzdrav.ru/InstrImg/2026/05/07/1529632/54e13522-5efa-4c8c-a9b0-7ea539b4f9d1.pdf" TargetMode="External"/><Relationship Id="rId21" Type="http://schemas.openxmlformats.org/officeDocument/2006/relationships/hyperlink" Target="https://grls.rosminzdrav.ru/InstrImg/2020/9/29/1461721/%D0%A0_N000461_01%5B2018%5D_0.pdf" TargetMode="External"/><Relationship Id="rId24" Type="http://schemas.openxmlformats.org/officeDocument/2006/relationships/hyperlink" Target="https://lk.regmed.ru/Register/GetPDFfromDA?ID=1607490831" TargetMode="External"/><Relationship Id="rId23" Type="http://schemas.openxmlformats.org/officeDocument/2006/relationships/hyperlink" Target="https://lk.regmed.ru/Register/GetPDFfromDA?ID=1607490831" TargetMode="External"/><Relationship Id="rId26" Type="http://schemas.openxmlformats.org/officeDocument/2006/relationships/hyperlink" Target="https://grls.rosminzdrav.ru/InstrImg/2021/10/06/1474147/01e6e663-0f1b-4047-bdc9-365d6ba31c8a.pdf" TargetMode="External"/><Relationship Id="rId25" Type="http://schemas.openxmlformats.org/officeDocument/2006/relationships/hyperlink" Target="https://grls.rosminzdrav.ru/InstrImg/2021/10/06/1474149/9fb37d4d-6fc7-451d-ae8b-ff2258dcae40.pdf" TargetMode="External"/><Relationship Id="rId28" Type="http://schemas.openxmlformats.org/officeDocument/2006/relationships/hyperlink" Target="https://grls.rosminzdrav.ru/InstrImg/2026/03/04/1527238/fe2adafe-5094-4da2-bbba-1a640a0ceb4e.pdf" TargetMode="External"/><Relationship Id="rId27" Type="http://schemas.openxmlformats.org/officeDocument/2006/relationships/hyperlink" Target="https://grls.rosminzdrav.ru/InstrImg/2025/06/16/1518193/6df836e1-9750-4ca5-be05-590641b808ac.pdf" TargetMode="External"/><Relationship Id="rId29" Type="http://schemas.openxmlformats.org/officeDocument/2006/relationships/hyperlink" Target="https://grls.rosminzdrav.ru/InstrImg/2019/8/6/1445331/%D0%9F_N011073%5B2016%5D_1.pdf" TargetMode="External"/><Relationship Id="rId11" Type="http://schemas.openxmlformats.org/officeDocument/2006/relationships/hyperlink" Target="https://grls.rosminzdrav.ru/InstrImg/2020/05/28/10700/9d141b34-47e7-48c8-9480-616cbbc792fc.pdf" TargetMode="External"/><Relationship Id="rId10" Type="http://schemas.openxmlformats.org/officeDocument/2006/relationships/hyperlink" Target="https://grls.rosminzdrav.ru/InstrImg/2017/4/26/1416322/%D0%A0_N002666_01%5B2013%5D_0.pdf" TargetMode="External"/><Relationship Id="rId13" Type="http://schemas.openxmlformats.org/officeDocument/2006/relationships/hyperlink" Target="https://grls.rosminzdrav.ru/InstrImg/2025/12/04/1523945/374687b9-516b-4eb9-9e34-640e88c2e1e2.pdf" TargetMode="External"/><Relationship Id="rId12" Type="http://schemas.openxmlformats.org/officeDocument/2006/relationships/hyperlink" Target="https://grls.rosminzdrav.ru/InstrImg/2026/05/27/1530421/6bdc8421-6c08-4bf7-be7f-0ae5d96a478d.pdf" TargetMode="External"/><Relationship Id="rId15" Type="http://schemas.openxmlformats.org/officeDocument/2006/relationships/hyperlink" Target="https://lk.regmed.ru/Register/GetPDFfromDA?ID=1601683231" TargetMode="External"/><Relationship Id="rId14" Type="http://schemas.openxmlformats.org/officeDocument/2006/relationships/hyperlink" Target="https://grls.rosminzdrav.ru/InstrImg/2026/06/02/1530636/e301156c-c7d5-45d7-bf58-5346c270c493.pdf" TargetMode="External"/><Relationship Id="rId17" Type="http://schemas.openxmlformats.org/officeDocument/2006/relationships/hyperlink" Target="https://grls.rosminzdrav.ru/InstrImg/2024/12/16/1511954/43eafc3c-33ac-4e33-969c-259e9a175ebb.pdf" TargetMode="External"/><Relationship Id="rId16" Type="http://schemas.openxmlformats.org/officeDocument/2006/relationships/hyperlink" Target="https://lk.regmed.ru/Register/GetPDFfromDA?ID=1605321651" TargetMode="External"/><Relationship Id="rId19" Type="http://schemas.openxmlformats.org/officeDocument/2006/relationships/hyperlink" Target="mailto:savinova@vaccina.info" TargetMode="External"/><Relationship Id="rId18" Type="http://schemas.openxmlformats.org/officeDocument/2006/relationships/hyperlink" Target="https://grls.rosminzdrav.ru/InstrImg/2018/7/19/1423955/%D0%A0_N002668_01%5B2012%5D_0.pdf" TargetMode="External"/><Relationship Id="rId84" Type="http://schemas.openxmlformats.org/officeDocument/2006/relationships/hyperlink" Target="https://lk.regmed.ru/Register/GetPDFfromDA?ID=1626767261" TargetMode="External"/><Relationship Id="rId83" Type="http://schemas.openxmlformats.org/officeDocument/2006/relationships/hyperlink" Target="https://grls.rosminzdrav.ru/InstrImg/2024/01/11/1500686/a4e8c4ef-1a75-4265-b493-987635facdbe.pdf" TargetMode="External"/><Relationship Id="rId86" Type="http://schemas.openxmlformats.org/officeDocument/2006/relationships/hyperlink" Target="https://grls.rosminzdrav.ru/InstrImg/2021/10/22/1474770/84220d47-9ed2-44e3-a2d3-89170a0f96d8.pdf" TargetMode="External"/><Relationship Id="rId85" Type="http://schemas.openxmlformats.org/officeDocument/2006/relationships/hyperlink" Target="mailto:savinova@vaccina.info" TargetMode="External"/><Relationship Id="rId88" Type="http://schemas.openxmlformats.org/officeDocument/2006/relationships/hyperlink" Target="https://grls.rosminzdrav.ru/InstrImg/2020/06/13/86486/607fd14a-da55-42fe-8db7-52767fd34cc2.pdf" TargetMode="External"/><Relationship Id="rId150" Type="http://schemas.openxmlformats.org/officeDocument/2006/relationships/hyperlink" Target="https://lk.regmed.ru/Register/GetPDFfromDA?ID=1501926911" TargetMode="External"/><Relationship Id="rId87" Type="http://schemas.openxmlformats.org/officeDocument/2006/relationships/hyperlink" Target="https://grls.rosminzdrav.ru/InstrImg/2021/07/22/86490/fa07de3f-3b07-40e8-b027-068e2a19359f.pdf" TargetMode="External"/><Relationship Id="rId89" Type="http://schemas.openxmlformats.org/officeDocument/2006/relationships/hyperlink" Target="https://grls.rosminzdrav.ru/InstrImg/2021/7/6/1470535/%D0%9B%D0%A1%D0%A0-005759_08%5B2020%5D_0.pdf" TargetMode="External"/><Relationship Id="rId80" Type="http://schemas.openxmlformats.org/officeDocument/2006/relationships/hyperlink" Target="https://lk.regmed.ru/Register/GetPDFfromDA?ID=1609919901" TargetMode="External"/><Relationship Id="rId82" Type="http://schemas.openxmlformats.org/officeDocument/2006/relationships/hyperlink" Target="https://grls.rosminzdrav.ru/InstrImg/2025/06/10/1518039/2f088da7-8272-4666-bcb6-a2e0826808b5.pdf" TargetMode="External"/><Relationship Id="rId81" Type="http://schemas.openxmlformats.org/officeDocument/2006/relationships/hyperlink" Target="https://grls.rosminzdrav.ru/InstrImg/2025/03/28/1515433/7cb66dc6-27dc-4004-ae84-1159c993bc84.pdf" TargetMode="External"/><Relationship Id="rId1" Type="http://schemas.openxmlformats.org/officeDocument/2006/relationships/hyperlink" Target="https://lk.regmed.ru/Register/GetPDFfromDA?ID=1597322951" TargetMode="External"/><Relationship Id="rId2" Type="http://schemas.openxmlformats.org/officeDocument/2006/relationships/hyperlink" Target="mailto:savinova@vaccina.info" TargetMode="External"/><Relationship Id="rId3" Type="http://schemas.openxmlformats.org/officeDocument/2006/relationships/hyperlink" Target="https://lk.regmed.ru/Register/GetPDFfromDA?ID=1597318981" TargetMode="External"/><Relationship Id="rId149" Type="http://schemas.openxmlformats.org/officeDocument/2006/relationships/hyperlink" Target="https://lk.regmed.ru/Register/GetPDFfromDA?ID=1448256521" TargetMode="External"/><Relationship Id="rId4" Type="http://schemas.openxmlformats.org/officeDocument/2006/relationships/hyperlink" Target="https://grls.rosminzdrav.ru/InstrImg/2025/05/19/1517351/3bec22d2-65bc-4a94-9482-413901e57760.pdf" TargetMode="External"/><Relationship Id="rId148" Type="http://schemas.openxmlformats.org/officeDocument/2006/relationships/hyperlink" Target="https://lk.regmed.ru/Register/GetPDFfromDA?ID=1485438071" TargetMode="External"/><Relationship Id="rId9" Type="http://schemas.openxmlformats.org/officeDocument/2006/relationships/hyperlink" Target="mailto:savinova@vaccina.info" TargetMode="External"/><Relationship Id="rId143" Type="http://schemas.openxmlformats.org/officeDocument/2006/relationships/hyperlink" Target="https://grls.rosminzdrav.ru/InstrImg/2020/06/16/1416543/cc00d61d-e7e3-4d66-bfd4-02dc184c0de6.pdf" TargetMode="External"/><Relationship Id="rId142" Type="http://schemas.openxmlformats.org/officeDocument/2006/relationships/hyperlink" Target="https://grls.rosminzdrav.ru/InstrImg/2025/10/30/1523008/59dd5156-957b-4de5-86c8-83d284b70f65.pdf" TargetMode="External"/><Relationship Id="rId141" Type="http://schemas.openxmlformats.org/officeDocument/2006/relationships/hyperlink" Target="https://grls.rosminzdrav.ru/InstrImg/2026/01/22/1525402/07c3adec-cd5e-49f6-9bc3-7a3e029cd98c.pdf" TargetMode="External"/><Relationship Id="rId140" Type="http://schemas.openxmlformats.org/officeDocument/2006/relationships/hyperlink" Target="https://lk.regmed.ru/Register/GetPDFfromDA?ID=1589687781" TargetMode="External"/><Relationship Id="rId5" Type="http://schemas.openxmlformats.org/officeDocument/2006/relationships/hyperlink" Target="https://grls.rosminzdrav.ru/InstrImg/2025/06/02/1517794/d7367d9e-e745-46a7-b297-5a093bf3738a.pdf" TargetMode="External"/><Relationship Id="rId147" Type="http://schemas.openxmlformats.org/officeDocument/2006/relationships/hyperlink" Target="https://lk.regmed.ru/Register/GetPDFfromDA?ID=1494836031" TargetMode="External"/><Relationship Id="rId6" Type="http://schemas.openxmlformats.org/officeDocument/2006/relationships/hyperlink" Target="https://lk.regmed.ru/Register/GetPDFfromDA?ID=1484709711" TargetMode="External"/><Relationship Id="rId146" Type="http://schemas.openxmlformats.org/officeDocument/2006/relationships/hyperlink" Target="https://lk.regmed.ru/Register/GetPDFfromDA?ID=1501096611" TargetMode="External"/><Relationship Id="rId7" Type="http://schemas.openxmlformats.org/officeDocument/2006/relationships/hyperlink" Target="mailto:savinova@vaccina.info" TargetMode="External"/><Relationship Id="rId145" Type="http://schemas.openxmlformats.org/officeDocument/2006/relationships/hyperlink" Target="https://lk.regmed.ru/Register/GetPDFfromDA?ID=1544404631" TargetMode="External"/><Relationship Id="rId8" Type="http://schemas.openxmlformats.org/officeDocument/2006/relationships/hyperlink" Target="https://lk.regmed.ru/Register/GetPDFfromDA?ID=1587927891" TargetMode="External"/><Relationship Id="rId144" Type="http://schemas.openxmlformats.org/officeDocument/2006/relationships/hyperlink" Target="https://lk.regmed.ru/Register/GetPDFfromDA?ID=1543829851" TargetMode="External"/><Relationship Id="rId73" Type="http://schemas.openxmlformats.org/officeDocument/2006/relationships/hyperlink" Target="https://grls.rosminzdrav.ru/InstrImg/2017/4/26/1416345/%D0%A0_N002667_01%5B2012%5D_0.pdf" TargetMode="External"/><Relationship Id="rId72" Type="http://schemas.openxmlformats.org/officeDocument/2006/relationships/hyperlink" Target="https://grls.rosminzdrav.ru/InstrImg/2024/12/05/1511721/ee78b171-6cf3-474c-9f58-0391a7a5b91f.pdf" TargetMode="External"/><Relationship Id="rId75" Type="http://schemas.openxmlformats.org/officeDocument/2006/relationships/hyperlink" Target="https://grls.rosminzdrav.ru/InstrImg/2021/1/19/1465274/%D0%9F_N012585_01%5B2014%5D_0.pdf" TargetMode="External"/><Relationship Id="rId74" Type="http://schemas.openxmlformats.org/officeDocument/2006/relationships/hyperlink" Target="mailto:savinova@vaccina.info" TargetMode="External"/><Relationship Id="rId77" Type="http://schemas.openxmlformats.org/officeDocument/2006/relationships/hyperlink" Target="https://grls.rosminzdrav.ru/InstrImg/2025/09/15/1521458/990be5c7-4178-4812-a999-fd00eaeb3d60.pdf" TargetMode="External"/><Relationship Id="rId76" Type="http://schemas.openxmlformats.org/officeDocument/2006/relationships/hyperlink" Target="https://grls.rosminzdrav.ru/InstrImg/2021/1/19/1465274/%D0%9F_N012585_01%5B2014%5D_0.pdf" TargetMode="External"/><Relationship Id="rId79" Type="http://schemas.openxmlformats.org/officeDocument/2006/relationships/hyperlink" Target="https://lk.regmed.ru/Register/GetPDFfromDA?ID=1607784571" TargetMode="External"/><Relationship Id="rId78" Type="http://schemas.openxmlformats.org/officeDocument/2006/relationships/hyperlink" Target="https://grls.rosminzdrav.ru/InstrImg/2025/09/15/1521458/990be5c7-4178-4812-a999-fd00eaeb3d60.pdf" TargetMode="External"/><Relationship Id="rId71" Type="http://schemas.openxmlformats.org/officeDocument/2006/relationships/hyperlink" Target="https://grls.rosminzdrav.ru/InstrImg/2016/4/4/37565/%D0%9F_N015218_01%5B2009%5D_0.pdf" TargetMode="External"/><Relationship Id="rId70" Type="http://schemas.openxmlformats.org/officeDocument/2006/relationships/hyperlink" Target="https://lk.regmed.ru/Register/GetPDFfromDA?ID=1621077341" TargetMode="External"/><Relationship Id="rId139" Type="http://schemas.openxmlformats.org/officeDocument/2006/relationships/hyperlink" Target="mailto:savinova@vaccina.info" TargetMode="External"/><Relationship Id="rId138" Type="http://schemas.openxmlformats.org/officeDocument/2006/relationships/hyperlink" Target="https://grls.rosminzdrav.ru/InstrImg/2023/03/14/1491812/20189f0f-07b3-427e-9a8a-d8006843c2d6.pdf" TargetMode="External"/><Relationship Id="rId137" Type="http://schemas.openxmlformats.org/officeDocument/2006/relationships/hyperlink" Target="https://lk.regmed.ru/Register/GetPDFfromDA?ID=1558408561" TargetMode="External"/><Relationship Id="rId132" Type="http://schemas.openxmlformats.org/officeDocument/2006/relationships/hyperlink" Target="https://grls.rosminzdrav.ru/InstrImg/2020/12/15/1464278/%D0%9F_N015829_01%5B2012%5D_0.pdf" TargetMode="External"/><Relationship Id="rId131" Type="http://schemas.openxmlformats.org/officeDocument/2006/relationships/hyperlink" Target="https://grls.rosminzdrav.ru/InstrImg/2020/4/29/1456610/%D0%9F_N013850_01%5B2014%5D_0.pdf" TargetMode="External"/><Relationship Id="rId130" Type="http://schemas.openxmlformats.org/officeDocument/2006/relationships/hyperlink" Target="https://grls.rosminzdrav.ru/InstrImg/2023/07/19/1495141/8a2ba9a0-eb39-4368-9a0d-f81451183bb0.pdf" TargetMode="External"/><Relationship Id="rId136" Type="http://schemas.openxmlformats.org/officeDocument/2006/relationships/hyperlink" Target="https://grls.rosminzdrav.ru/InstrImg/2023/02/09/1490961/74e94624-eabc-450e-bf32-2c1ddaca2be5.pdf" TargetMode="External"/><Relationship Id="rId135" Type="http://schemas.openxmlformats.org/officeDocument/2006/relationships/hyperlink" Target="https://grls.rosminzdrav.ru/InstrImg/2020/12/18/1464410/%D0%9F_N014361_01%5B2020%5D_0.pdf" TargetMode="External"/><Relationship Id="rId134" Type="http://schemas.openxmlformats.org/officeDocument/2006/relationships/hyperlink" Target="mailto:savinova@vaccina.info" TargetMode="External"/><Relationship Id="rId133" Type="http://schemas.openxmlformats.org/officeDocument/2006/relationships/hyperlink" Target="https://grls.rosminzdrav.ru/InstrImg/2016/6/9/1308974/%D0%9B%D0%A1%D0%A0-003210_07%5B2018%5D_0.pdf" TargetMode="External"/><Relationship Id="rId62" Type="http://schemas.openxmlformats.org/officeDocument/2006/relationships/hyperlink" Target="https://grls.rosminzdrav.ru/InstrImg/2022/07/11/1482961/91a975c9-b5b0-4f4e-8827-f5683ed7c461.pdf" TargetMode="External"/><Relationship Id="rId61" Type="http://schemas.openxmlformats.org/officeDocument/2006/relationships/hyperlink" Target="https://lk.regmed.ru/Register/GetPDFfromDA?ID=1509638211" TargetMode="External"/><Relationship Id="rId64" Type="http://schemas.openxmlformats.org/officeDocument/2006/relationships/hyperlink" Target="https://grls.rosminzdrav.ru/InstrImg/2025/07/25/1519625/ca601e77-829c-48a9-b9b5-204e5b86aa88.pdf" TargetMode="External"/><Relationship Id="rId63" Type="http://schemas.openxmlformats.org/officeDocument/2006/relationships/hyperlink" Target="mailto:savinova@vaccina.info" TargetMode="External"/><Relationship Id="rId66" Type="http://schemas.openxmlformats.org/officeDocument/2006/relationships/hyperlink" Target="https://lk.regmed.ru/Register/GetPDFfromDA?ID=1649843881" TargetMode="External"/><Relationship Id="rId172" Type="http://schemas.openxmlformats.org/officeDocument/2006/relationships/hyperlink" Target="https://grls.rosminzdrav.ru/InstrImg/2025/06/02/1517810/7b7b0a6f-2d36-481e-a964-4e8d04031cd7.pdf" TargetMode="External"/><Relationship Id="rId65" Type="http://schemas.openxmlformats.org/officeDocument/2006/relationships/hyperlink" Target="https://grls.rosminzdrav.ru/InstrImg/2024/12/19/1512043/59e764b9-60fd-455d-b6fc-d0056460286e.pdf" TargetMode="External"/><Relationship Id="rId171" Type="http://schemas.openxmlformats.org/officeDocument/2006/relationships/hyperlink" Target="https://grls.rosminzdrav.ru/InstrImg/2020/06/18/1452053/3993efd1-cdd7-4127-88ae-330ac7a6d1c1.pdf" TargetMode="External"/><Relationship Id="rId68" Type="http://schemas.openxmlformats.org/officeDocument/2006/relationships/hyperlink" Target="https://grls.rosminzdrav.ru/InstrImg/2017/6/22/1417297/%D0%9B%D0%A1-001296%5B2012%5D_0.pdf" TargetMode="External"/><Relationship Id="rId170" Type="http://schemas.openxmlformats.org/officeDocument/2006/relationships/hyperlink" Target="https://lk.regmed.ru/Register/GetPDFfromDA?ID=1634791611" TargetMode="External"/><Relationship Id="rId67" Type="http://schemas.openxmlformats.org/officeDocument/2006/relationships/hyperlink" Target="https://grls.rosminzdrav.ru/InstrImg/2022/11/25/1488723/80c7b6fb-3d8f-4ee9-9610-da77ce371e71.pdf" TargetMode="External"/><Relationship Id="rId60" Type="http://schemas.openxmlformats.org/officeDocument/2006/relationships/hyperlink" Target="https://grls.rosminzdrav.ru/InstrImg/2021/1/12/1464953/%D0%9B%D0%9F-001412%5B2019%5D_0.pdf" TargetMode="External"/><Relationship Id="rId165" Type="http://schemas.openxmlformats.org/officeDocument/2006/relationships/hyperlink" Target="https://grls.rosminzdrav.ru/InstrImg/2020/11/25/146561/742bfd83-5da9-4e9c-bbb5-b9de800c21fa.pdf" TargetMode="External"/><Relationship Id="rId69" Type="http://schemas.openxmlformats.org/officeDocument/2006/relationships/hyperlink" Target="https://grls.rosminzdrav.ru/InstrImg/2022/11/25/1488637/081df120-9112-42bd-a1fc-c7b9aa3e2987.pdf" TargetMode="External"/><Relationship Id="rId164" Type="http://schemas.openxmlformats.org/officeDocument/2006/relationships/hyperlink" Target="https://grls.rosminzdrav.ru/InstrImg/2020/11/20/1414272/ad633910-6fd8-473c-8c81-dc945f343f42.pdf" TargetMode="External"/><Relationship Id="rId163" Type="http://schemas.openxmlformats.org/officeDocument/2006/relationships/hyperlink" Target="https://grls.rosminzdrav.ru/InstrImg/2020/05/28/37407/eca15fe8-8706-4bd3-9148-1f54c5ab52ed.pdf" TargetMode="External"/><Relationship Id="rId162" Type="http://schemas.openxmlformats.org/officeDocument/2006/relationships/hyperlink" Target="https://grls.rosminzdrav.ru/InstrImg/2020/06/01/1422432/8314c8e6-25f4-4bd2-97f0-1a3b881e7dcb.pdf" TargetMode="External"/><Relationship Id="rId169" Type="http://schemas.openxmlformats.org/officeDocument/2006/relationships/hyperlink" Target="https://grls.rosminzdrav.ru/InstrImg/2020/11/25/140879/f4484511-f351-42f9-8a7a-85a995f31517.pdf" TargetMode="External"/><Relationship Id="rId168" Type="http://schemas.openxmlformats.org/officeDocument/2006/relationships/hyperlink" Target="https://grls.rosminzdrav.ru/InstrImg/2025/03/27/1515398/ec0df501-9186-4e20-ae68-c07f28302f7b.pdf" TargetMode="External"/><Relationship Id="rId167" Type="http://schemas.openxmlformats.org/officeDocument/2006/relationships/hyperlink" Target="https://grls.rosminzdrav.ru/InstrImg/2025/02/28/1514525/002c6594-b19d-4b5a-a79c-60853ca8612c.pdf" TargetMode="External"/><Relationship Id="rId166" Type="http://schemas.openxmlformats.org/officeDocument/2006/relationships/hyperlink" Target="https://grls.rosminzdrav.ru/InstrImg/2020/11/23/146563/3780d7de-b3a2-42ee-b652-ae7a04722a90.pdf" TargetMode="External"/><Relationship Id="rId51" Type="http://schemas.openxmlformats.org/officeDocument/2006/relationships/hyperlink" Target="https://lk.regmed.ru/Register/GetPDFfromDA?ID=1597558391" TargetMode="External"/><Relationship Id="rId50" Type="http://schemas.openxmlformats.org/officeDocument/2006/relationships/hyperlink" Target="https://grls.rosminzdrav.ru/InstrImg/2020/10/15/1462300/%D0%A0_N001586_01%5B2007%5D_0.pdf" TargetMode="External"/><Relationship Id="rId53" Type="http://schemas.openxmlformats.org/officeDocument/2006/relationships/hyperlink" Target="https://grls.rosminzdrav.ru/InstrImg/2025/06/19/1518378/557245be-23d7-4913-9af3-4fa130d3c97f.pdf" TargetMode="External"/><Relationship Id="rId52" Type="http://schemas.openxmlformats.org/officeDocument/2006/relationships/hyperlink" Target="mailto:savinova@vaccina.info" TargetMode="External"/><Relationship Id="rId55" Type="http://schemas.openxmlformats.org/officeDocument/2006/relationships/hyperlink" Target="https://lk.regmed.ru/Register/GetPDFfromDA?ID=1583272671" TargetMode="External"/><Relationship Id="rId161" Type="http://schemas.openxmlformats.org/officeDocument/2006/relationships/hyperlink" Target="https://grls.rosminzdrav.ru/InstrImg/2019/06/30/739/1fca1237-4a6a-4bdd-b176-7ef01c56c1bf.pdf" TargetMode="External"/><Relationship Id="rId54" Type="http://schemas.openxmlformats.org/officeDocument/2006/relationships/hyperlink" Target="https://grls.rosminzdrav.ru/InstrImg/2022/09/20/1485497/31812477-c020-47c0-9f2e-80268b27b29f.pdf" TargetMode="External"/><Relationship Id="rId160" Type="http://schemas.openxmlformats.org/officeDocument/2006/relationships/hyperlink" Target="https://grls.rosminzdrav.ru/InstrImg/2020/06/11/1206428/53252686-7415-4f30-bdba-632b434439f9.pdf" TargetMode="External"/><Relationship Id="rId57" Type="http://schemas.openxmlformats.org/officeDocument/2006/relationships/hyperlink" Target="https://lk.regmed.ru/Register/GetPDFfromDA?ID=1574028031" TargetMode="External"/><Relationship Id="rId56" Type="http://schemas.openxmlformats.org/officeDocument/2006/relationships/hyperlink" Target="https://lk.regmed.ru/Register/GetPDFfromDA?ID=1581523381" TargetMode="External"/><Relationship Id="rId159" Type="http://schemas.openxmlformats.org/officeDocument/2006/relationships/hyperlink" Target="https://grls.rosminzdrav.ru/InstrImg/2024/01/23/1501030/43ed9d31-44e7-403a-a977-d714a002b9c6.pdf" TargetMode="External"/><Relationship Id="rId59" Type="http://schemas.openxmlformats.org/officeDocument/2006/relationships/hyperlink" Target="https://lk.regmed.ru/Register/GetPDFfromDA?ID=1544529771" TargetMode="External"/><Relationship Id="rId154" Type="http://schemas.openxmlformats.org/officeDocument/2006/relationships/hyperlink" Target="https://grls.rosminzdrav.ru/InstrImg/2026/04/08/1528373/3fb2f386-4fb1-4866-bc9c-0268096bb4fc.pdf" TargetMode="External"/><Relationship Id="rId58" Type="http://schemas.openxmlformats.org/officeDocument/2006/relationships/hyperlink" Target="https://lk.regmed.ru/Register/GetPDFfromDA?ID=1594767771" TargetMode="External"/><Relationship Id="rId153" Type="http://schemas.openxmlformats.org/officeDocument/2006/relationships/hyperlink" Target="https://grls.rosminzdrav.ru/InstrImg/2023/11/15/1499083/aedb6c35-3db8-494a-a41e-8ffc737dc35b.pdf" TargetMode="External"/><Relationship Id="rId152" Type="http://schemas.openxmlformats.org/officeDocument/2006/relationships/hyperlink" Target="https://grls.rosminzdrav.ru/InstrImg/2025/01/09/1512384/c6523a43-f889-4421-a55b-e3e8be3bdc34.pdf" TargetMode="External"/><Relationship Id="rId151" Type="http://schemas.openxmlformats.org/officeDocument/2006/relationships/hyperlink" Target="https://grls.rosminzdrav.ru/InstrImg/2026/05/19/1529992/3e4bff0f-b904-49bd-8f8c-cf901c4749df.pdf" TargetMode="External"/><Relationship Id="rId158" Type="http://schemas.openxmlformats.org/officeDocument/2006/relationships/hyperlink" Target="https://grls.rosminzdrav.ru/InstrImg/2025/12/30/1524963/862ae1b6-e8bc-417c-8173-0fa0ff6a6e52.pdf" TargetMode="External"/><Relationship Id="rId157" Type="http://schemas.openxmlformats.org/officeDocument/2006/relationships/hyperlink" Target="https://grls.rosminzdrav.ru/InstrImg/2020/06/03/37799/c7a7977e-fea0-4451-80db-bfd751ccf3f6.pdf" TargetMode="External"/><Relationship Id="rId156" Type="http://schemas.openxmlformats.org/officeDocument/2006/relationships/hyperlink" Target="https://grls.rosminzdrav.ru/InstrImg/2019/10/17/1448631/%D0%9B%D0%9F-001290%5B2017%5D_0.pdf" TargetMode="External"/><Relationship Id="rId155" Type="http://schemas.openxmlformats.org/officeDocument/2006/relationships/hyperlink" Target="https://grls.rosminzdrav.ru/InstrImg/2018/11/10/1426168/%D0%A0_N000460_01%5B2018%5D_0.pdf" TargetMode="External"/><Relationship Id="rId107" Type="http://schemas.openxmlformats.org/officeDocument/2006/relationships/hyperlink" Target="mailto:savinova@vaccina.info" TargetMode="External"/><Relationship Id="rId106" Type="http://schemas.openxmlformats.org/officeDocument/2006/relationships/hyperlink" Target="https://grls.rosminzdrav.ru/InstrImg/2023/03/01/1491468/c8da2905-b80e-470c-adc7-c40c03707ddd.pdf" TargetMode="External"/><Relationship Id="rId105" Type="http://schemas.openxmlformats.org/officeDocument/2006/relationships/hyperlink" Target="https://grls.rosminzdrav.ru/InstrImg/2026/01/22/1525392/c4730a97-f7f4-406f-954c-6a6bed44be35.pdf" TargetMode="External"/><Relationship Id="rId104" Type="http://schemas.openxmlformats.org/officeDocument/2006/relationships/hyperlink" Target="https://grls.rosminzdrav.ru/InstrImg/2022/07/01/1482554/5f33ae33-eaa6-4ca5-aed1-e39900dc85a6.pdf" TargetMode="External"/><Relationship Id="rId109" Type="http://schemas.openxmlformats.org/officeDocument/2006/relationships/hyperlink" Target="https://grls.rosminzdrav.ru/InstrImg/2020/11/27/1463649/%D0%9B%D0%9F-000499%5B2016%5D_0.pdf" TargetMode="External"/><Relationship Id="rId108" Type="http://schemas.openxmlformats.org/officeDocument/2006/relationships/hyperlink" Target="https://lk.regmed.ru/Register/GetPDFfromDA?ID=1641359721" TargetMode="External"/><Relationship Id="rId103" Type="http://schemas.openxmlformats.org/officeDocument/2006/relationships/hyperlink" Target="https://grls.rosminzdrav.ru/InstrImg/2025/06/20/1518412/cd0f3dff-5242-4a3d-b71e-22447afe0e73.pdf" TargetMode="External"/><Relationship Id="rId102" Type="http://schemas.openxmlformats.org/officeDocument/2006/relationships/hyperlink" Target="https://grls.rosminzdrav.ru/InstrImg/2022/10/26/1480925/bbce1055-ce8d-4cf1-8ce2-d5a008359d42.pdf" TargetMode="External"/><Relationship Id="rId101" Type="http://schemas.openxmlformats.org/officeDocument/2006/relationships/hyperlink" Target="https://grls.rosminzdrav.ru/InstrImg/2026/02/03/1525996/748a2896-887a-40f1-82c0-510ac345461d.pdf" TargetMode="External"/><Relationship Id="rId100" Type="http://schemas.openxmlformats.org/officeDocument/2006/relationships/hyperlink" Target="https://grls.rosminzdrav.ru/InstrImg/2021/6/4/1469733/%D0%A0_N000661_01%5B2017%5D_0.pdf" TargetMode="External"/><Relationship Id="rId129" Type="http://schemas.openxmlformats.org/officeDocument/2006/relationships/hyperlink" Target="mailto:savinova@vaccina.info" TargetMode="External"/><Relationship Id="rId128" Type="http://schemas.openxmlformats.org/officeDocument/2006/relationships/hyperlink" Target="https://grls.rosminzdrav.ru/InstrImg/2019/8/14/1445562/%D0%9F_N013657_01%5B2009%5D_0.pdf" TargetMode="External"/><Relationship Id="rId127" Type="http://schemas.openxmlformats.org/officeDocument/2006/relationships/hyperlink" Target="https://grls.rosminzdrav.ru/InstrImg/2019/8/15/1445618/%D0%9F_N015312_01%5B2010%5D_0.pdf" TargetMode="External"/><Relationship Id="rId126" Type="http://schemas.openxmlformats.org/officeDocument/2006/relationships/hyperlink" Target="https://grls.rosminzdrav.ru/InstrImg/2023/07/13/1494926/d8440e50-44f6-4e4b-a50d-64608384e586.pdf" TargetMode="External"/><Relationship Id="rId121" Type="http://schemas.openxmlformats.org/officeDocument/2006/relationships/hyperlink" Target="https://lk.regmed.ru/Register/GetPDFfromDA?ID=1497046991" TargetMode="External"/><Relationship Id="rId120" Type="http://schemas.openxmlformats.org/officeDocument/2006/relationships/hyperlink" Target="https://grls.rosminzdrav.ru/InstrImg/2019/06/29/1424317/a2b80c77-0857-4a1d-a948-36a987511e54.pdf" TargetMode="External"/><Relationship Id="rId125" Type="http://schemas.openxmlformats.org/officeDocument/2006/relationships/hyperlink" Target="https://lk.regmed.ru/Register/GetPDFfromDA?ID=1574006211" TargetMode="External"/><Relationship Id="rId124" Type="http://schemas.openxmlformats.org/officeDocument/2006/relationships/hyperlink" Target="https://grls.rosminzdrav.ru/InstrImg/2026/01/16/1525169/a5f21ff0-2d7c-4ab8-8025-1ccbc0cf7cc6.pdf" TargetMode="External"/><Relationship Id="rId123" Type="http://schemas.openxmlformats.org/officeDocument/2006/relationships/hyperlink" Target="https://grls.rosminzdrav.ru/InstrImg/2021/04/08/1467900/c382c9c7-0b55-4bb8-a3af-a3be999c3012.pdf" TargetMode="External"/><Relationship Id="rId122" Type="http://schemas.openxmlformats.org/officeDocument/2006/relationships/hyperlink" Target="https://grls.rosminzdrav.ru/InstrImg/2025/06/02/1517806/3c9102ff-eafa-47bc-b83f-eb05cfac1092.pdf" TargetMode="External"/><Relationship Id="rId95" Type="http://schemas.openxmlformats.org/officeDocument/2006/relationships/hyperlink" Target="https://grls.rosminzdrav.ru/InstrImg/2020/11/27/1463688/%D0%A0_N002481_01%5B2020%5D_0.pdf" TargetMode="External"/><Relationship Id="rId94" Type="http://schemas.openxmlformats.org/officeDocument/2006/relationships/hyperlink" Target="https://grls.rosminzdrav.ru/InstrImg/2021/09/20/1473405/41395d1f-d6e8-41d5-88fe-a1a29b28be83.pdf" TargetMode="External"/><Relationship Id="rId97" Type="http://schemas.openxmlformats.org/officeDocument/2006/relationships/hyperlink" Target="https://grls.rosminzdrav.ru/InstrImg/2025/02/06/1513573/c7fd0ba6-d018-4726-b9e2-1ae791edec76.pdf" TargetMode="External"/><Relationship Id="rId96" Type="http://schemas.openxmlformats.org/officeDocument/2006/relationships/hyperlink" Target="mailto:savinova@vaccina.info" TargetMode="External"/><Relationship Id="rId99" Type="http://schemas.openxmlformats.org/officeDocument/2006/relationships/hyperlink" Target="https://grls.rosminzdrav.ru/InstrImg/2026/02/06/1526184/204c2bdf-4b3b-45c5-b641-f7ce1ae753b3.pdf" TargetMode="External"/><Relationship Id="rId98" Type="http://schemas.openxmlformats.org/officeDocument/2006/relationships/hyperlink" Target="https://grls.rosminzdrav.ru/InstrImg/2022/12/12/1489555/281290ac-8b7f-4930-a191-7eff9a7cb147.pdf" TargetMode="External"/><Relationship Id="rId91" Type="http://schemas.openxmlformats.org/officeDocument/2006/relationships/hyperlink" Target="https://grls.rosminzdrav.ru/InstrImg/2025/04/08/1515924/2cb5904f-0eb6-4463-9e6d-a2aa95a7192c.pdf" TargetMode="External"/><Relationship Id="rId90" Type="http://schemas.openxmlformats.org/officeDocument/2006/relationships/hyperlink" Target="https://grls.rosminzdrav.ru/InstrImg/2020/06/08/86489/f8c71c84-d7eb-4cba-990a-8c9e218ca432.pdf" TargetMode="External"/><Relationship Id="rId93" Type="http://schemas.openxmlformats.org/officeDocument/2006/relationships/hyperlink" Target="https://grls.rosminzdrav.ru/InstrImg/2020/08/24/86488/1ed689ab-55e8-4379-9b04-687068382c27.pdf" TargetMode="External"/><Relationship Id="rId92" Type="http://schemas.openxmlformats.org/officeDocument/2006/relationships/hyperlink" Target="https://grls.rosminzdrav.ru/InstrImg/2019/10/25/1448929/%D0%A0_N001273_01%5B2019%5D_0.pdf" TargetMode="External"/><Relationship Id="rId118" Type="http://schemas.openxmlformats.org/officeDocument/2006/relationships/hyperlink" Target="mailto:savinova@vaccina.info" TargetMode="External"/><Relationship Id="rId117" Type="http://schemas.openxmlformats.org/officeDocument/2006/relationships/hyperlink" Target="https://lk.regmed.ru/Register/GetPDFfromDA?ID=1545562701" TargetMode="External"/><Relationship Id="rId116" Type="http://schemas.openxmlformats.org/officeDocument/2006/relationships/hyperlink" Target="https://grls.rosminzdrav.ru/InstrImg/2025/04/07/1515838/1b86346c-ace0-4de8-a757-2d3e7e4604e4.pdf" TargetMode="External"/><Relationship Id="rId115" Type="http://schemas.openxmlformats.org/officeDocument/2006/relationships/hyperlink" Target="https://lk.regmed.ru/Register/GetPDFfromDA?ID=1512826451" TargetMode="External"/><Relationship Id="rId119" Type="http://schemas.openxmlformats.org/officeDocument/2006/relationships/hyperlink" Target="https://grls.rosminzdrav.ru/InstrImg/2020/12/02/1423524/629a6384-1db2-499f-afb1-e87dac723b9a.pdf" TargetMode="External"/><Relationship Id="rId110" Type="http://schemas.openxmlformats.org/officeDocument/2006/relationships/hyperlink" Target="https://grls.rosminzdrav.ru/InstrImg/2026/03/04/1527238/fe2adafe-5094-4da2-bbba-1a640a0ceb4e.pdf" TargetMode="External"/><Relationship Id="rId114" Type="http://schemas.openxmlformats.org/officeDocument/2006/relationships/hyperlink" Target="https://grls.rosminzdrav.ru/InstrImg/2022/09/09/1485745/6205a5ae-4bbb-42bf-84d2-93c4042be1cb.pdf" TargetMode="External"/><Relationship Id="rId113" Type="http://schemas.openxmlformats.org/officeDocument/2006/relationships/hyperlink" Target="https://grls.rosminzdrav.ru/InstrImg/2023/04/13/1492490/163b41fd-d4cb-4d41-b651-49a0c6b9110f.pdf" TargetMode="External"/><Relationship Id="rId112" Type="http://schemas.openxmlformats.org/officeDocument/2006/relationships/hyperlink" Target="https://lk.regmed.ru/Register/GetPDFfromDA?ID=1596978511" TargetMode="External"/><Relationship Id="rId111" Type="http://schemas.openxmlformats.org/officeDocument/2006/relationships/hyperlink" Target="https://grls.rosminzdrav.ru/InstrImg/2025/06/16/1518193/6df836e1-9750-4ca5-be05-590641b808ac.pdf"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grls.rosminzdrav.ru/InstrImg/2024/11/08/1510402/a0b91d84-8dc8-4b0b-9293-7245326bb57d.pdf" TargetMode="External"/><Relationship Id="rId42" Type="http://schemas.openxmlformats.org/officeDocument/2006/relationships/hyperlink" Target="mailto:savinova@vaccina.info" TargetMode="External"/><Relationship Id="rId41" Type="http://schemas.openxmlformats.org/officeDocument/2006/relationships/hyperlink" Target="https://grls.rosminzdrav.ru/InstrImg/2023/11/03/1498860/e40e979e-c456-4cd1-abd9-439878d7e6e0.pdf" TargetMode="External"/><Relationship Id="rId44" Type="http://schemas.openxmlformats.org/officeDocument/2006/relationships/hyperlink" Target="https://grls.rosminzdrav.ru/InstrImg/2021/12/14/1476333/f3799188-0d95-48db-a0ce-bb1396d44765.pdf" TargetMode="External"/><Relationship Id="rId43" Type="http://schemas.openxmlformats.org/officeDocument/2006/relationships/hyperlink" Target="https://grls.rosminzdrav.ru/InstrImg/2026/02/10/1526281/07a2f661-6334-4894-8117-0ad7563ba4ef.pdf" TargetMode="External"/><Relationship Id="rId46" Type="http://schemas.openxmlformats.org/officeDocument/2006/relationships/hyperlink" Target="https://grls.rosminzdrav.ru/InstrImg/2024/10/18/1509959/c662564d-f927-489b-910f-61c762d2cbd7.pdf" TargetMode="External"/><Relationship Id="rId45" Type="http://schemas.openxmlformats.org/officeDocument/2006/relationships/hyperlink" Target="https://grls.rosminzdrav.ru/InstrImg/2026/03/05/1527284/4a34f8fb-090f-4a41-bab9-0d4194977316.pdf" TargetMode="External"/><Relationship Id="rId48" Type="http://schemas.openxmlformats.org/officeDocument/2006/relationships/hyperlink" Target="https://grls.rosminzdrav.ru/InstrImg/2024/05/16/1504527/855b9f93-a273-4ca6-a45b-4f8dd66bd17d.pdf" TargetMode="External"/><Relationship Id="rId187" Type="http://schemas.openxmlformats.org/officeDocument/2006/relationships/hyperlink" Target="https://grls.rosminzdrav.ru/InstrImg/2026/04/13/1528563/1136dc5f-fe53-46a4-ba36-20995e399a16.pdf" TargetMode="External"/><Relationship Id="rId47" Type="http://schemas.openxmlformats.org/officeDocument/2006/relationships/hyperlink" Target="https://grls.rosminzdrav.ru/InstrImg/2025/05/26/1517557/95b8d8b7-23f5-4e99-a4f7-efc667459b50.pdf" TargetMode="External"/><Relationship Id="rId186" Type="http://schemas.openxmlformats.org/officeDocument/2006/relationships/hyperlink" Target="https://grls.rosminzdrav.ru/InstrImg/2025/07/15/1519302/c7dac0d8-df0c-484e-99a0-d7b6422ab318.pdf" TargetMode="External"/><Relationship Id="rId185" Type="http://schemas.openxmlformats.org/officeDocument/2006/relationships/hyperlink" Target="https://grls.rosminzdrav.ru/InstrImg/2021/09/20/1473405/41395d1f-d6e8-41d5-88fe-a1a29b28be83.pdf" TargetMode="External"/><Relationship Id="rId49" Type="http://schemas.openxmlformats.org/officeDocument/2006/relationships/hyperlink" Target="https://grls.rosminzdrav.ru/InstrImg/2025/12/30/1524922/f74ec015-a175-4792-8828-9d0c1f6547ab.pdf" TargetMode="External"/><Relationship Id="rId184" Type="http://schemas.openxmlformats.org/officeDocument/2006/relationships/hyperlink" Target="https://grls.rosminzdrav.ru/InstrImg/2025/04/04/1515791/731944c3-c908-4ee4-8479-026ab476fc4b.pdf" TargetMode="External"/><Relationship Id="rId189" Type="http://schemas.openxmlformats.org/officeDocument/2006/relationships/drawing" Target="../drawings/drawing6.xml"/><Relationship Id="rId188" Type="http://schemas.openxmlformats.org/officeDocument/2006/relationships/hyperlink" Target="https://grls.rosminzdrav.ru/InstrImg/2026/04/13/1528638/81dbfeae-d02c-4909-ae9d-1b3092cc89e9.pdf" TargetMode="External"/><Relationship Id="rId31" Type="http://schemas.openxmlformats.org/officeDocument/2006/relationships/hyperlink" Target="mailto:savinova@vaccina.info" TargetMode="External"/><Relationship Id="rId30" Type="http://schemas.openxmlformats.org/officeDocument/2006/relationships/hyperlink" Target="https://grls.rosminzdrav.ru/InstrImg/2019/8/6/1445331/%D0%9F_N011073%5B2014%5D_0.pdf" TargetMode="External"/><Relationship Id="rId33" Type="http://schemas.openxmlformats.org/officeDocument/2006/relationships/hyperlink" Target="https://grls.rosminzdrav.ru/InstrImg/2024/05/06/1504148/f9e7d2a4-783f-443b-a62e-29078cfb7066.pdf" TargetMode="External"/><Relationship Id="rId183" Type="http://schemas.openxmlformats.org/officeDocument/2006/relationships/hyperlink" Target="https://grls.rosminzdrav.ru/InstrImg/2025/03/14/1514899/44c72a47-2cd3-4a92-b136-0902c17fafb6.pdf" TargetMode="External"/><Relationship Id="rId32" Type="http://schemas.openxmlformats.org/officeDocument/2006/relationships/hyperlink" Target="https://grls.rosminzdrav.ru/InstrImg/2024/12/17/1512020/2a864a9a-4d20-4872-b696-45be6795479c.pdf" TargetMode="External"/><Relationship Id="rId182" Type="http://schemas.openxmlformats.org/officeDocument/2006/relationships/hyperlink" Target="https://grls.rosminzdrav.ru/InstrImg/2025/03/25/1515160/e4c206af-2701-4f99-a45f-09d998ef0935.pdf" TargetMode="External"/><Relationship Id="rId35" Type="http://schemas.openxmlformats.org/officeDocument/2006/relationships/hyperlink" Target="https://grls.rosminzdrav.ru/InstrImg/2022/03/24/1479420/567f4c1a-9b51-46b3-aa9d-6be72c91e48b.pdf" TargetMode="External"/><Relationship Id="rId181" Type="http://schemas.openxmlformats.org/officeDocument/2006/relationships/hyperlink" Target="https://grls.rosminzdrav.ru/InstrImg/2024/12/09/1511749/a4738d52-4ff6-4599-a566-530f55491e76.pdf" TargetMode="External"/><Relationship Id="rId34" Type="http://schemas.openxmlformats.org/officeDocument/2006/relationships/hyperlink" Target="https://grls.rosminzdrav.ru/InstrImg/2025/07/21/1519595/f7c8e9e3-baf4-4c2e-949f-a41b75a8ad7c.pdf" TargetMode="External"/><Relationship Id="rId180" Type="http://schemas.openxmlformats.org/officeDocument/2006/relationships/hyperlink" Target="https://grls.rosminzdrav.ru/InstrImg/2024/08/14/1507898/db0136d1-e26f-4e9e-9e19-b5bbe79e1c9c.pdf" TargetMode="External"/><Relationship Id="rId37" Type="http://schemas.openxmlformats.org/officeDocument/2006/relationships/hyperlink" Target="https://grls.rosminzdrav.ru/InstrImg/2020/11/12/37422/bb3f3b49-b450-42cf-a999-bcc087b2eb05.pdf" TargetMode="External"/><Relationship Id="rId176" Type="http://schemas.openxmlformats.org/officeDocument/2006/relationships/hyperlink" Target="https://grls.rosminzdrav.ru/InstrImg/2025/06/20/1518413/41c4a162-9126-495b-93df-fc2894a8a11f.pdf" TargetMode="External"/><Relationship Id="rId36" Type="http://schemas.openxmlformats.org/officeDocument/2006/relationships/hyperlink" Target="https://grls.rosminzdrav.ru/InstrImg/2023/01/09/1490224/e76560fa-e72e-49eb-8daf-91f3d1403e22.pdf" TargetMode="External"/><Relationship Id="rId175" Type="http://schemas.openxmlformats.org/officeDocument/2006/relationships/hyperlink" Target="https://grls.rosminzdrav.ru/InstrImg/2024/09/30/1509113/77c4bff0-a3f7-4713-8f46-c0fd6519847f.pdf" TargetMode="External"/><Relationship Id="rId39" Type="http://schemas.openxmlformats.org/officeDocument/2006/relationships/hyperlink" Target="https://grls.rosminzdrav.ru/InstrImg/2025/05/06/1510260/3226bda3-b919-4e7c-8c50-869db628161b.pdf" TargetMode="External"/><Relationship Id="rId174" Type="http://schemas.openxmlformats.org/officeDocument/2006/relationships/hyperlink" Target="https://grls.rosminzdrav.ru/InstrImg/2019/6/10/1440397/%D0%9F_N014879_01-2003%5B2003%5D_0.pdf" TargetMode="External"/><Relationship Id="rId38" Type="http://schemas.openxmlformats.org/officeDocument/2006/relationships/hyperlink" Target="https://grls.rosminzdrav.ru/InstrImg/2020/11/23/1413288/1b595bd5-6fb2-48d5-83c0-6dd6281b5f0f.pdf" TargetMode="External"/><Relationship Id="rId173" Type="http://schemas.openxmlformats.org/officeDocument/2006/relationships/hyperlink" Target="https://grls.rosminzdrav.ru/InstrImg/2025/03/25/1515266/f7896710-fb4c-49f0-9e20-d6272771ab13.pdf" TargetMode="External"/><Relationship Id="rId179" Type="http://schemas.openxmlformats.org/officeDocument/2006/relationships/hyperlink" Target="https://grls.rosminzdrav.ru/InstrImg/2025/12/30/1524963/862ae1b6-e8bc-417c-8173-0fa0ff6a6e52.pdf" TargetMode="External"/><Relationship Id="rId178" Type="http://schemas.openxmlformats.org/officeDocument/2006/relationships/hyperlink" Target="https://grls.rosminzdrav.ru/InstrImg/2025/07/09/1519029/0d8fd7ae-7b89-4160-9ecd-4b0646f6482f.pdf" TargetMode="External"/><Relationship Id="rId177" Type="http://schemas.openxmlformats.org/officeDocument/2006/relationships/hyperlink" Target="https://grls.rosminzdrav.ru/InstrImg/2025/06/16/1518163/105870c5-93ab-426a-9043-b14a77b3a9e1.pdf" TargetMode="External"/><Relationship Id="rId20" Type="http://schemas.openxmlformats.org/officeDocument/2006/relationships/hyperlink" Target="mailto:savinova@vaccina.info" TargetMode="External"/><Relationship Id="rId22" Type="http://schemas.openxmlformats.org/officeDocument/2006/relationships/hyperlink" Target="https://grls.rosminzdrav.ru/InstrImg/2026/05/07/1529632/54e13522-5efa-4c8c-a9b0-7ea539b4f9d1.pdf" TargetMode="External"/><Relationship Id="rId21" Type="http://schemas.openxmlformats.org/officeDocument/2006/relationships/hyperlink" Target="https://grls.rosminzdrav.ru/InstrImg/2024/10/09/1509268/65b9c02a-b2dc-4aaa-90b8-4d39a6b13948.pdf" TargetMode="External"/><Relationship Id="rId24" Type="http://schemas.openxmlformats.org/officeDocument/2006/relationships/hyperlink" Target="https://grls.rosminzdrav.ru/InstrImg/2024/08/15/1507980/8d222b22-41b7-4c91-91d7-df538cb9c42c.pdf" TargetMode="External"/><Relationship Id="rId23" Type="http://schemas.openxmlformats.org/officeDocument/2006/relationships/hyperlink" Target="https://grls.rosminzdrav.ru/InstrImg/2024/08/15/1507980/8d222b22-41b7-4c91-91d7-df538cb9c42c.pdf" TargetMode="External"/><Relationship Id="rId26" Type="http://schemas.openxmlformats.org/officeDocument/2006/relationships/hyperlink" Target="https://grls.rosminzdrav.ru/InstrImg/2021/10/06/1474147/01e6e663-0f1b-4047-bdc9-365d6ba31c8a.pdf" TargetMode="External"/><Relationship Id="rId25" Type="http://schemas.openxmlformats.org/officeDocument/2006/relationships/hyperlink" Target="https://grls.rosminzdrav.ru/InstrImg/2021/10/06/1474149/b0b90cab-c4b4-46cc-966d-af929ca7275c.pdf" TargetMode="External"/><Relationship Id="rId28" Type="http://schemas.openxmlformats.org/officeDocument/2006/relationships/hyperlink" Target="https://grls.rosminzdrav.ru/InstrImg/2026/03/04/1527238/fe2adafe-5094-4da2-bbba-1a640a0ceb4e.pdf" TargetMode="External"/><Relationship Id="rId27" Type="http://schemas.openxmlformats.org/officeDocument/2006/relationships/hyperlink" Target="https://grls.rosminzdrav.ru/InstrImg/2025/06/16/1518193/6df836e1-9750-4ca5-be05-590641b808ac.pdf" TargetMode="External"/><Relationship Id="rId29" Type="http://schemas.openxmlformats.org/officeDocument/2006/relationships/hyperlink" Target="https://grls.rosminzdrav.ru/InstrImg/2019/8/6/1445331/%D0%9F_N011073%5B2014%5D_0.pdf" TargetMode="External"/><Relationship Id="rId11" Type="http://schemas.openxmlformats.org/officeDocument/2006/relationships/hyperlink" Target="https://grls.rosminzdrav.ru/InstrImg/2020/05/28/10700/9d141b34-47e7-48c8-9480-616cbbc792fc.pdf" TargetMode="External"/><Relationship Id="rId10" Type="http://schemas.openxmlformats.org/officeDocument/2006/relationships/hyperlink" Target="https://grls.rosminzdrav.ru/InstrImg/2017/4/26/1416322/%D0%A0_N002666_01%5B2013%5D_0.pdf" TargetMode="External"/><Relationship Id="rId13" Type="http://schemas.openxmlformats.org/officeDocument/2006/relationships/hyperlink" Target="https://grls.rosminzdrav.ru/InstrImg/2025/12/04/1523945/374687b9-516b-4eb9-9e34-640e88c2e1e2.pdf" TargetMode="External"/><Relationship Id="rId12" Type="http://schemas.openxmlformats.org/officeDocument/2006/relationships/hyperlink" Target="https://grls.rosminzdrav.ru/InstrImg/2026/05/27/1530421/6bdc8421-6c08-4bf7-be7f-0ae5d96a478d.pdf" TargetMode="External"/><Relationship Id="rId15" Type="http://schemas.openxmlformats.org/officeDocument/2006/relationships/hyperlink" Target="https://grls.rosminzdrav.ru/InstrImg/2024/07/31/1507315/766d25c1-1588-432d-8847-d7879b5f35ca.pdf" TargetMode="External"/><Relationship Id="rId14" Type="http://schemas.openxmlformats.org/officeDocument/2006/relationships/hyperlink" Target="https://grls.rosminzdrav.ru/InstrImg/2026/06/02/1530636/e301156c-c7d5-45d7-bf58-5346c270c493.pdf" TargetMode="External"/><Relationship Id="rId17" Type="http://schemas.openxmlformats.org/officeDocument/2006/relationships/hyperlink" Target="https://grls.rosminzdrav.ru/InstrImg/2024/12/16/1511954/43eafc3c-33ac-4e33-969c-259e9a175ebb.pdf" TargetMode="External"/><Relationship Id="rId16" Type="http://schemas.openxmlformats.org/officeDocument/2006/relationships/hyperlink" Target="https://grls.rosminzdrav.ru/InstrImg/2024/08/12/1507772/3256d497-6448-48ab-a45d-8d9537a5cf72.pdf" TargetMode="External"/><Relationship Id="rId19" Type="http://schemas.openxmlformats.org/officeDocument/2006/relationships/hyperlink" Target="https://grls.rosminzdrav.ru/InstrImg/2024/06/26/1506257/5ced0007-6f34-412c-9709-b1f6af04e5f6.pdf" TargetMode="External"/><Relationship Id="rId18" Type="http://schemas.openxmlformats.org/officeDocument/2006/relationships/hyperlink" Target="https://grls.rosminzdrav.ru/InstrImg/2018/7/19/1423955/%D0%A0_N002668_01%5B2012%5D_0.pdf" TargetMode="External"/><Relationship Id="rId84" Type="http://schemas.openxmlformats.org/officeDocument/2006/relationships/hyperlink" Target="https://grls.rosminzdrav.ru/InstrImg/2024/10/15/1509551/1a898738-6a53-4ed9-91c3-69012260bf5e.pdf" TargetMode="External"/><Relationship Id="rId83" Type="http://schemas.openxmlformats.org/officeDocument/2006/relationships/hyperlink" Target="https://grls.rosminzdrav.ru/InstrImg/2022/11/30/1489210/e0b55ee6-f6b6-4a34-8719-972e455bb957.pdf" TargetMode="External"/><Relationship Id="rId86" Type="http://schemas.openxmlformats.org/officeDocument/2006/relationships/hyperlink" Target="mailto:savinova@vaccina.info" TargetMode="External"/><Relationship Id="rId85" Type="http://schemas.openxmlformats.org/officeDocument/2006/relationships/hyperlink" Target="https://grls.rosminzdrav.ru/InstrImg/2021/10/22/1474770/84220d47-9ed2-44e3-a2d3-89170a0f96d8.pdf" TargetMode="External"/><Relationship Id="rId88" Type="http://schemas.openxmlformats.org/officeDocument/2006/relationships/hyperlink" Target="https://grls.rosminzdrav.ru/InstrImg/2020/06/13/86486/607fd14a-da55-42fe-8db7-52767fd34cc2.pdf" TargetMode="External"/><Relationship Id="rId150" Type="http://schemas.openxmlformats.org/officeDocument/2006/relationships/hyperlink" Target="https://grls.rosminzdrav.ru/InstrImg/2023/08/17/1496293/a8893a4d-70e3-43dc-bc8a-446baf05ffc0.pdf" TargetMode="External"/><Relationship Id="rId87" Type="http://schemas.openxmlformats.org/officeDocument/2006/relationships/hyperlink" Target="https://grls.rosminzdrav.ru/InstrImg/2021/07/22/86490/fa07de3f-3b07-40e8-b027-068e2a19359f.pdf" TargetMode="External"/><Relationship Id="rId89" Type="http://schemas.openxmlformats.org/officeDocument/2006/relationships/hyperlink" Target="https://grls.rosminzdrav.ru/InstrImg/2021/7/6/1470535/%D0%9B%D0%A1%D0%A0-005759_08%5B2020%5D_0.pdf" TargetMode="External"/><Relationship Id="rId80" Type="http://schemas.openxmlformats.org/officeDocument/2006/relationships/hyperlink" Target="https://grls.rosminzdrav.ru/InstrImg/2024/08/26/1508239/28d94c1f-946f-48d3-9708-cc6d7df231fc.pdf" TargetMode="External"/><Relationship Id="rId82" Type="http://schemas.openxmlformats.org/officeDocument/2006/relationships/hyperlink" Target="https://grls.rosminzdrav.ru/InstrImg/2025/06/10/1518039/2f088da7-8272-4666-bcb6-a2e0826808b5.pdf" TargetMode="External"/><Relationship Id="rId81" Type="http://schemas.openxmlformats.org/officeDocument/2006/relationships/hyperlink" Target="https://grls.rosminzdrav.ru/InstrImg/2025/03/28/1515433/7cb66dc6-27dc-4004-ae84-1159c993bc84.pdf" TargetMode="External"/><Relationship Id="rId1" Type="http://schemas.openxmlformats.org/officeDocument/2006/relationships/hyperlink" Target="https://grls.rosminzdrav.ru/InstrImg/2024/07/22/1506963/e3ee888d-af33-4b32-88c3-937587aac4f5.pdf" TargetMode="External"/><Relationship Id="rId2" Type="http://schemas.openxmlformats.org/officeDocument/2006/relationships/hyperlink" Target="mailto:savinova@vaccina.info" TargetMode="External"/><Relationship Id="rId3" Type="http://schemas.openxmlformats.org/officeDocument/2006/relationships/hyperlink" Target="https://grls.rosminzdrav.ru/InstrImg/2024/07/22/1506933/80d8215a-ed41-4eea-aa3e-718b4060dc85.pdf" TargetMode="External"/><Relationship Id="rId149" Type="http://schemas.openxmlformats.org/officeDocument/2006/relationships/hyperlink" Target="https://grls.rosminzdrav.ru/InstrImg/2023/02/06/1490994/ce58d78b-8090-4070-9a74-71165b1e2e38.pdf" TargetMode="External"/><Relationship Id="rId4" Type="http://schemas.openxmlformats.org/officeDocument/2006/relationships/hyperlink" Target="https://grls.rosminzdrav.ru/InstrImg/2025/05/19/1517351/3bec22d2-65bc-4a94-9482-413901e57760.pdf" TargetMode="External"/><Relationship Id="rId148" Type="http://schemas.openxmlformats.org/officeDocument/2006/relationships/hyperlink" Target="https://grls.rosminzdrav.ru/InstrImg/2023/06/13/1494264/eeb87308-b11b-431c-949e-8c4c675f0057.pdf" TargetMode="External"/><Relationship Id="rId9" Type="http://schemas.openxmlformats.org/officeDocument/2006/relationships/hyperlink" Target="mailto:savinova@vaccina.info" TargetMode="External"/><Relationship Id="rId143" Type="http://schemas.openxmlformats.org/officeDocument/2006/relationships/hyperlink" Target="https://grls.rosminzdrav.ru/InstrImg/2020/06/16/1416543/cc00d61d-e7e3-4d66-bfd4-02dc184c0de6.pdf" TargetMode="External"/><Relationship Id="rId142" Type="http://schemas.openxmlformats.org/officeDocument/2006/relationships/hyperlink" Target="https://grls.rosminzdrav.ru/InstrImg/2025/10/30/1523008/59dd5156-957b-4de5-86c8-83d284b70f65.pdf" TargetMode="External"/><Relationship Id="rId141" Type="http://schemas.openxmlformats.org/officeDocument/2006/relationships/hyperlink" Target="https://grls.rosminzdrav.ru/InstrImg/2026/01/22/1525402/07c3adec-cd5e-49f6-9bc3-7a3e029cd98c.pdf" TargetMode="External"/><Relationship Id="rId140" Type="http://schemas.openxmlformats.org/officeDocument/2006/relationships/hyperlink" Target="https://grls.rosminzdrav.ru/InstrImg/2024/06/17/1505907/c78a0ec4-01f8-4da4-b2a0-954814a9748c.pdf" TargetMode="External"/><Relationship Id="rId5" Type="http://schemas.openxmlformats.org/officeDocument/2006/relationships/hyperlink" Target="https://grls.rosminzdrav.ru/InstrImg/2025/06/02/1517794/d7367d9e-e745-46a7-b297-5a093bf3738a.pdf" TargetMode="External"/><Relationship Id="rId147" Type="http://schemas.openxmlformats.org/officeDocument/2006/relationships/hyperlink" Target="https://grls.rosminzdrav.ru/InstrImg/2023/07/19/1495264/b9145336-501d-4fcb-b640-d0208471de88.pdf" TargetMode="External"/><Relationship Id="rId6" Type="http://schemas.openxmlformats.org/officeDocument/2006/relationships/hyperlink" Target="https://grls.rosminzdrav.ru/InstrImg/2024/04/26/1504040/c8eb3c33-845e-4af2-aeb5-f70dcdb3f339.pdf" TargetMode="External"/><Relationship Id="rId146" Type="http://schemas.openxmlformats.org/officeDocument/2006/relationships/hyperlink" Target="https://grls.rosminzdrav.ru/InstrImg/2024/10/10/1495965/c34940c7-6489-4f00-aa71-1d8d65873e99.pdf" TargetMode="External"/><Relationship Id="rId7" Type="http://schemas.openxmlformats.org/officeDocument/2006/relationships/hyperlink" Target="mailto:savinova@vaccina.info" TargetMode="External"/><Relationship Id="rId145" Type="http://schemas.openxmlformats.org/officeDocument/2006/relationships/hyperlink" Target="https://grls.rosminzdrav.ru/InstrImg/2024/01/16/1500845/f3aed6e9-b67f-4ab3-8b75-a59249c9cf67.pdf" TargetMode="External"/><Relationship Id="rId8" Type="http://schemas.openxmlformats.org/officeDocument/2006/relationships/hyperlink" Target="https://grls.rosminzdrav.ru/InstrImg/2024/06/11/1505783/fc76a782-eb1a-468c-a748-3f0e4fe0cd09.pdf" TargetMode="External"/><Relationship Id="rId144" Type="http://schemas.openxmlformats.org/officeDocument/2006/relationships/hyperlink" Target="https://grls.rosminzdrav.ru/InstrImg/2024/01/16/1500861/e47bff21-9b8c-4a34-9916-735867695d02.pdf" TargetMode="External"/><Relationship Id="rId73" Type="http://schemas.openxmlformats.org/officeDocument/2006/relationships/hyperlink" Target="https://grls.rosminzdrav.ru/InstrImg/2017/4/26/1416345/%D0%A0_N002667_01%5B2012%5D_0.pdf" TargetMode="External"/><Relationship Id="rId72" Type="http://schemas.openxmlformats.org/officeDocument/2006/relationships/hyperlink" Target="https://grls.rosminzdrav.ru/InstrImg/2024/12/05/1511721/ee78b171-6cf3-474c-9f58-0391a7a5b91f.pdf" TargetMode="External"/><Relationship Id="rId75" Type="http://schemas.openxmlformats.org/officeDocument/2006/relationships/hyperlink" Target="mailto:savinova@vaccina.info" TargetMode="External"/><Relationship Id="rId74" Type="http://schemas.openxmlformats.org/officeDocument/2006/relationships/hyperlink" Target="https://grls.rosminzdrav.ru/InstrImg/2021/1/19/1465274/%D0%9F_N012585_01%5B2014%5D_0.pdf" TargetMode="External"/><Relationship Id="rId77" Type="http://schemas.openxmlformats.org/officeDocument/2006/relationships/hyperlink" Target="https://grls.rosminzdrav.ru/InstrImg/2025/09/15/1521458/990be5c7-4178-4812-a999-fd00eaeb3d60.pdf" TargetMode="External"/><Relationship Id="rId76" Type="http://schemas.openxmlformats.org/officeDocument/2006/relationships/hyperlink" Target="https://grls.rosminzdrav.ru/InstrImg/2021/1/19/1465274/%D0%9F_N012585_01%5B2014%5D_0.pdf" TargetMode="External"/><Relationship Id="rId79" Type="http://schemas.openxmlformats.org/officeDocument/2006/relationships/hyperlink" Target="https://grls.rosminzdrav.ru/InstrImg/2024/08/16/1508014/5da724a9-973e-4af7-ad8f-b948fdbe4484.pdf" TargetMode="External"/><Relationship Id="rId78" Type="http://schemas.openxmlformats.org/officeDocument/2006/relationships/hyperlink" Target="https://grls.rosminzdrav.ru/InstrImg/2025/09/15/1521458/990be5c7-4178-4812-a999-fd00eaeb3d60.pdf" TargetMode="External"/><Relationship Id="rId71" Type="http://schemas.openxmlformats.org/officeDocument/2006/relationships/hyperlink" Target="https://grls.rosminzdrav.ru/InstrImg/2016/4/4/37565/%D0%9F_N015218_01%5B2009%5D_0.pdf" TargetMode="External"/><Relationship Id="rId70" Type="http://schemas.openxmlformats.org/officeDocument/2006/relationships/hyperlink" Target="https://grls.rosminzdrav.ru/InstrImg/2024/09/30/1509162/166a6ebe-876b-446c-851f-ece0d4da1ad9.pdf" TargetMode="External"/><Relationship Id="rId139" Type="http://schemas.openxmlformats.org/officeDocument/2006/relationships/hyperlink" Target="mailto:savinova@vaccina.info" TargetMode="External"/><Relationship Id="rId138" Type="http://schemas.openxmlformats.org/officeDocument/2006/relationships/hyperlink" Target="https://grls.rosminzdrav.ru/InstrImg/2023/03/14/1491812/185a1106-6649-4596-af55-b6b4c88e9969.pdf" TargetMode="External"/><Relationship Id="rId137" Type="http://schemas.openxmlformats.org/officeDocument/2006/relationships/hyperlink" Target="https://grls.rosminzdrav.ru/InstrImg/2024/03/05/1502513/2f9ab427-55f1-498e-aafd-eabedbaee219.pdf" TargetMode="External"/><Relationship Id="rId132" Type="http://schemas.openxmlformats.org/officeDocument/2006/relationships/hyperlink" Target="https://grls.rosminzdrav.ru/InstrImg/2020/12/15/1464278/%D0%9F_N015829_01%5B2017%5D_6.pdf" TargetMode="External"/><Relationship Id="rId131" Type="http://schemas.openxmlformats.org/officeDocument/2006/relationships/hyperlink" Target="https://grls.rosminzdrav.ru/InstrImg/2020/4/29/1456610/%D0%9F_N013850_01%5B2014%5D_0.pdf" TargetMode="External"/><Relationship Id="rId130" Type="http://schemas.openxmlformats.org/officeDocument/2006/relationships/hyperlink" Target="mailto:savinova@vaccina.info" TargetMode="External"/><Relationship Id="rId136" Type="http://schemas.openxmlformats.org/officeDocument/2006/relationships/hyperlink" Target="https://grls.rosminzdrav.ru/InstrImg/2023/02/09/1490961/74e94624-eabc-450e-bf32-2c1ddaca2be5.pdf" TargetMode="External"/><Relationship Id="rId135" Type="http://schemas.openxmlformats.org/officeDocument/2006/relationships/hyperlink" Target="https://grls.rosminzdrav.ru/InstrImg/2020/12/18/1464410/%D0%9F_N014361_01%5B2020%5D_0.pdf" TargetMode="External"/><Relationship Id="rId134" Type="http://schemas.openxmlformats.org/officeDocument/2006/relationships/hyperlink" Target="https://grls.rosminzdrav.ru/InstrImg/2016/6/9/1308974/%D0%9B%D0%A1%D0%A0-003210_07%5B2018%5D_0.pdf" TargetMode="External"/><Relationship Id="rId133" Type="http://schemas.openxmlformats.org/officeDocument/2006/relationships/hyperlink" Target="mailto:savinova@vaccina.info" TargetMode="External"/><Relationship Id="rId62" Type="http://schemas.openxmlformats.org/officeDocument/2006/relationships/hyperlink" Target="https://grls.rosminzdrav.ru/InstrImg/2022/07/11/1482961/bd6fe224-8595-4d96-862b-ce5eb5a6fbf4.pdf" TargetMode="External"/><Relationship Id="rId61" Type="http://schemas.openxmlformats.org/officeDocument/2006/relationships/hyperlink" Target="https://grls.rosminzdrav.ru/InstrImg/2023/09/12/1497054/2bbe6e62-f63e-4bf6-a4cf-9559c0e35dfb.pdf" TargetMode="External"/><Relationship Id="rId64" Type="http://schemas.openxmlformats.org/officeDocument/2006/relationships/hyperlink" Target="mailto:savinova@vaccina.info" TargetMode="External"/><Relationship Id="rId63" Type="http://schemas.openxmlformats.org/officeDocument/2006/relationships/hyperlink" Target="https://grls.rosminzdrav.ru/InstrImg/2025/07/25/1519625/ca601e77-829c-48a9-b9b5-204e5b86aa88.pdf" TargetMode="External"/><Relationship Id="rId66" Type="http://schemas.openxmlformats.org/officeDocument/2006/relationships/hyperlink" Target="https://grls.rosminzdrav.ru/InstrImg/2024/12/19/1512111/eb092f80-f74e-4698-a788-b219b85710ef.pdf" TargetMode="External"/><Relationship Id="rId172" Type="http://schemas.openxmlformats.org/officeDocument/2006/relationships/hyperlink" Target="https://grls.rosminzdrav.ru/InstrImg/2025/06/02/1517810/7b7b0a6f-2d36-481e-a964-4e8d04031cd7.pdf" TargetMode="External"/><Relationship Id="rId65" Type="http://schemas.openxmlformats.org/officeDocument/2006/relationships/hyperlink" Target="https://grls.rosminzdrav.ru/InstrImg/2024/12/19/1512043/59e764b9-60fd-455d-b6fc-d0056460286e.pdf" TargetMode="External"/><Relationship Id="rId171" Type="http://schemas.openxmlformats.org/officeDocument/2006/relationships/hyperlink" Target="https://grls.rosminzdrav.ru/InstrImg/2020/06/18/1452053/3993efd1-cdd7-4127-88ae-330ac7a6d1c1.pdf" TargetMode="External"/><Relationship Id="rId68" Type="http://schemas.openxmlformats.org/officeDocument/2006/relationships/hyperlink" Target="https://grls.rosminzdrav.ru/InstrImg/2017/6/22/1417297/%D0%9B%D0%A1-001296%5B2012%5D_0.pdf" TargetMode="External"/><Relationship Id="rId170" Type="http://schemas.openxmlformats.org/officeDocument/2006/relationships/hyperlink" Target="https://grls.rosminzdrav.ru/InstrImg/2024/11/12/1510570/30498232-70f4-43ae-bc27-e391c89b19fc.pdf" TargetMode="External"/><Relationship Id="rId67" Type="http://schemas.openxmlformats.org/officeDocument/2006/relationships/hyperlink" Target="https://grls.rosminzdrav.ru/InstrImg/2022/11/25/1488723/80c7b6fb-3d8f-4ee9-9610-da77ce371e71.pdf" TargetMode="External"/><Relationship Id="rId60" Type="http://schemas.openxmlformats.org/officeDocument/2006/relationships/hyperlink" Target="https://grls.rosminzdrav.ru/InstrImg/2021/1/12/1464953/%D0%9B%D0%9F-001412%5B2019%5D_0.pdf" TargetMode="External"/><Relationship Id="rId165" Type="http://schemas.openxmlformats.org/officeDocument/2006/relationships/hyperlink" Target="https://grls.rosminzdrav.ru/InstrImg/2020/11/25/146561/742bfd83-5da9-4e9c-bbb5-b9de800c21fa.pdf" TargetMode="External"/><Relationship Id="rId69" Type="http://schemas.openxmlformats.org/officeDocument/2006/relationships/hyperlink" Target="https://grls.rosminzdrav.ru/InstrImg/2022/11/25/1488637/c97cdf1c-9f19-49af-853a-b664873cc8fb.pdf" TargetMode="External"/><Relationship Id="rId164" Type="http://schemas.openxmlformats.org/officeDocument/2006/relationships/hyperlink" Target="https://grls.rosminzdrav.ru/InstrImg/2020/11/20/1414272/ad633910-6fd8-473c-8c81-dc945f343f42.pdf" TargetMode="External"/><Relationship Id="rId163" Type="http://schemas.openxmlformats.org/officeDocument/2006/relationships/hyperlink" Target="https://grls.rosminzdrav.ru/InstrImg/2020/05/28/37407/eca15fe8-8706-4bd3-9148-1f54c5ab52ed.pdf" TargetMode="External"/><Relationship Id="rId162" Type="http://schemas.openxmlformats.org/officeDocument/2006/relationships/hyperlink" Target="https://grls.rosminzdrav.ru/InstrImg/2020/06/01/1422432/8314c8e6-25f4-4bd2-97f0-1a3b881e7dcb.pdf" TargetMode="External"/><Relationship Id="rId169" Type="http://schemas.openxmlformats.org/officeDocument/2006/relationships/hyperlink" Target="https://grls.rosminzdrav.ru/InstrImg/2020/11/25/140879/f4484511-f351-42f9-8a7a-85a995f31517.pdf" TargetMode="External"/><Relationship Id="rId168" Type="http://schemas.openxmlformats.org/officeDocument/2006/relationships/hyperlink" Target="https://grls.rosminzdrav.ru/InstrImg/2025/03/27/1515398/ec0df501-9186-4e20-ae68-c07f28302f7b.pdf" TargetMode="External"/><Relationship Id="rId167" Type="http://schemas.openxmlformats.org/officeDocument/2006/relationships/hyperlink" Target="https://grls.rosminzdrav.ru/InstrImg/2025/02/28/1514525/002c6594-b19d-4b5a-a79c-60853ca8612c.pdf" TargetMode="External"/><Relationship Id="rId166" Type="http://schemas.openxmlformats.org/officeDocument/2006/relationships/hyperlink" Target="https://grls.rosminzdrav.ru/InstrImg/2020/11/23/146563/15b7229f-0643-4cc6-991c-49f83901eb37.pdf" TargetMode="External"/><Relationship Id="rId51" Type="http://schemas.openxmlformats.org/officeDocument/2006/relationships/hyperlink" Target="https://grls.rosminzdrav.ru/InstrImg/2024/07/19/1506924/5cc0ebcd-92ff-417f-bdfe-dd8bd9bc1c0b.pdf" TargetMode="External"/><Relationship Id="rId50" Type="http://schemas.openxmlformats.org/officeDocument/2006/relationships/hyperlink" Target="https://grls.rosminzdrav.ru/InstrImg/2020/10/15/1462300/%D0%A0_N001586_01%5B2007%5D_0.pdf" TargetMode="External"/><Relationship Id="rId53" Type="http://schemas.openxmlformats.org/officeDocument/2006/relationships/hyperlink" Target="mailto:savinova@vaccina.info" TargetMode="External"/><Relationship Id="rId52" Type="http://schemas.openxmlformats.org/officeDocument/2006/relationships/hyperlink" Target="https://grls.rosminzdrav.ru/InstrImg/2025/06/19/1518378/557245be-23d7-4913-9af3-4fa130d3c97f.pdf" TargetMode="External"/><Relationship Id="rId55" Type="http://schemas.openxmlformats.org/officeDocument/2006/relationships/hyperlink" Target="https://grls.rosminzdrav.ru/InstrImg/2024/05/23/1504773/609a8a1f-c770-47fc-a98c-75cf5640e7e7.pdf" TargetMode="External"/><Relationship Id="rId161" Type="http://schemas.openxmlformats.org/officeDocument/2006/relationships/hyperlink" Target="https://grls.rosminzdrav.ru/InstrImg/2019/06/30/739/1fca1237-4a6a-4bdd-b176-7ef01c56c1bf.pdf" TargetMode="External"/><Relationship Id="rId54" Type="http://schemas.openxmlformats.org/officeDocument/2006/relationships/hyperlink" Target="https://grls.rosminzdrav.ru/InstrImg/2022/09/20/1485497/d454a4ed-f278-470c-9ca3-82a7d582e3aa.pdf" TargetMode="External"/><Relationship Id="rId160" Type="http://schemas.openxmlformats.org/officeDocument/2006/relationships/hyperlink" Target="https://grls.rosminzdrav.ru/InstrImg/2020/06/11/1206428/53252686-7415-4f30-bdba-632b434439f9.pdf" TargetMode="External"/><Relationship Id="rId57" Type="http://schemas.openxmlformats.org/officeDocument/2006/relationships/hyperlink" Target="https://grls.rosminzdrav.ru/InstrImg/2025/04/10/1504025/4213c7bf-831f-4e93-865a-64154eae8592.pdf" TargetMode="External"/><Relationship Id="rId56" Type="http://schemas.openxmlformats.org/officeDocument/2006/relationships/hyperlink" Target="https://grls.rosminzdrav.ru/InstrImg/2025/10/17/1504574/7154e58a-7f87-42a0-a46d-7bf589291e39.pdf" TargetMode="External"/><Relationship Id="rId159" Type="http://schemas.openxmlformats.org/officeDocument/2006/relationships/hyperlink" Target="https://grls.rosminzdrav.ru/InstrImg/2024/01/23/1501030/43ed9d31-44e7-403a-a977-d714a002b9c6.pdf" TargetMode="External"/><Relationship Id="rId59" Type="http://schemas.openxmlformats.org/officeDocument/2006/relationships/hyperlink" Target="https://grls.rosminzdrav.ru/InstrImg/2024/01/18/1500987/32f92d37-c82c-4804-8028-d7628056f1f5.pdf" TargetMode="External"/><Relationship Id="rId154" Type="http://schemas.openxmlformats.org/officeDocument/2006/relationships/hyperlink" Target="https://grls.rosminzdrav.ru/InstrImg/2026/04/08/1528373/3fb2f386-4fb1-4866-bc9c-0268096bb4fc.pdf" TargetMode="External"/><Relationship Id="rId58" Type="http://schemas.openxmlformats.org/officeDocument/2006/relationships/hyperlink" Target="https://grls.rosminzdrav.ru/InstrImg/2024/07/03/1506398/bc519198-0065-401b-bdb6-2870fdd2b38b.pdf" TargetMode="External"/><Relationship Id="rId153" Type="http://schemas.openxmlformats.org/officeDocument/2006/relationships/hyperlink" Target="https://grls.rosminzdrav.ru/InstrImg/2023/11/15/1499083/aedb6c35-3db8-494a-a41e-8ffc737dc35b.pdf" TargetMode="External"/><Relationship Id="rId152" Type="http://schemas.openxmlformats.org/officeDocument/2006/relationships/hyperlink" Target="https://grls.rosminzdrav.ru/InstrImg/2024/02/12/1501815/32f958db-a12b-4c41-9b5b-e1707a1b19ee.pdf" TargetMode="External"/><Relationship Id="rId151" Type="http://schemas.openxmlformats.org/officeDocument/2006/relationships/hyperlink" Target="https://grls.rosminzdrav.ru/InstrImg/2026/05/19/1529992/3e4bff0f-b904-49bd-8f8c-cf901c4749df.pdf" TargetMode="External"/><Relationship Id="rId158" Type="http://schemas.openxmlformats.org/officeDocument/2006/relationships/hyperlink" Target="https://grls.rosminzdrav.ru/InstrImg/2025/12/30/1524963/862ae1b6-e8bc-417c-8173-0fa0ff6a6e52.pdf" TargetMode="External"/><Relationship Id="rId157" Type="http://schemas.openxmlformats.org/officeDocument/2006/relationships/hyperlink" Target="https://grls.rosminzdrav.ru/InstrImg/2020/06/03/37799/c7a7977e-fea0-4451-80db-bfd751ccf3f6.pdf" TargetMode="External"/><Relationship Id="rId156" Type="http://schemas.openxmlformats.org/officeDocument/2006/relationships/hyperlink" Target="https://grls.rosminzdrav.ru/InstrImg/2019/10/17/1448631/%D0%9B%D0%9F-001290%5B2017%5D_0.pdf" TargetMode="External"/><Relationship Id="rId155" Type="http://schemas.openxmlformats.org/officeDocument/2006/relationships/hyperlink" Target="https://grls.rosminzdrav.ru/InstrImg/2018/11/10/1426168/%D0%A0_N000460_01%5B2018%5D_0.pdf" TargetMode="External"/><Relationship Id="rId107" Type="http://schemas.openxmlformats.org/officeDocument/2006/relationships/hyperlink" Target="https://grls.rosminzdrav.ru/InstrImg/2024/11/29/1511440/a7df9117-6412-4ad4-81a2-998d2ad320c3.pdf" TargetMode="External"/><Relationship Id="rId106" Type="http://schemas.openxmlformats.org/officeDocument/2006/relationships/hyperlink" Target="https://grls.rosminzdrav.ru/InstrImg/2023/03/01/1491468/c8da2905-b80e-470c-adc7-c40c03707ddd.pdf" TargetMode="External"/><Relationship Id="rId105" Type="http://schemas.openxmlformats.org/officeDocument/2006/relationships/hyperlink" Target="https://grls.rosminzdrav.ru/InstrImg/2026/01/22/1525392/c4730a97-f7f4-406f-954c-6a6bed44be35.pdf" TargetMode="External"/><Relationship Id="rId104" Type="http://schemas.openxmlformats.org/officeDocument/2006/relationships/hyperlink" Target="https://grls.rosminzdrav.ru/InstrImg/2022/07/01/1482554/85877900-4857-49d0-8559-cf446fe8cfa7.pdf" TargetMode="External"/><Relationship Id="rId109" Type="http://schemas.openxmlformats.org/officeDocument/2006/relationships/hyperlink" Target="https://grls.rosminzdrav.ru/InstrImg/2020/11/27/1463649/%D0%9B%D0%9F-000499%5B2016%5D_0.pdf" TargetMode="External"/><Relationship Id="rId108" Type="http://schemas.openxmlformats.org/officeDocument/2006/relationships/hyperlink" Target="mailto:savinova@vaccina.info" TargetMode="External"/><Relationship Id="rId103" Type="http://schemas.openxmlformats.org/officeDocument/2006/relationships/hyperlink" Target="https://grls.rosminzdrav.ru/InstrImg/2025/06/20/1518412/cd0f3dff-5242-4a3d-b71e-22447afe0e73.pdf" TargetMode="External"/><Relationship Id="rId102" Type="http://schemas.openxmlformats.org/officeDocument/2006/relationships/hyperlink" Target="https://grls.rosminzdrav.ru/InstrImg/2022/10/26/1480925/bbce1055-ce8d-4cf1-8ce2-d5a008359d42.pdf" TargetMode="External"/><Relationship Id="rId101" Type="http://schemas.openxmlformats.org/officeDocument/2006/relationships/hyperlink" Target="https://grls.rosminzdrav.ru/InstrImg/2026/02/03/1525996/748a2896-887a-40f1-82c0-510ac345461d.pdf" TargetMode="External"/><Relationship Id="rId100" Type="http://schemas.openxmlformats.org/officeDocument/2006/relationships/hyperlink" Target="https://grls.rosminzdrav.ru/InstrImg/2021/6/4/1469733/%D0%A0_N000661_01%5B2017%5D_0.pdf" TargetMode="External"/><Relationship Id="rId129" Type="http://schemas.openxmlformats.org/officeDocument/2006/relationships/hyperlink" Target="https://grls.rosminzdrav.ru/InstrImg/2023/07/19/1495141/6279c1ae-20cf-4801-9f4a-bb9a68168b63.pdf" TargetMode="External"/><Relationship Id="rId128" Type="http://schemas.openxmlformats.org/officeDocument/2006/relationships/hyperlink" Target="https://grls.rosminzdrav.ru/InstrImg/2019/8/14/1445562/%D0%9F_N013657_01%5B2009%5D_0.pdf" TargetMode="External"/><Relationship Id="rId127" Type="http://schemas.openxmlformats.org/officeDocument/2006/relationships/hyperlink" Target="https://grls.rosminzdrav.ru/InstrImg/2019/8/15/1445618/%D0%9F_N015312_01%5B2010%5D_0.pdf" TargetMode="External"/><Relationship Id="rId126" Type="http://schemas.openxmlformats.org/officeDocument/2006/relationships/hyperlink" Target="https://grls.rosminzdrav.ru/InstrImg/2023/07/13/1494926/d8440e50-44f6-4e4b-a50d-64608384e586.pdf" TargetMode="External"/><Relationship Id="rId121" Type="http://schemas.openxmlformats.org/officeDocument/2006/relationships/hyperlink" Target="https://grls.rosminzdrav.ru/InstrImg/2023/11/14/1499137/0d066a1a-0b64-4c36-8b80-ed504d3f7fe0.pdf" TargetMode="External"/><Relationship Id="rId120" Type="http://schemas.openxmlformats.org/officeDocument/2006/relationships/hyperlink" Target="https://grls.rosminzdrav.ru/InstrImg/2019/06/29/1424317/a2b80c77-0857-4a1d-a948-36a987511e54.pdf" TargetMode="External"/><Relationship Id="rId125" Type="http://schemas.openxmlformats.org/officeDocument/2006/relationships/hyperlink" Target="https://grls.rosminzdrav.ru/InstrImg/2024/04/26/1504005/d1870595-28f7-44b7-bb39-ad5bc2268f78.pdf" TargetMode="External"/><Relationship Id="rId124" Type="http://schemas.openxmlformats.org/officeDocument/2006/relationships/hyperlink" Target="https://grls.rosminzdrav.ru/InstrImg/2026/01/16/1525169/a5f21ff0-2d7c-4ab8-8025-1ccbc0cf7cc6.pdf" TargetMode="External"/><Relationship Id="rId123" Type="http://schemas.openxmlformats.org/officeDocument/2006/relationships/hyperlink" Target="https://grls.rosminzdrav.ru/InstrImg/2021/04/08/1467900/d0178e58-88a3-4898-ae92-f04c7d69cf57.pdf" TargetMode="External"/><Relationship Id="rId122" Type="http://schemas.openxmlformats.org/officeDocument/2006/relationships/hyperlink" Target="https://grls.rosminzdrav.ru/InstrImg/2025/06/02/1517806/3c9102ff-eafa-47bc-b83f-eb05cfac1092.pdf" TargetMode="External"/><Relationship Id="rId95" Type="http://schemas.openxmlformats.org/officeDocument/2006/relationships/hyperlink" Target="https://grls.rosminzdrav.ru/InstrImg/2020/11/27/1463688/%D0%A0_N002481_01%5B2020%5D_0.pdf" TargetMode="External"/><Relationship Id="rId94" Type="http://schemas.openxmlformats.org/officeDocument/2006/relationships/hyperlink" Target="https://grls.rosminzdrav.ru/InstrImg/2021/09/20/1473405/41395d1f-d6e8-41d5-88fe-a1a29b28be83.pdf" TargetMode="External"/><Relationship Id="rId97" Type="http://schemas.openxmlformats.org/officeDocument/2006/relationships/hyperlink" Target="mailto:savinova@vaccina.info" TargetMode="External"/><Relationship Id="rId96" Type="http://schemas.openxmlformats.org/officeDocument/2006/relationships/hyperlink" Target="https://grls.rosminzdrav.ru/InstrImg/2025/02/06/1513573/c7fd0ba6-d018-4726-b9e2-1ae791edec76.pdf" TargetMode="External"/><Relationship Id="rId99" Type="http://schemas.openxmlformats.org/officeDocument/2006/relationships/hyperlink" Target="https://grls.rosminzdrav.ru/InstrImg/2026/02/06/1526184/204c2bdf-4b3b-45c5-b641-f7ce1ae753b3.pdf" TargetMode="External"/><Relationship Id="rId98" Type="http://schemas.openxmlformats.org/officeDocument/2006/relationships/hyperlink" Target="https://grls.rosminzdrav.ru/InstrImg/2022/12/12/1489555/281290ac-8b7f-4930-a191-7eff9a7cb147.pdf" TargetMode="External"/><Relationship Id="rId91" Type="http://schemas.openxmlformats.org/officeDocument/2006/relationships/hyperlink" Target="https://grls.rosminzdrav.ru/InstrImg/2025/04/08/1515924/2cb5904f-0eb6-4463-9e6d-a2aa95a7192c.pdf" TargetMode="External"/><Relationship Id="rId90" Type="http://schemas.openxmlformats.org/officeDocument/2006/relationships/hyperlink" Target="https://grls.rosminzdrav.ru/InstrImg/2020/06/08/86489/f8c71c84-d7eb-4cba-990a-8c9e218ca432.pdf" TargetMode="External"/><Relationship Id="rId93" Type="http://schemas.openxmlformats.org/officeDocument/2006/relationships/hyperlink" Target="https://grls.rosminzdrav.ru/InstrImg/2020/08/24/86488/1ed689ab-55e8-4379-9b04-687068382c27.pdf" TargetMode="External"/><Relationship Id="rId92" Type="http://schemas.openxmlformats.org/officeDocument/2006/relationships/hyperlink" Target="https://grls.rosminzdrav.ru/InstrImg/2019/10/25/1448929/%D0%A0_N001273_01%5B2019%5D_0.pdf" TargetMode="External"/><Relationship Id="rId118" Type="http://schemas.openxmlformats.org/officeDocument/2006/relationships/hyperlink" Target="https://grls.rosminzdrav.ru/InstrImg/2020/12/02/1423524/629a6384-1db2-499f-afb1-e87dac723b9a.pdf" TargetMode="External"/><Relationship Id="rId117" Type="http://schemas.openxmlformats.org/officeDocument/2006/relationships/hyperlink" Target="https://grls.rosminzdrav.ru/InstrImg/2024/01/19/1501170/14f78b66-569c-4bfe-8b30-ff63439a2434.pdf" TargetMode="External"/><Relationship Id="rId116" Type="http://schemas.openxmlformats.org/officeDocument/2006/relationships/hyperlink" Target="https://grls.rosminzdrav.ru/InstrImg/2025/04/07/1515838/1b86346c-ace0-4de8-a757-2d3e7e4604e4.pdf" TargetMode="External"/><Relationship Id="rId115" Type="http://schemas.openxmlformats.org/officeDocument/2006/relationships/hyperlink" Target="https://grls.rosminzdrav.ru/InstrImg/2025/05/06/1510260/3226bda3-b919-4e7c-8c50-869db628161b.pdf" TargetMode="External"/><Relationship Id="rId119" Type="http://schemas.openxmlformats.org/officeDocument/2006/relationships/hyperlink" Target="mailto:savinova@vaccina.info" TargetMode="External"/><Relationship Id="rId110" Type="http://schemas.openxmlformats.org/officeDocument/2006/relationships/hyperlink" Target="https://grls.rosminzdrav.ru/InstrImg/2026/03/04/1527238/fe2adafe-5094-4da2-bbba-1a640a0ceb4e.pdf" TargetMode="External"/><Relationship Id="rId114" Type="http://schemas.openxmlformats.org/officeDocument/2006/relationships/hyperlink" Target="https://grls.rosminzdrav.ru/InstrImg/2022/09/09/1485745/6205a5ae-4bbb-42bf-84d2-93c4042be1cb.pdf" TargetMode="External"/><Relationship Id="rId113" Type="http://schemas.openxmlformats.org/officeDocument/2006/relationships/hyperlink" Target="https://grls.rosminzdrav.ru/InstrImg/2023/04/13/1492490/b02b0c0a-7a26-4b3a-8e0b-7f5d8e8e4ef1.pdf" TargetMode="External"/><Relationship Id="rId112" Type="http://schemas.openxmlformats.org/officeDocument/2006/relationships/hyperlink" Target="https://grls.rosminzdrav.ru/InstrImg/2024/07/16/1506734/9116be71-6c07-426a-8ff9-48e79a74f109.pdf" TargetMode="External"/><Relationship Id="rId111" Type="http://schemas.openxmlformats.org/officeDocument/2006/relationships/hyperlink" Target="https://grls.rosminzdrav.ru/InstrImg/2025/06/16/1518193/6df836e1-9750-4ca5-be05-590641b808ac.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0.38"/>
    <col customWidth="1" min="5" max="5" width="15.13"/>
    <col hidden="1" min="6" max="6" width="12.63"/>
    <col customWidth="1" min="7" max="7" width="9.63"/>
    <col customWidth="1" min="8" max="8" width="30.5"/>
    <col customWidth="1" min="9" max="9" width="26.13"/>
    <col hidden="1" min="10" max="10" width="12.63"/>
  </cols>
  <sheetData>
    <row r="1">
      <c r="A1" s="1" t="str">
        <f>IFERROR(__xludf.DUMMYFUNCTION("importrange(""https://docs.google.com/spreadsheets/d/1sGRvhluuPcwgfCszZJeTSVDmdr-8joz4WvlOQo2gfes/edit?usp=drivesdk"",""vaccines!A:M"")"),"id")</f>
        <v>id</v>
      </c>
      <c r="B1" s="1" t="str">
        <f>IFERROR(__xludf.DUMMYFUNCTION("""COMPUTED_VALUE"""),"code_name")</f>
        <v>code_name</v>
      </c>
      <c r="C1" s="2" t="str">
        <f>IFERROR(__xludf.DUMMYFUNCTION("""COMPUTED_VALUE"""),"product_characteristics_link_primary_field_for_version_1")</f>
        <v>product_characteristics_link_primary_field_for_version_1</v>
      </c>
      <c r="D1" s="2" t="str">
        <f>IFERROR(__xludf.DUMMYFUNCTION("""COMPUTED_VALUE"""),"short_name")</f>
        <v>short_name</v>
      </c>
      <c r="E1" s="2" t="str">
        <f>IFERROR(__xludf.DUMMYFUNCTION("""COMPUTED_VALUE"""),"long_name")</f>
        <v>long_name</v>
      </c>
      <c r="F1" s="2" t="str">
        <f>IFERROR(__xludf.DUMMYFUNCTION("""COMPUTED_VALUE"""),"manufacturer")</f>
        <v>manufacturer</v>
      </c>
      <c r="G1" s="2" t="str">
        <f>IFERROR(__xludf.DUMMYFUNCTION("""COMPUTED_VALUE"""),"in_use_in_Russia")</f>
        <v>in_use_in_Russia</v>
      </c>
      <c r="H1" s="3" t="str">
        <f>IFERROR(__xludf.DUMMYFUNCTION("""COMPUTED_VALUE"""),"comment_to_show")</f>
        <v>comment_to_show</v>
      </c>
      <c r="I1" s="3" t="str">
        <f>IFERROR(__xludf.DUMMYFUNCTION("""COMPUTED_VALUE"""),"comment_to_show_wo_html")</f>
        <v>comment_to_show_wo_html</v>
      </c>
      <c r="J1" s="2" t="str">
        <f>IFERROR(__xludf.DUMMYFUNCTION("""COMPUTED_VALUE"""),"dosage")</f>
        <v>dosage</v>
      </c>
      <c r="K1" s="4" t="str">
        <f>IFERROR(__xludf.DUMMYFUNCTION("""COMPUTED_VALUE"""),"creation_date")</f>
        <v>creation_date</v>
      </c>
      <c r="L1" s="4" t="str">
        <f>IFERROR(__xludf.DUMMYFUNCTION("""COMPUTED_VALUE"""),"update_date")</f>
        <v>update_date</v>
      </c>
      <c r="M1" s="2" t="str">
        <f>IFERROR(__xludf.DUMMYFUNCTION("""COMPUTED_VALUE"""),"OKhLP_specialists_link")</f>
        <v>OKhLP_specialists_link</v>
      </c>
      <c r="N1" s="2"/>
      <c r="O1" s="2"/>
      <c r="P1" s="2"/>
      <c r="Q1" s="2"/>
      <c r="R1" s="2"/>
      <c r="S1" s="2"/>
      <c r="T1" s="2"/>
      <c r="U1" s="2"/>
      <c r="V1" s="2"/>
      <c r="W1" s="2"/>
      <c r="X1" s="2"/>
      <c r="Y1" s="2"/>
      <c r="Z1" s="2"/>
    </row>
    <row r="2">
      <c r="A2" s="5">
        <f>IFERROR(__xludf.DUMMYFUNCTION("""COMPUTED_VALUE"""),1.0)</f>
        <v>1</v>
      </c>
      <c r="B2" s="6" t="str">
        <f>IFERROR(__xludf.DUMMYFUNCTION("""COMPUTED_VALUE"""),"BCG_Microgen")</f>
        <v>BCG_Microgen</v>
      </c>
      <c r="C2" s="7" t="str">
        <f>IFERROR(__xludf.DUMMYFUNCTION("""COMPUTED_VALUE"""),"https://grls.rosminzdrav.ru/Grls_View_v2.aspx?routingGuid=9f91626d-1063-4ea5-9346-800cc6ef9b44")</f>
        <v>https://grls.rosminzdrav.ru/Grls_View_v2.aspx?routingGuid=9f91626d-1063-4ea5-9346-800cc6ef9b44</v>
      </c>
      <c r="D2" s="8" t="str">
        <f>IFERROR(__xludf.DUMMYFUNCTION("""COMPUTED_VALUE"""),"БЦЖ (Микроген)")</f>
        <v>БЦЖ (Микроген)</v>
      </c>
      <c r="E2" s="8" t="str">
        <f>IFERROR(__xludf.DUMMYFUNCTION("""COMPUTED_VALUE"""),"Вакцина туберкулезная (БЦЖ)")</f>
        <v>Вакцина туберкулезная (БЦЖ)</v>
      </c>
      <c r="F2" s="8" t="str">
        <f>IFERROR(__xludf.DUMMYFUNCTION("""COMPUTED_VALUE"""),"Микроген")</f>
        <v>Микроген</v>
      </c>
      <c r="G2" s="8" t="str">
        <f>IFERROR(__xludf.DUMMYFUNCTION("""COMPUTED_VALUE"""),"in use")</f>
        <v>in use</v>
      </c>
      <c r="H2" s="9" t="str">
        <f>IFERROR(__xludf.DUMMYFUNCTION("""COMPUTED_VALUE"""),"&lt;p&gt;Используется в двух случаях:
&lt;ol&gt;&lt;li&gt;на тех территориях, где показатель заболеваемости туберкулеза превышает 80&amp;nbsp;случаев на 100&amp;nbsp;000&amp;nbsp;населения;&lt;/li&gt;
&lt;li&gt;если в окружении новорожденного есть больной туберкулезом.&lt;/li&gt;&lt;/ol&gt;&lt;/p&gt;")</f>
        <v>&lt;p&gt;Используется в двух случаях:
&lt;ol&gt;&lt;li&gt;на тех территориях, где показатель заболеваемости туберкулеза превышает 80&amp;nbsp;случаев на 100&amp;nbsp;000&amp;nbsp;населения;&lt;/li&gt;
&lt;li&gt;если в окружении новорожденного есть больной туберкулезом.&lt;/li&gt;&lt;/ol&gt;&lt;/p&gt;</v>
      </c>
      <c r="I2" s="9" t="str">
        <f>IFERROR(__xludf.DUMMYFUNCTION("""COMPUTED_VALUE"""),"Используется в двух случаях:
1. на тех территориях, где показатель заболеваемости туберкулеза превышает 80 случаев на 100 000 населения;
2. если в окружении новорожденного есть больной туберкулезом.")</f>
        <v>Используется в двух случаях:
1. на тех территориях, где показатель заболеваемости туберкулеза превышает 80 случаев на 100 000 населения;
2. если в окружении новорожденного есть больной туберкулезом.</v>
      </c>
      <c r="J2" s="8">
        <f>IFERROR(__xludf.DUMMYFUNCTION("""COMPUTED_VALUE"""),0.05)</f>
        <v>0.05</v>
      </c>
      <c r="K2" s="10">
        <f>IFERROR(__xludf.DUMMYFUNCTION("""COMPUTED_VALUE"""),44712.0)</f>
        <v>44712</v>
      </c>
      <c r="L2" s="10">
        <f>IFERROR(__xludf.DUMMYFUNCTION("""COMPUTED_VALUE"""),45689.0)</f>
        <v>45689</v>
      </c>
      <c r="M2" s="8" t="str">
        <f>IFERROR(__xludf.DUMMYFUNCTION("""COMPUTED_VALUE"""),"есть")</f>
        <v>есть</v>
      </c>
    </row>
    <row r="3">
      <c r="A3" s="5">
        <f>IFERROR(__xludf.DUMMYFUNCTION("""COMPUTED_VALUE"""),2.0)</f>
        <v>2</v>
      </c>
      <c r="B3" s="6" t="str">
        <f>IFERROR(__xludf.DUMMYFUNCTION("""COMPUTED_VALUE"""),"BCG_M_Microgen")</f>
        <v>BCG_M_Microgen</v>
      </c>
      <c r="C3" s="7" t="str">
        <f>IFERROR(__xludf.DUMMYFUNCTION("""COMPUTED_VALUE"""),"https://grls.rosminzdrav.ru/Grls_View_v2.aspx?routingGuid=115ba81b-7cb9-4737-9e63-163458ef9d0b")</f>
        <v>https://grls.rosminzdrav.ru/Grls_View_v2.aspx?routingGuid=115ba81b-7cb9-4737-9e63-163458ef9d0b</v>
      </c>
      <c r="D3" s="8" t="str">
        <f>IFERROR(__xludf.DUMMYFUNCTION("""COMPUTED_VALUE"""),"БЦЖ-М (Микроген)")</f>
        <v>БЦЖ-М (Микроген)</v>
      </c>
      <c r="E3" s="8" t="str">
        <f>IFERROR(__xludf.DUMMYFUNCTION("""COMPUTED_VALUE"""),"Вакцина туберкулезная для щадящей первичной иммунизации (БЦЖ-М)")</f>
        <v>Вакцина туберкулезная для щадящей первичной иммунизации (БЦЖ-М)</v>
      </c>
      <c r="F3" s="8" t="str">
        <f>IFERROR(__xludf.DUMMYFUNCTION("""COMPUTED_VALUE"""),"Микроген")</f>
        <v>Микроген</v>
      </c>
      <c r="G3" s="8" t="str">
        <f>IFERROR(__xludf.DUMMYFUNCTION("""COMPUTED_VALUE"""),"in use")</f>
        <v>in use</v>
      </c>
      <c r="H3" s="9" t="str">
        <f>IFERROR(__xludf.DUMMYFUNCTION("""COMPUTED_VALUE"""),"&lt;p&gt;Используется по умолчанию для вакцинации детей против туберкулеза. Однако на территориях с повышенной заболеваемостью туберкулезом, а также если в окружении новорожденного есть больной туберкулезом, используется другая вакцина — ""БЦЖ"".&lt;/p&gt;")</f>
        <v>&lt;p&gt;Используется по умолчанию для вакцинации детей против туберкулеза. Однако на территориях с повышенной заболеваемостью туберкулезом, а также если в окружении новорожденного есть больной туберкулезом, используется другая вакцина — "БЦЖ".&lt;/p&gt;</v>
      </c>
      <c r="I3" s="9" t="str">
        <f>IFERROR(__xludf.DUMMYFUNCTION("""COMPUTED_VALUE"""),"Используется по умолчанию для вакцинации детей против туберкулеза. Однако на территориях с повышенной заболеваемостью туберкулезом, а также если в окружении новорожденного есть больной туберкулезом, используется другая вакцина — ""БЦЖ"".")</f>
        <v>Используется по умолчанию для вакцинации детей против туберкулеза. Однако на территориях с повышенной заболеваемостью туберкулезом, а также если в окружении новорожденного есть больной туберкулезом, используется другая вакцина — "БЦЖ".</v>
      </c>
      <c r="J3" s="8">
        <f>IFERROR(__xludf.DUMMYFUNCTION("""COMPUTED_VALUE"""),0.025)</f>
        <v>0.025</v>
      </c>
      <c r="K3" s="10">
        <f>IFERROR(__xludf.DUMMYFUNCTION("""COMPUTED_VALUE"""),44712.0)</f>
        <v>44712</v>
      </c>
      <c r="L3" s="10">
        <f>IFERROR(__xludf.DUMMYFUNCTION("""COMPUTED_VALUE"""),45689.0)</f>
        <v>45689</v>
      </c>
      <c r="M3" s="8" t="str">
        <f>IFERROR(__xludf.DUMMYFUNCTION("""COMPUTED_VALUE"""),"есть")</f>
        <v>есть</v>
      </c>
    </row>
    <row r="4">
      <c r="A4" s="5">
        <f>IFERROR(__xludf.DUMMYFUNCTION("""COMPUTED_VALUE"""),3.0)</f>
        <v>3</v>
      </c>
      <c r="B4" s="6" t="str">
        <f>IFERROR(__xludf.DUMMYFUNCTION("""COMPUTED_VALUE"""),"BCG_Gamaleya")</f>
        <v>BCG_Gamaleya</v>
      </c>
      <c r="C4" s="7" t="str">
        <f>IFERROR(__xludf.DUMMYFUNCTION("""COMPUTED_VALUE"""),"https://grls.rosminzdrav.ru/Grls_View_v2.aspx?routingGuid=4215760f-875d-476b-a9b6-af2e398c3025")</f>
        <v>https://grls.rosminzdrav.ru/Grls_View_v2.aspx?routingGuid=4215760f-875d-476b-a9b6-af2e398c3025</v>
      </c>
      <c r="D4" s="8" t="str">
        <f>IFERROR(__xludf.DUMMYFUNCTION("""COMPUTED_VALUE"""),"БЦЖ (Гамалеи)")</f>
        <v>БЦЖ (Гамалеи)</v>
      </c>
      <c r="E4" s="8" t="str">
        <f>IFERROR(__xludf.DUMMYFUNCTION("""COMPUTED_VALUE"""),"Вакцина туберкулезная (БЦЖ)")</f>
        <v>Вакцина туберкулезная (БЦЖ)</v>
      </c>
      <c r="F4" s="8" t="str">
        <f>IFERROR(__xludf.DUMMYFUNCTION("""COMPUTED_VALUE"""),"НИЦЭМ им. Н.Ф. Гамалеи")</f>
        <v>НИЦЭМ им. Н.Ф. Гамалеи</v>
      </c>
      <c r="G4" s="8" t="str">
        <f>IFERROR(__xludf.DUMMYFUNCTION("""COMPUTED_VALUE"""),"in use")</f>
        <v>in use</v>
      </c>
      <c r="H4" s="9" t="str">
        <f>IFERROR(__xludf.DUMMYFUNCTION("""COMPUTED_VALUE"""),"&lt;p&gt;Используется в двух случаях:
&lt;ol&gt;&lt;li&gt;на тех территориях, где показатель заболеваемости туберкулеза превышает 80&amp;nbsp;случаев на 100&amp;nbsp;000&amp;nbsp;населения;&lt;/li&gt;
&lt;li&gt;если в окружении новорожденного есть больной туберкулезом.&lt;/li&gt;&lt;/ol&gt;&lt;/p&gt;")</f>
        <v>&lt;p&gt;Используется в двух случаях:
&lt;ol&gt;&lt;li&gt;на тех территориях, где показатель заболеваемости туберкулеза превышает 80&amp;nbsp;случаев на 100&amp;nbsp;000&amp;nbsp;населения;&lt;/li&gt;
&lt;li&gt;если в окружении новорожденного есть больной туберкулезом.&lt;/li&gt;&lt;/ol&gt;&lt;/p&gt;</v>
      </c>
      <c r="I4" s="9" t="str">
        <f>IFERROR(__xludf.DUMMYFUNCTION("""COMPUTED_VALUE"""),"Используется в двух случаях:
1. на тех территориях, где показатель заболеваемости туберкулеза превышает 80 случаев на 100 000 населения;
2. если в окружении новорожденного есть больной туберкулезом.")</f>
        <v>Используется в двух случаях:
1. на тех территориях, где показатель заболеваемости туберкулеза превышает 80 случаев на 100 000 населения;
2. если в окружении новорожденного есть больной туберкулезом.</v>
      </c>
      <c r="J4" s="8">
        <f>IFERROR(__xludf.DUMMYFUNCTION("""COMPUTED_VALUE"""),0.05)</f>
        <v>0.05</v>
      </c>
      <c r="K4" s="10">
        <f>IFERROR(__xludf.DUMMYFUNCTION("""COMPUTED_VALUE"""),44712.0)</f>
        <v>44712</v>
      </c>
      <c r="L4" s="10">
        <f>IFERROR(__xludf.DUMMYFUNCTION("""COMPUTED_VALUE"""),45801.0)</f>
        <v>45801</v>
      </c>
      <c r="M4" s="8" t="str">
        <f>IFERROR(__xludf.DUMMYFUNCTION("""COMPUTED_VALUE"""),"есть")</f>
        <v>есть</v>
      </c>
    </row>
    <row r="5">
      <c r="A5" s="5">
        <f>IFERROR(__xludf.DUMMYFUNCTION("""COMPUTED_VALUE"""),4.0)</f>
        <v>4</v>
      </c>
      <c r="B5" s="6" t="str">
        <f>IFERROR(__xludf.DUMMYFUNCTION("""COMPUTED_VALUE"""),"BCG_M_Gamaleya")</f>
        <v>BCG_M_Gamaleya</v>
      </c>
      <c r="C5" s="7" t="str">
        <f>IFERROR(__xludf.DUMMYFUNCTION("""COMPUTED_VALUE"""),"https://grls.rosminzdrav.ru/Grls_View_v2.aspx?routingGuid=30fc01db-b288-495f-9e55-e1dd798d18a9")</f>
        <v>https://grls.rosminzdrav.ru/Grls_View_v2.aspx?routingGuid=30fc01db-b288-495f-9e55-e1dd798d18a9</v>
      </c>
      <c r="D5" s="8" t="str">
        <f>IFERROR(__xludf.DUMMYFUNCTION("""COMPUTED_VALUE"""),"БЦЖ-М (Гамалеи)")</f>
        <v>БЦЖ-М (Гамалеи)</v>
      </c>
      <c r="E5" s="8" t="str">
        <f>IFERROR(__xludf.DUMMYFUNCTION("""COMPUTED_VALUE"""),"Вакцина туберкулезная для щадящей первичной иммунизации (БЦЖ-М)")</f>
        <v>Вакцина туберкулезная для щадящей первичной иммунизации (БЦЖ-М)</v>
      </c>
      <c r="F5" s="8" t="str">
        <f>IFERROR(__xludf.DUMMYFUNCTION("""COMPUTED_VALUE"""),"НИЦЭМ им. Н.Ф. Гамалеи")</f>
        <v>НИЦЭМ им. Н.Ф. Гамалеи</v>
      </c>
      <c r="G5" s="8" t="str">
        <f>IFERROR(__xludf.DUMMYFUNCTION("""COMPUTED_VALUE"""),"in use")</f>
        <v>in use</v>
      </c>
      <c r="H5" s="9" t="str">
        <f>IFERROR(__xludf.DUMMYFUNCTION("""COMPUTED_VALUE"""),"&lt;p&gt;Используется по умолчанию для вакцинации детей против туберкулеза. Однако на территориях с повышенной заболеваемостью туберкулезом, а также если в окружении новорожденного есть больной туберкулезом, используется другая вакцина — ""БЦЖ"".&lt;/p&gt;")</f>
        <v>&lt;p&gt;Используется по умолчанию для вакцинации детей против туберкулеза. Однако на территориях с повышенной заболеваемостью туберкулезом, а также если в окружении новорожденного есть больной туберкулезом, используется другая вакцина — "БЦЖ".&lt;/p&gt;</v>
      </c>
      <c r="I5" s="9" t="str">
        <f>IFERROR(__xludf.DUMMYFUNCTION("""COMPUTED_VALUE"""),"Используется по умолчанию для вакцинации детей против туберкулеза. Однако на территориях с повышенной заболеваемостью туберкулезом, а также если в окружении новорожденного есть больной туберкулезом, используется другая вакцина — ""БЦЖ"".")</f>
        <v>Используется по умолчанию для вакцинации детей против туберкулеза. Однако на территориях с повышенной заболеваемостью туберкулезом, а также если в окружении новорожденного есть больной туберкулезом, используется другая вакцина — "БЦЖ".</v>
      </c>
      <c r="J5" s="8">
        <f>IFERROR(__xludf.DUMMYFUNCTION("""COMPUTED_VALUE"""),0.025)</f>
        <v>0.025</v>
      </c>
      <c r="K5" s="10">
        <f>IFERROR(__xludf.DUMMYFUNCTION("""COMPUTED_VALUE"""),44712.0)</f>
        <v>44712</v>
      </c>
      <c r="L5" s="10">
        <f>IFERROR(__xludf.DUMMYFUNCTION("""COMPUTED_VALUE"""),45818.0)</f>
        <v>45818</v>
      </c>
      <c r="M5" s="8" t="str">
        <f>IFERROR(__xludf.DUMMYFUNCTION("""COMPUTED_VALUE"""),"есть")</f>
        <v>есть</v>
      </c>
    </row>
    <row r="6">
      <c r="A6" s="5">
        <f>IFERROR(__xludf.DUMMYFUNCTION("""COMPUTED_VALUE"""),5.0)</f>
        <v>5</v>
      </c>
      <c r="B6" s="6" t="str">
        <f>IFERROR(__xludf.DUMMYFUNCTION("""COMPUTED_VALUE"""),"Infanrix")</f>
        <v>Infanrix</v>
      </c>
      <c r="C6" s="7" t="str">
        <f>IFERROR(__xludf.DUMMYFUNCTION("""COMPUTED_VALUE"""),"https://grls.rosminzdrav.ru/Grls_View_v2.aspx?routingGuid=60b8bad6-1fec-492d-a07c-25eee3daa0b5")</f>
        <v>https://grls.rosminzdrav.ru/Grls_View_v2.aspx?routingGuid=60b8bad6-1fec-492d-a07c-25eee3daa0b5</v>
      </c>
      <c r="D6" s="8" t="str">
        <f>IFERROR(__xludf.DUMMYFUNCTION("""COMPUTED_VALUE"""),"Инфанрикс")</f>
        <v>Инфанрикс</v>
      </c>
      <c r="E6" s="8" t="str">
        <f>IFERROR(__xludf.DUMMYFUNCTION("""COMPUTED_VALUE"""),"Инфанрикс® (Вакцина для профилактики дифтерии, столбняка, коклюша (бесклеточная) трехкомпонентная адсорбированная жидкая)")</f>
        <v>Инфанрикс® (Вакцина для профилактики дифтерии, столбняка, коклюша (бесклеточная) трехкомпонентная адсорбированная жидкая)</v>
      </c>
      <c r="F6" s="8" t="str">
        <f>IFERROR(__xludf.DUMMYFUNCTION("""COMPUTED_VALUE"""),"GSK")</f>
        <v>GSK</v>
      </c>
      <c r="G6" s="8" t="str">
        <f>IFERROR(__xludf.DUMMYFUNCTION("""COMPUTED_VALUE"""),"not in use")</f>
        <v>not in use</v>
      </c>
      <c r="H6" s="9" t="str">
        <f>IFERROR(__xludf.DUMMYFUNCTION("""COMPUTED_VALUE"""),"&lt;p&gt;DTaP, бесклеточный коклюшный компонент&lt;/p&gt;")</f>
        <v>&lt;p&gt;DTaP, бесклеточный коклюшный компонент&lt;/p&gt;</v>
      </c>
      <c r="I6" s="9" t="str">
        <f>IFERROR(__xludf.DUMMYFUNCTION("""COMPUTED_VALUE"""),"DTaP, бесклеточный коклюшный компонент")</f>
        <v>DTaP, бесклеточный коклюшный компонент</v>
      </c>
      <c r="J6" s="8">
        <f>IFERROR(__xludf.DUMMYFUNCTION("""COMPUTED_VALUE"""),0.5)</f>
        <v>0.5</v>
      </c>
      <c r="K6" s="10">
        <f>IFERROR(__xludf.DUMMYFUNCTION("""COMPUTED_VALUE"""),44712.0)</f>
        <v>44712</v>
      </c>
      <c r="L6" s="10">
        <f>IFERROR(__xludf.DUMMYFUNCTION("""COMPUTED_VALUE"""),45689.0)</f>
        <v>45689</v>
      </c>
      <c r="M6" s="8" t="str">
        <f>IFERROR(__xludf.DUMMYFUNCTION("""COMPUTED_VALUE"""),"есть")</f>
        <v>есть</v>
      </c>
    </row>
    <row r="7">
      <c r="A7" s="5">
        <f>IFERROR(__xludf.DUMMYFUNCTION("""COMPUTED_VALUE"""),6.0)</f>
        <v>6</v>
      </c>
      <c r="B7" s="6" t="str">
        <f>IFERROR(__xludf.DUMMYFUNCTION("""COMPUTED_VALUE"""),"AKDS_Microgen")</f>
        <v>AKDS_Microgen</v>
      </c>
      <c r="C7" s="7" t="str">
        <f>IFERROR(__xludf.DUMMYFUNCTION("""COMPUTED_VALUE"""),"https://grls.rosminzdrav.ru/Grls_View_v2.aspx?routingGuid=73faea00-ddd0-427e-9f40-49dfea9a2470")</f>
        <v>https://grls.rosminzdrav.ru/Grls_View_v2.aspx?routingGuid=73faea00-ddd0-427e-9f40-49dfea9a2470</v>
      </c>
      <c r="D7" s="8" t="str">
        <f>IFERROR(__xludf.DUMMYFUNCTION("""COMPUTED_VALUE"""),"АКДС (Микроген)")</f>
        <v>АКДС (Микроген)</v>
      </c>
      <c r="E7" s="8" t="str">
        <f>IFERROR(__xludf.DUMMYFUNCTION("""COMPUTED_VALUE"""),"Вакцина коклюшно-дифтерийно-столбнячная адсорбированная (АКДС-вакцина)")</f>
        <v>Вакцина коклюшно-дифтерийно-столбнячная адсорбированная (АКДС-вакцина)</v>
      </c>
      <c r="F7" s="8" t="str">
        <f>IFERROR(__xludf.DUMMYFUNCTION("""COMPUTED_VALUE"""),"Микроген")</f>
        <v>Микроген</v>
      </c>
      <c r="G7" s="8" t="str">
        <f>IFERROR(__xludf.DUMMYFUNCTION("""COMPUTED_VALUE"""),"in use")</f>
        <v>in use</v>
      </c>
      <c r="H7" s="9" t="str">
        <f>IFERROR(__xludf.DUMMYFUNCTION("""COMPUTED_VALUE"""),"&lt;p&gt;DTaP, цельноклеточный коклюшный компонент&lt;/p&gt;")</f>
        <v>&lt;p&gt;DTaP, цельноклеточный коклюшный компонент&lt;/p&gt;</v>
      </c>
      <c r="I7" s="9" t="str">
        <f>IFERROR(__xludf.DUMMYFUNCTION("""COMPUTED_VALUE"""),"DTaP, цельноклеточный коклюшный компонент")</f>
        <v>DTaP, цельноклеточный коклюшный компонент</v>
      </c>
      <c r="J7" s="8">
        <f>IFERROR(__xludf.DUMMYFUNCTION("""COMPUTED_VALUE"""),0.5)</f>
        <v>0.5</v>
      </c>
      <c r="K7" s="10">
        <f>IFERROR(__xludf.DUMMYFUNCTION("""COMPUTED_VALUE"""),44712.0)</f>
        <v>44712</v>
      </c>
      <c r="L7" s="10">
        <f>IFERROR(__xludf.DUMMYFUNCTION("""COMPUTED_VALUE"""),45689.0)</f>
        <v>45689</v>
      </c>
      <c r="M7" s="8" t="str">
        <f>IFERROR(__xludf.DUMMYFUNCTION("""COMPUTED_VALUE"""),"есть")</f>
        <v>есть</v>
      </c>
    </row>
    <row r="8">
      <c r="A8" s="5">
        <f>IFERROR(__xludf.DUMMYFUNCTION("""COMPUTED_VALUE"""),7.0)</f>
        <v>7</v>
      </c>
      <c r="B8" s="6" t="str">
        <f>IFERROR(__xludf.DUMMYFUNCTION("""COMPUTED_VALUE"""),"AKDS_Biomed")</f>
        <v>AKDS_Biomed</v>
      </c>
      <c r="C8" s="7" t="str">
        <f>IFERROR(__xludf.DUMMYFUNCTION("""COMPUTED_VALUE"""),"https://grls.rosminzdrav.ru/Grls_View_v2.aspx?routingGuid=aba4f9bd-407e-42a8-a32c-1105beece2f6")</f>
        <v>https://grls.rosminzdrav.ru/Grls_View_v2.aspx?routingGuid=aba4f9bd-407e-42a8-a32c-1105beece2f6</v>
      </c>
      <c r="D8" s="8" t="str">
        <f>IFERROR(__xludf.DUMMYFUNCTION("""COMPUTED_VALUE"""),"АКДС (Биомед)")</f>
        <v>АКДС (Биомед)</v>
      </c>
      <c r="E8" s="8" t="str">
        <f>IFERROR(__xludf.DUMMYFUNCTION("""COMPUTED_VALUE"""),"Вакцина коклюшно-дифтерийно-столбнячная адсорбированная (АКДС-вакцина)")</f>
        <v>Вакцина коклюшно-дифтерийно-столбнячная адсорбированная (АКДС-вакцина)</v>
      </c>
      <c r="F8" s="8" t="str">
        <f>IFERROR(__xludf.DUMMYFUNCTION("""COMPUTED_VALUE"""),"Биомед")</f>
        <v>Биомед</v>
      </c>
      <c r="G8" s="8" t="str">
        <f>IFERROR(__xludf.DUMMYFUNCTION("""COMPUTED_VALUE"""),"in use")</f>
        <v>in use</v>
      </c>
      <c r="H8" s="9" t="str">
        <f>IFERROR(__xludf.DUMMYFUNCTION("""COMPUTED_VALUE"""),"&lt;p&gt;DTaP, цельноклеточный коклюшный компонент&lt;/p&gt;")</f>
        <v>&lt;p&gt;DTaP, цельноклеточный коклюшный компонент&lt;/p&gt;</v>
      </c>
      <c r="I8" s="9" t="str">
        <f>IFERROR(__xludf.DUMMYFUNCTION("""COMPUTED_VALUE"""),"DTaP, цельноклеточный коклюшный компонент")</f>
        <v>DTaP, цельноклеточный коклюшный компонент</v>
      </c>
      <c r="J8" s="8">
        <f>IFERROR(__xludf.DUMMYFUNCTION("""COMPUTED_VALUE"""),0.5)</f>
        <v>0.5</v>
      </c>
      <c r="K8" s="10">
        <f>IFERROR(__xludf.DUMMYFUNCTION("""COMPUTED_VALUE"""),44712.0)</f>
        <v>44712</v>
      </c>
      <c r="L8" s="10">
        <f>IFERROR(__xludf.DUMMYFUNCTION("""COMPUTED_VALUE"""),45079.0)</f>
        <v>45079</v>
      </c>
      <c r="M8" s="8" t="str">
        <f>IFERROR(__xludf.DUMMYFUNCTION("""COMPUTED_VALUE"""),"нет")</f>
        <v>нет</v>
      </c>
    </row>
    <row r="9">
      <c r="A9" s="5">
        <f>IFERROR(__xludf.DUMMYFUNCTION("""COMPUTED_VALUE"""),8.0)</f>
        <v>8</v>
      </c>
      <c r="B9" s="6" t="str">
        <f>IFERROR(__xludf.DUMMYFUNCTION("""COMPUTED_VALUE"""),"Bubo_kok")</f>
        <v>Bubo_kok</v>
      </c>
      <c r="C9" s="7" t="str">
        <f>IFERROR(__xludf.DUMMYFUNCTION("""COMPUTED_VALUE"""),"https://grls.rosminzdrav.ru/Grls_View_v2.aspx?routingGuid=81b39c46-e795-4993-b85b-0cf51e164f6b")</f>
        <v>https://grls.rosminzdrav.ru/Grls_View_v2.aspx?routingGuid=81b39c46-e795-4993-b85b-0cf51e164f6b</v>
      </c>
      <c r="D9" s="8" t="str">
        <f>IFERROR(__xludf.DUMMYFUNCTION("""COMPUTED_VALUE"""),"Бубо-Кок")</f>
        <v>Бубо-Кок</v>
      </c>
      <c r="E9" s="8" t="str">
        <f>IFERROR(__xludf.DUMMYFUNCTION("""COMPUTED_VALUE"""),"Бубо®-Кок")</f>
        <v>Бубо®-Кок</v>
      </c>
      <c r="F9" s="8" t="str">
        <f>IFERROR(__xludf.DUMMYFUNCTION("""COMPUTED_VALUE"""),"Комбиотех")</f>
        <v>Комбиотех</v>
      </c>
      <c r="G9" s="8" t="str">
        <f>IFERROR(__xludf.DUMMYFUNCTION("""COMPUTED_VALUE"""),"not in use")</f>
        <v>not in use</v>
      </c>
      <c r="H9" s="9"/>
      <c r="I9" s="9"/>
      <c r="J9" s="8">
        <f>IFERROR(__xludf.DUMMYFUNCTION("""COMPUTED_VALUE"""),0.5)</f>
        <v>0.5</v>
      </c>
      <c r="K9" s="10">
        <f>IFERROR(__xludf.DUMMYFUNCTION("""COMPUTED_VALUE"""),44712.0)</f>
        <v>44712</v>
      </c>
      <c r="L9" s="10">
        <f>IFERROR(__xludf.DUMMYFUNCTION("""COMPUTED_VALUE"""),44712.0)</f>
        <v>44712</v>
      </c>
      <c r="M9" s="8" t="str">
        <f>IFERROR(__xludf.DUMMYFUNCTION("""COMPUTED_VALUE"""),"нет")</f>
        <v>нет</v>
      </c>
    </row>
    <row r="10">
      <c r="A10" s="5">
        <f>IFERROR(__xludf.DUMMYFUNCTION("""COMPUTED_VALUE"""),9.0)</f>
        <v>9</v>
      </c>
      <c r="B10" s="6" t="str">
        <f>IFERROR(__xludf.DUMMYFUNCTION("""COMPUTED_VALUE"""),"Pentaxim")</f>
        <v>Pentaxim</v>
      </c>
      <c r="C10" s="7" t="str">
        <f>IFERROR(__xludf.DUMMYFUNCTION("""COMPUTED_VALUE"""),"https://grls.rosminzdrav.ru/Grls_View_v2.aspx?routingGuid=04b887e5-95d7-44df-beaa-a539fe956444")</f>
        <v>https://grls.rosminzdrav.ru/Grls_View_v2.aspx?routingGuid=04b887e5-95d7-44df-beaa-a539fe956444</v>
      </c>
      <c r="D10" s="8" t="str">
        <f>IFERROR(__xludf.DUMMYFUNCTION("""COMPUTED_VALUE"""),"Пентаксим")</f>
        <v>Пентаксим</v>
      </c>
      <c r="E10" s="8" t="str">
        <f>IFERROR(__xludf.DUMMYFUNCTION("""COMPUTED_VALUE"""),"Пентаксим® (вакцина для профилактики дифтерии и столбняка адсорбированная, коклюша ацеллюлярная, полиомиелита инактивированная и инфекций, вызываемых Haemophilus influenzae тип b, конъюгированная)")</f>
        <v>Пентаксим® (вакцина для профилактики дифтерии и столбняка адсорбированная, коклюша ацеллюлярная, полиомиелита инактивированная и инфекций, вызываемых Haemophilus influenzae тип b, конъюгированная)</v>
      </c>
      <c r="F10" s="8" t="str">
        <f>IFERROR(__xludf.DUMMYFUNCTION("""COMPUTED_VALUE"""),"Sanofi Pasteur")</f>
        <v>Sanofi Pasteur</v>
      </c>
      <c r="G10" s="8" t="str">
        <f>IFERROR(__xludf.DUMMYFUNCTION("""COMPUTED_VALUE"""),"in use")</f>
        <v>in use</v>
      </c>
      <c r="H10" s="9" t="str">
        <f>IFERROR(__xludf.DUMMYFUNCTION("""COMPUTED_VALUE"""),"&lt;p&gt;DTaP-IPV-Hib, бесклеточный коклюшный компонент&lt;/p&gt;")</f>
        <v>&lt;p&gt;DTaP-IPV-Hib, бесклеточный коклюшный компонент&lt;/p&gt;</v>
      </c>
      <c r="I10" s="9" t="str">
        <f>IFERROR(__xludf.DUMMYFUNCTION("""COMPUTED_VALUE"""),"DTaP-IPV-Hib, бесклеточный коклюшный компонент")</f>
        <v>DTaP-IPV-Hib, бесклеточный коклюшный компонент</v>
      </c>
      <c r="J10" s="8">
        <f>IFERROR(__xludf.DUMMYFUNCTION("""COMPUTED_VALUE"""),0.5)</f>
        <v>0.5</v>
      </c>
      <c r="K10" s="10">
        <f>IFERROR(__xludf.DUMMYFUNCTION("""COMPUTED_VALUE"""),44712.0)</f>
        <v>44712</v>
      </c>
      <c r="L10" s="10">
        <f>IFERROR(__xludf.DUMMYFUNCTION("""COMPUTED_VALUE"""),46204.0)</f>
        <v>46204</v>
      </c>
      <c r="M10" s="8" t="str">
        <f>IFERROR(__xludf.DUMMYFUNCTION("""COMPUTED_VALUE"""),"есть")</f>
        <v>есть</v>
      </c>
    </row>
    <row r="11">
      <c r="A11" s="5">
        <f>IFERROR(__xludf.DUMMYFUNCTION("""COMPUTED_VALUE"""),10.0)</f>
        <v>10</v>
      </c>
      <c r="B11" s="6" t="str">
        <f>IFERROR(__xludf.DUMMYFUNCTION("""COMPUTED_VALUE"""),"Infanrix_Hexa")</f>
        <v>Infanrix_Hexa</v>
      </c>
      <c r="C11" s="7" t="str">
        <f>IFERROR(__xludf.DUMMYFUNCTION("""COMPUTED_VALUE"""),"https://grls.rosminzdrav.ru/Grls_View_v2.aspx?routingGuid=f9454b06-083d-4c13-8eda-e54a19450d13")</f>
        <v>https://grls.rosminzdrav.ru/Grls_View_v2.aspx?routingGuid=f9454b06-083d-4c13-8eda-e54a19450d13</v>
      </c>
      <c r="D11" s="8" t="str">
        <f>IFERROR(__xludf.DUMMYFUNCTION("""COMPUTED_VALUE"""),"Инфанрикс Гекса")</f>
        <v>Инфанрикс Гекса</v>
      </c>
      <c r="E11" s="8" t="str">
        <f>IFERROR(__xludf.DUMMYFUNCTION("""COMPUTED_VALUE"""),"Инфанрикс® Гекса (Вакцина для профилактики дифтерии, столбняка, коклюша (бесклеточная), полиомиелита (инактивированная), гепатита B комбинированная, адсорбированная в комплекте с вакциной для профилактики инфекции, вызываемой Haemophilus influenzae тип b "&amp;"конъюгированной, адсорбированной)")</f>
        <v>Инфанрикс® Гекса (Вакцина для профилактики дифтерии, столбняка, коклюша (бесклеточная), полиомиелита (инактивированная), гепатита B комбинированная, адсорбированная в комплекте с вакциной для профилактики инфекции, вызываемой Haemophilus influenzae тип b конъюгированной, адсорбированной)</v>
      </c>
      <c r="F11" s="8" t="str">
        <f>IFERROR(__xludf.DUMMYFUNCTION("""COMPUTED_VALUE"""),"GSK")</f>
        <v>GSK</v>
      </c>
      <c r="G11" s="8" t="str">
        <f>IFERROR(__xludf.DUMMYFUNCTION("""COMPUTED_VALUE"""),"in use")</f>
        <v>in use</v>
      </c>
      <c r="H11" s="9" t="str">
        <f>IFERROR(__xludf.DUMMYFUNCTION("""COMPUTED_VALUE"""),"&lt;p&gt;DTaP-IPV-Hib-HepB, бесклеточный коклюшный компонент&lt;/p&gt;")</f>
        <v>&lt;p&gt;DTaP-IPV-Hib-HepB, бесклеточный коклюшный компонент&lt;/p&gt;</v>
      </c>
      <c r="I11" s="9" t="str">
        <f>IFERROR(__xludf.DUMMYFUNCTION("""COMPUTED_VALUE"""),"DTaP-IPV-Hib-HepB, бесклеточный коклюшный компонент")</f>
        <v>DTaP-IPV-Hib-HepB, бесклеточный коклюшный компонент</v>
      </c>
      <c r="J11" s="8">
        <f>IFERROR(__xludf.DUMMYFUNCTION("""COMPUTED_VALUE"""),0.5)</f>
        <v>0.5</v>
      </c>
      <c r="K11" s="10">
        <f>IFERROR(__xludf.DUMMYFUNCTION("""COMPUTED_VALUE"""),44712.0)</f>
        <v>44712</v>
      </c>
      <c r="L11" s="10">
        <f>IFERROR(__xludf.DUMMYFUNCTION("""COMPUTED_VALUE"""),46000.0)</f>
        <v>46000</v>
      </c>
      <c r="M11" s="8" t="str">
        <f>IFERROR(__xludf.DUMMYFUNCTION("""COMPUTED_VALUE"""),"есть")</f>
        <v>есть</v>
      </c>
    </row>
    <row r="12">
      <c r="A12" s="5">
        <f>IFERROR(__xludf.DUMMYFUNCTION("""COMPUTED_VALUE"""),11.0)</f>
        <v>11</v>
      </c>
      <c r="B12" s="6" t="str">
        <f>IFERROR(__xludf.DUMMYFUNCTION("""COMPUTED_VALUE"""),"Bubo_M")</f>
        <v>Bubo_M</v>
      </c>
      <c r="C12" s="7" t="str">
        <f>IFERROR(__xludf.DUMMYFUNCTION("""COMPUTED_VALUE"""),"https://grls.rosminzdrav.ru/Grls_View_v2.aspx?routingGuid=0b7d30f1-b40f-453c-9c7b-800a072aa409")</f>
        <v>https://grls.rosminzdrav.ru/Grls_View_v2.aspx?routingGuid=0b7d30f1-b40f-453c-9c7b-800a072aa409</v>
      </c>
      <c r="D12" s="8" t="str">
        <f>IFERROR(__xludf.DUMMYFUNCTION("""COMPUTED_VALUE"""),"Бубо-М")</f>
        <v>Бубо-М</v>
      </c>
      <c r="E12" s="8" t="str">
        <f>IFERROR(__xludf.DUMMYFUNCTION("""COMPUTED_VALUE"""),"Бубо®-М (Вакцина комбинированная гепатита B и анатоксина дифтерийно-столбнячного с уменьшенным содержанием антигенов адсорбированная жидкая)")</f>
        <v>Бубо®-М (Вакцина комбинированная гепатита B и анатоксина дифтерийно-столбнячного с уменьшенным содержанием антигенов адсорбированная жидкая)</v>
      </c>
      <c r="F12" s="8" t="str">
        <f>IFERROR(__xludf.DUMMYFUNCTION("""COMPUTED_VALUE"""),"Комбиотех")</f>
        <v>Комбиотех</v>
      </c>
      <c r="G12" s="8" t="str">
        <f>IFERROR(__xludf.DUMMYFUNCTION("""COMPUTED_VALUE"""),"not in use")</f>
        <v>not in use</v>
      </c>
      <c r="H12" s="9"/>
      <c r="I12" s="9"/>
      <c r="J12" s="8">
        <f>IFERROR(__xludf.DUMMYFUNCTION("""COMPUTED_VALUE"""),0.5)</f>
        <v>0.5</v>
      </c>
      <c r="K12" s="10">
        <f>IFERROR(__xludf.DUMMYFUNCTION("""COMPUTED_VALUE"""),44712.0)</f>
        <v>44712</v>
      </c>
      <c r="L12" s="10">
        <f>IFERROR(__xludf.DUMMYFUNCTION("""COMPUTED_VALUE"""),46188.0)</f>
        <v>46188</v>
      </c>
      <c r="M12" s="8" t="str">
        <f>IFERROR(__xludf.DUMMYFUNCTION("""COMPUTED_VALUE"""),"есть")</f>
        <v>есть</v>
      </c>
    </row>
    <row r="13">
      <c r="A13" s="5">
        <f>IFERROR(__xludf.DUMMYFUNCTION("""COMPUTED_VALUE"""),12.0)</f>
        <v>12</v>
      </c>
      <c r="B13" s="6" t="str">
        <f>IFERROR(__xludf.DUMMYFUNCTION("""COMPUTED_VALUE"""),"AD_M_Microgen")</f>
        <v>AD_M_Microgen</v>
      </c>
      <c r="C13" s="7" t="str">
        <f>IFERROR(__xludf.DUMMYFUNCTION("""COMPUTED_VALUE"""),"https://grls.rosminzdrav.ru/Grls_View_v2.aspx?routingGuid=fa42329f-9433-4dc6-af8a-f811be13fb87")</f>
        <v>https://grls.rosminzdrav.ru/Grls_View_v2.aspx?routingGuid=fa42329f-9433-4dc6-af8a-f811be13fb87</v>
      </c>
      <c r="D13" s="8" t="str">
        <f>IFERROR(__xludf.DUMMYFUNCTION("""COMPUTED_VALUE"""),"АД-М (Микроген)")</f>
        <v>АД-М (Микроген)</v>
      </c>
      <c r="E13" s="8" t="str">
        <f>IFERROR(__xludf.DUMMYFUNCTION("""COMPUTED_VALUE"""),"Анатоксин дифтерийный очищенный адсорбированный с уменьшенным содержанием антигена жидкий (АД-М-анатоксин)")</f>
        <v>Анатоксин дифтерийный очищенный адсорбированный с уменьшенным содержанием антигена жидкий (АД-М-анатоксин)</v>
      </c>
      <c r="F13" s="8" t="str">
        <f>IFERROR(__xludf.DUMMYFUNCTION("""COMPUTED_VALUE"""),"Микроген")</f>
        <v>Микроген</v>
      </c>
      <c r="G13" s="8" t="str">
        <f>IFERROR(__xludf.DUMMYFUNCTION("""COMPUTED_VALUE"""),"in use")</f>
        <v>in use</v>
      </c>
      <c r="H13" s="9"/>
      <c r="I13" s="9"/>
      <c r="J13" s="8">
        <f>IFERROR(__xludf.DUMMYFUNCTION("""COMPUTED_VALUE"""),0.5)</f>
        <v>0.5</v>
      </c>
      <c r="K13" s="10">
        <f>IFERROR(__xludf.DUMMYFUNCTION("""COMPUTED_VALUE"""),44712.0)</f>
        <v>44712</v>
      </c>
      <c r="L13" s="10">
        <f>IFERROR(__xludf.DUMMYFUNCTION("""COMPUTED_VALUE"""),45689.0)</f>
        <v>45689</v>
      </c>
      <c r="M13" s="7" t="str">
        <f>IFERROR(__xludf.DUMMYFUNCTION("""COMPUTED_VALUE"""),"https://lk.regmed.ru/Register/GetPDFfromDAToken?Token=9916a334-02fd-4f23-ad64-c996916ac2d6")</f>
        <v>https://lk.regmed.ru/Register/GetPDFfromDAToken?Token=9916a334-02fd-4f23-ad64-c996916ac2d6</v>
      </c>
    </row>
    <row r="14">
      <c r="A14" s="5">
        <f>IFERROR(__xludf.DUMMYFUNCTION("""COMPUTED_VALUE"""),13.0)</f>
        <v>13</v>
      </c>
      <c r="B14" s="6" t="str">
        <f>IFERROR(__xludf.DUMMYFUNCTION("""COMPUTED_VALUE"""),"ADS_Microgen")</f>
        <v>ADS_Microgen</v>
      </c>
      <c r="C14" s="7" t="str">
        <f>IFERROR(__xludf.DUMMYFUNCTION("""COMPUTED_VALUE"""),"https://grls.rosminzdrav.ru/Grls_View_v2.aspx?routingGuid=82af2230-6ada-4cb2-a263-0a2c1f841be2")</f>
        <v>https://grls.rosminzdrav.ru/Grls_View_v2.aspx?routingGuid=82af2230-6ada-4cb2-a263-0a2c1f841be2</v>
      </c>
      <c r="D14" s="8" t="str">
        <f>IFERROR(__xludf.DUMMYFUNCTION("""COMPUTED_VALUE"""),"АДС (Микроген)")</f>
        <v>АДС (Микроген)</v>
      </c>
      <c r="E14" s="8" t="str">
        <f>IFERROR(__xludf.DUMMYFUNCTION("""COMPUTED_VALUE"""),"Анатоксин дифтерийно-столбнячный очищенный адсорбированный жидкий (АДС-анатоксин)")</f>
        <v>Анатоксин дифтерийно-столбнячный очищенный адсорбированный жидкий (АДС-анатоксин)</v>
      </c>
      <c r="F14" s="8" t="str">
        <f>IFERROR(__xludf.DUMMYFUNCTION("""COMPUTED_VALUE"""),"Микроген")</f>
        <v>Микроген</v>
      </c>
      <c r="G14" s="8" t="str">
        <f>IFERROR(__xludf.DUMMYFUNCTION("""COMPUTED_VALUE"""),"in use")</f>
        <v>in use</v>
      </c>
      <c r="H14" s="9"/>
      <c r="I14" s="9"/>
      <c r="J14" s="8">
        <f>IFERROR(__xludf.DUMMYFUNCTION("""COMPUTED_VALUE"""),0.5)</f>
        <v>0.5</v>
      </c>
      <c r="K14" s="10">
        <f>IFERROR(__xludf.DUMMYFUNCTION("""COMPUTED_VALUE"""),44712.0)</f>
        <v>44712</v>
      </c>
      <c r="L14" s="10">
        <f>IFERROR(__xludf.DUMMYFUNCTION("""COMPUTED_VALUE"""),45689.0)</f>
        <v>45689</v>
      </c>
      <c r="M14" s="7" t="str">
        <f>IFERROR(__xludf.DUMMYFUNCTION("""COMPUTED_VALUE"""),"https://lk.regmed.ru/Register/GetPDFfromDAToken?Token=ff0cddac-c2c3-4fac-84e2-d026f4f71869")</f>
        <v>https://lk.regmed.ru/Register/GetPDFfromDAToken?Token=ff0cddac-c2c3-4fac-84e2-d026f4f71869</v>
      </c>
    </row>
    <row r="15">
      <c r="A15" s="5">
        <f>IFERROR(__xludf.DUMMYFUNCTION("""COMPUTED_VALUE"""),14.0)</f>
        <v>14</v>
      </c>
      <c r="B15" s="6" t="str">
        <f>IFERROR(__xludf.DUMMYFUNCTION("""COMPUTED_VALUE"""),"ADS_M_Microgen")</f>
        <v>ADS_M_Microgen</v>
      </c>
      <c r="C15" s="7" t="str">
        <f>IFERROR(__xludf.DUMMYFUNCTION("""COMPUTED_VALUE"""),"https://grls.rosminzdrav.ru/Grls_View_v2.aspx?routingGuid=7901c857-1397-49d2-9a93-f8c171091efa")</f>
        <v>https://grls.rosminzdrav.ru/Grls_View_v2.aspx?routingGuid=7901c857-1397-49d2-9a93-f8c171091efa</v>
      </c>
      <c r="D15" s="8" t="str">
        <f>IFERROR(__xludf.DUMMYFUNCTION("""COMPUTED_VALUE"""),"АДС-М (Микроген)")</f>
        <v>АДС-М (Микроген)</v>
      </c>
      <c r="E15" s="8" t="str">
        <f>IFERROR(__xludf.DUMMYFUNCTION("""COMPUTED_VALUE"""),"Анатоксин дифтерийно-столбнячный очищенный адсорбированный с уменьшенным содержанием антигенов жидкий (АДС-М-анатоксин)")</f>
        <v>Анатоксин дифтерийно-столбнячный очищенный адсорбированный с уменьшенным содержанием антигенов жидкий (АДС-М-анатоксин)</v>
      </c>
      <c r="F15" s="8" t="str">
        <f>IFERROR(__xludf.DUMMYFUNCTION("""COMPUTED_VALUE"""),"Микроген")</f>
        <v>Микроген</v>
      </c>
      <c r="G15" s="8" t="str">
        <f>IFERROR(__xludf.DUMMYFUNCTION("""COMPUTED_VALUE"""),"in use")</f>
        <v>in use</v>
      </c>
      <c r="H15" s="9"/>
      <c r="I15" s="9"/>
      <c r="J15" s="8">
        <f>IFERROR(__xludf.DUMMYFUNCTION("""COMPUTED_VALUE"""),0.5)</f>
        <v>0.5</v>
      </c>
      <c r="K15" s="10">
        <f>IFERROR(__xludf.DUMMYFUNCTION("""COMPUTED_VALUE"""),44712.0)</f>
        <v>44712</v>
      </c>
      <c r="L15" s="10">
        <f>IFERROR(__xludf.DUMMYFUNCTION("""COMPUTED_VALUE"""),45861.0)</f>
        <v>45861</v>
      </c>
      <c r="M15" s="7" t="str">
        <f>IFERROR(__xludf.DUMMYFUNCTION("""COMPUTED_VALUE"""),"https://lk.regmed.ru/Register/GetPDFfromDAToken?Token=67df064e-3139-49b6-917f-a5131fbd35d6")</f>
        <v>https://lk.regmed.ru/Register/GetPDFfromDAToken?Token=67df064e-3139-49b6-917f-a5131fbd35d6</v>
      </c>
    </row>
    <row r="16">
      <c r="A16" s="5">
        <f>IFERROR(__xludf.DUMMYFUNCTION("""COMPUTED_VALUE"""),15.0)</f>
        <v>15</v>
      </c>
      <c r="B16" s="6" t="str">
        <f>IFERROR(__xludf.DUMMYFUNCTION("""COMPUTED_VALUE"""),"ADS_M_Biomed")</f>
        <v>ADS_M_Biomed</v>
      </c>
      <c r="C16" s="7" t="str">
        <f>IFERROR(__xludf.DUMMYFUNCTION("""COMPUTED_VALUE"""),"https://grls.rosminzdrav.ru/Grls_View_v2.aspx?routingGuid=795940d7 – 9c11-423c-98fe-44a1d739a593")</f>
        <v>https://grls.rosminzdrav.ru/Grls_View_v2.aspx?routingGuid=795940d7 – 9c11-423c-98fe-44a1d739a593</v>
      </c>
      <c r="D16" s="8" t="str">
        <f>IFERROR(__xludf.DUMMYFUNCTION("""COMPUTED_VALUE"""),"АДС-М (Биомед)")</f>
        <v>АДС-М (Биомед)</v>
      </c>
      <c r="E16" s="8" t="str">
        <f>IFERROR(__xludf.DUMMYFUNCTION("""COMPUTED_VALUE"""),"Анатоксин дифтерийно-столбнячный очищенный адсорбированный с уменьшенным содержанием антигенов жидкий (АДС-М анатоксин)")</f>
        <v>Анатоксин дифтерийно-столбнячный очищенный адсорбированный с уменьшенным содержанием антигенов жидкий (АДС-М анатоксин)</v>
      </c>
      <c r="F16" s="8" t="str">
        <f>IFERROR(__xludf.DUMMYFUNCTION("""COMPUTED_VALUE"""),"Биомед")</f>
        <v>Биомед</v>
      </c>
      <c r="G16" s="8" t="str">
        <f>IFERROR(__xludf.DUMMYFUNCTION("""COMPUTED_VALUE"""),"in use")</f>
        <v>in use</v>
      </c>
      <c r="H16" s="9"/>
      <c r="I16" s="9"/>
      <c r="J16" s="8">
        <f>IFERROR(__xludf.DUMMYFUNCTION("""COMPUTED_VALUE"""),0.5)</f>
        <v>0.5</v>
      </c>
      <c r="K16" s="10">
        <f>IFERROR(__xludf.DUMMYFUNCTION("""COMPUTED_VALUE"""),44712.0)</f>
        <v>44712</v>
      </c>
      <c r="L16" s="10">
        <f>IFERROR(__xludf.DUMMYFUNCTION("""COMPUTED_VALUE"""),44712.0)</f>
        <v>44712</v>
      </c>
      <c r="M16" s="8" t="str">
        <f>IFERROR(__xludf.DUMMYFUNCTION("""COMPUTED_VALUE"""),"нет")</f>
        <v>нет</v>
      </c>
    </row>
    <row r="17">
      <c r="A17" s="5">
        <f>IFERROR(__xludf.DUMMYFUNCTION("""COMPUTED_VALUE"""),16.0)</f>
        <v>16</v>
      </c>
      <c r="B17" s="6" t="str">
        <f>IFERROR(__xludf.DUMMYFUNCTION("""COMPUTED_VALUE"""),"Adacel")</f>
        <v>Adacel</v>
      </c>
      <c r="C17" s="7" t="str">
        <f>IFERROR(__xludf.DUMMYFUNCTION("""COMPUTED_VALUE"""),"https://grls.rosminzdrav.ru/Grls_View_v2.aspx?routingGuid=d8627a3c-16a5-46d0-b31f-e60eb2448d80")</f>
        <v>https://grls.rosminzdrav.ru/Grls_View_v2.aspx?routingGuid=d8627a3c-16a5-46d0-b31f-e60eb2448d80</v>
      </c>
      <c r="D17" s="8" t="str">
        <f>IFERROR(__xludf.DUMMYFUNCTION("""COMPUTED_VALUE"""),"Адасель")</f>
        <v>Адасель</v>
      </c>
      <c r="E17" s="8" t="str">
        <f>IFERROR(__xludf.DUMMYFUNCTION("""COMPUTED_VALUE"""),"АДАСЕЛЬ® [Вакцина для профилактики дифтерии (с уменьшенным содержанием антигена), коклюша (с уменьшенным содержанием антигена, бесклеточная) и столбняка, комбинированная, адсорбированная]")</f>
        <v>АДАСЕЛЬ® [Вакцина для профилактики дифтерии (с уменьшенным содержанием антигена), коклюша (с уменьшенным содержанием антигена, бесклеточная) и столбняка, комбинированная, адсорбированная]</v>
      </c>
      <c r="F17" s="8" t="str">
        <f>IFERROR(__xludf.DUMMYFUNCTION("""COMPUTED_VALUE"""),"Санофи Пастер Лимитед")</f>
        <v>Санофи Пастер Лимитед</v>
      </c>
      <c r="G17" s="8" t="str">
        <f>IFERROR(__xludf.DUMMYFUNCTION("""COMPUTED_VALUE"""),"in use")</f>
        <v>in use</v>
      </c>
      <c r="H17" s="9" t="str">
        <f>IFERROR(__xludf.DUMMYFUNCTION("""COMPUTED_VALUE"""),"&lt;p&gt;Tdap, сниженное содержание дифтерийного и коклюшного компонента, бесклеточный коклюшный компонент&lt;/p&gt;")</f>
        <v>&lt;p&gt;Tdap, сниженное содержание дифтерийного и коклюшного компонента, бесклеточный коклюшный компонент&lt;/p&gt;</v>
      </c>
      <c r="I17" s="9" t="str">
        <f>IFERROR(__xludf.DUMMYFUNCTION("""COMPUTED_VALUE"""),"Tdap, сниженное содержание дифтерийного и коклюшного компонента, бесклеточный коклюшный компонент")</f>
        <v>Tdap, сниженное содержание дифтерийного и коклюшного компонента, бесклеточный коклюшный компонент</v>
      </c>
      <c r="J17" s="8">
        <f>IFERROR(__xludf.DUMMYFUNCTION("""COMPUTED_VALUE"""),0.5)</f>
        <v>0.5</v>
      </c>
      <c r="K17" s="10">
        <f>IFERROR(__xludf.DUMMYFUNCTION("""COMPUTED_VALUE"""),44712.0)</f>
        <v>44712</v>
      </c>
      <c r="L17" s="10">
        <f>IFERROR(__xludf.DUMMYFUNCTION("""COMPUTED_VALUE"""),45689.0)</f>
        <v>45689</v>
      </c>
      <c r="M17" s="7" t="str">
        <f>IFERROR(__xludf.DUMMYFUNCTION("""COMPUTED_VALUE"""),"https://lk.regmed.ru/Register/GetPDFfromDAToken?Token=7fabfdf2-4fe8-448e-859f-9a4b20cc3213")</f>
        <v>https://lk.regmed.ru/Register/GetPDFfromDAToken?Token=7fabfdf2-4fe8-448e-859f-9a4b20cc3213</v>
      </c>
    </row>
    <row r="18">
      <c r="A18" s="5">
        <f>IFERROR(__xludf.DUMMYFUNCTION("""COMPUTED_VALUE"""),17.0)</f>
        <v>17</v>
      </c>
      <c r="B18" s="6" t="str">
        <f>IFERROR(__xludf.DUMMYFUNCTION("""COMPUTED_VALUE"""),"Algavac_M")</f>
        <v>Algavac_M</v>
      </c>
      <c r="C18" s="7" t="str">
        <f>IFERROR(__xludf.DUMMYFUNCTION("""COMPUTED_VALUE"""),"https://grls.rosminzdrav.ru/Grls_View_v2.aspx?routingGuid=2bf12380-3a71-4642-a9a3-ef0e4ca9b815")</f>
        <v>https://grls.rosminzdrav.ru/Grls_View_v2.aspx?routingGuid=2bf12380-3a71-4642-a9a3-ef0e4ca9b815</v>
      </c>
      <c r="D18" s="8" t="str">
        <f>IFERROR(__xludf.DUMMYFUNCTION("""COMPUTED_VALUE"""),"Альгавак М")</f>
        <v>Альгавак М</v>
      </c>
      <c r="E18" s="8" t="str">
        <f>IFERROR(__xludf.DUMMYFUNCTION("""COMPUTED_VALUE"""),"АЛЬГАВАК® М")</f>
        <v>АЛЬГАВАК® М</v>
      </c>
      <c r="F18" s="8"/>
      <c r="G18" s="8" t="str">
        <f>IFERROR(__xludf.DUMMYFUNCTION("""COMPUTED_VALUE"""),"in use")</f>
        <v>in use</v>
      </c>
      <c r="H18" s="9"/>
      <c r="I18" s="9"/>
      <c r="J18" s="8"/>
      <c r="K18" s="10">
        <f>IFERROR(__xludf.DUMMYFUNCTION("""COMPUTED_VALUE"""),44712.0)</f>
        <v>44712</v>
      </c>
      <c r="L18" s="10">
        <f>IFERROR(__xludf.DUMMYFUNCTION("""COMPUTED_VALUE"""),45715.0)</f>
        <v>45715</v>
      </c>
      <c r="M18" s="8" t="str">
        <f>IFERROR(__xludf.DUMMYFUNCTION("""COMPUTED_VALUE"""),"нет")</f>
        <v>нет</v>
      </c>
    </row>
    <row r="19">
      <c r="A19" s="5">
        <f>IFERROR(__xludf.DUMMYFUNCTION("""COMPUTED_VALUE"""),18.0)</f>
        <v>18</v>
      </c>
      <c r="B19" s="6" t="str">
        <f>IFERROR(__xludf.DUMMYFUNCTION("""COMPUTED_VALUE"""),"Algavac")</f>
        <v>Algavac</v>
      </c>
      <c r="C19" s="7" t="str">
        <f>IFERROR(__xludf.DUMMYFUNCTION("""COMPUTED_VALUE"""),"https://grls.rosminzdrav.ru/Grls_View_v2.aspx?routingGuid=4f6d874c-7745-4c6b-8c90-228a1f2f3484")</f>
        <v>https://grls.rosminzdrav.ru/Grls_View_v2.aspx?routingGuid=4f6d874c-7745-4c6b-8c90-228a1f2f3484</v>
      </c>
      <c r="D19" s="8" t="str">
        <f>IFERROR(__xludf.DUMMYFUNCTION("""COMPUTED_VALUE"""),"Альгавак")</f>
        <v>Альгавак</v>
      </c>
      <c r="E19" s="8" t="str">
        <f>IFERROR(__xludf.DUMMYFUNCTION("""COMPUTED_VALUE"""),"АЛЬГАВАК®")</f>
        <v>АЛЬГАВАК®</v>
      </c>
      <c r="F19" s="8"/>
      <c r="G19" s="8" t="str">
        <f>IFERROR(__xludf.DUMMYFUNCTION("""COMPUTED_VALUE"""),"not in use")</f>
        <v>not in use</v>
      </c>
      <c r="H19" s="9" t="str">
        <f>IFERROR(__xludf.DUMMYFUNCTION("""COMPUTED_VALUE"""),"&lt;p&gt;Вакцину АЛЬГАВАК можно использовать для ревакцинации в тех случаях, когда предыдущая вакцинация осуществлялась другими инактивированными вакцинами для профилактики гепатита А.&lt;/p&gt;")</f>
        <v>&lt;p&gt;Вакцину АЛЬГАВАК можно использовать для ревакцинации в тех случаях, когда предыдущая вакцинация осуществлялась другими инактивированными вакцинами для профилактики гепатита А.&lt;/p&gt;</v>
      </c>
      <c r="I19" s="9" t="str">
        <f>IFERROR(__xludf.DUMMYFUNCTION("""COMPUTED_VALUE"""),"Вакцину АЛЬГАВАК можно использовать для ревакцинации в тех случаях, когда предыдущая вакцинация осуществлялась другими инактивированными вакцинами для профилактики гепатита А.")</f>
        <v>Вакцину АЛЬГАВАК можно использовать для ревакцинации в тех случаях, когда предыдущая вакцинация осуществлялась другими инактивированными вакцинами для профилактики гепатита А.</v>
      </c>
      <c r="J19" s="8"/>
      <c r="K19" s="10">
        <f>IFERROR(__xludf.DUMMYFUNCTION("""COMPUTED_VALUE"""),44712.0)</f>
        <v>44712</v>
      </c>
      <c r="L19" s="10">
        <f>IFERROR(__xludf.DUMMYFUNCTION("""COMPUTED_VALUE"""),46188.0)</f>
        <v>46188</v>
      </c>
      <c r="M19" s="8" t="str">
        <f>IFERROR(__xludf.DUMMYFUNCTION("""COMPUTED_VALUE"""),"есть")</f>
        <v>есть</v>
      </c>
    </row>
    <row r="20">
      <c r="A20" s="5">
        <f>IFERROR(__xludf.DUMMYFUNCTION("""COMPUTED_VALUE"""),19.0)</f>
        <v>19</v>
      </c>
      <c r="B20" s="6" t="str">
        <f>IFERROR(__xludf.DUMMYFUNCTION("""COMPUTED_VALUE"""),"Havrix_720")</f>
        <v>Havrix_720</v>
      </c>
      <c r="C20" s="7" t="str">
        <f>IFERROR(__xludf.DUMMYFUNCTION("""COMPUTED_VALUE"""),"https://grls.rosminzdrav.ru/Grls_View_v2.aspx?routingGuid=b8dfef4d-a4cf-4d18-9599-1a3fb42864c7")</f>
        <v>https://grls.rosminzdrav.ru/Grls_View_v2.aspx?routingGuid=b8dfef4d-a4cf-4d18-9599-1a3fb42864c7</v>
      </c>
      <c r="D20" s="8" t="str">
        <f>IFERROR(__xludf.DUMMYFUNCTION("""COMPUTED_VALUE"""),"Хаврикс 720")</f>
        <v>Хаврикс 720</v>
      </c>
      <c r="E20" s="8" t="str">
        <f>IFERROR(__xludf.DUMMYFUNCTION("""COMPUTED_VALUE"""),"Хаврикс® (вакцина против гепатита А инактивированная)")</f>
        <v>Хаврикс® (вакцина против гепатита А инактивированная)</v>
      </c>
      <c r="F20" s="8" t="str">
        <f>IFERROR(__xludf.DUMMYFUNCTION("""COMPUTED_VALUE"""),"GSK")</f>
        <v>GSK</v>
      </c>
      <c r="G20" s="8" t="str">
        <f>IFERROR(__xludf.DUMMYFUNCTION("""COMPUTED_VALUE"""),"in use")</f>
        <v>in use</v>
      </c>
      <c r="H20" s="9"/>
      <c r="I20" s="9"/>
      <c r="J20" s="8"/>
      <c r="K20" s="10">
        <f>IFERROR(__xludf.DUMMYFUNCTION("""COMPUTED_VALUE"""),44712.0)</f>
        <v>44712</v>
      </c>
      <c r="L20" s="10">
        <f>IFERROR(__xludf.DUMMYFUNCTION("""COMPUTED_VALUE"""),45689.0)</f>
        <v>45689</v>
      </c>
      <c r="M20" s="7" t="str">
        <f>IFERROR(__xludf.DUMMYFUNCTION("""COMPUTED_VALUE"""),"https://lk.regmed.ru/Register/GetPDFfromDAToken?Token=6d0a7c06-3859-4f01-8d37-bf8887046a88")</f>
        <v>https://lk.regmed.ru/Register/GetPDFfromDAToken?Token=6d0a7c06-3859-4f01-8d37-bf8887046a88</v>
      </c>
    </row>
    <row r="21">
      <c r="A21" s="5">
        <f>IFERROR(__xludf.DUMMYFUNCTION("""COMPUTED_VALUE"""),20.0)</f>
        <v>20</v>
      </c>
      <c r="B21" s="6" t="str">
        <f>IFERROR(__xludf.DUMMYFUNCTION("""COMPUTED_VALUE"""),"Havrix_1440")</f>
        <v>Havrix_1440</v>
      </c>
      <c r="C21" s="7" t="str">
        <f>IFERROR(__xludf.DUMMYFUNCTION("""COMPUTED_VALUE"""),"https://grls.rosminzdrav.ru/Grls_View_v2.aspx?routingGuid=b8dfef4d-a4cf-4d18-9599-1a3fb42864c7")</f>
        <v>https://grls.rosminzdrav.ru/Grls_View_v2.aspx?routingGuid=b8dfef4d-a4cf-4d18-9599-1a3fb42864c7</v>
      </c>
      <c r="D21" s="8" t="str">
        <f>IFERROR(__xludf.DUMMYFUNCTION("""COMPUTED_VALUE"""),"Хаврикс 1440")</f>
        <v>Хаврикс 1440</v>
      </c>
      <c r="E21" s="8" t="str">
        <f>IFERROR(__xludf.DUMMYFUNCTION("""COMPUTED_VALUE"""),"Хаврикс® (вакцина против гепатита А инактивированная)")</f>
        <v>Хаврикс® (вакцина против гепатита А инактивированная)</v>
      </c>
      <c r="F21" s="8" t="str">
        <f>IFERROR(__xludf.DUMMYFUNCTION("""COMPUTED_VALUE"""),"GSK")</f>
        <v>GSK</v>
      </c>
      <c r="G21" s="8" t="str">
        <f>IFERROR(__xludf.DUMMYFUNCTION("""COMPUTED_VALUE"""),"not in use")</f>
        <v>not in use</v>
      </c>
      <c r="H21" s="9"/>
      <c r="I21" s="9"/>
      <c r="J21" s="8"/>
      <c r="K21" s="10">
        <f>IFERROR(__xludf.DUMMYFUNCTION("""COMPUTED_VALUE"""),44712.0)</f>
        <v>44712</v>
      </c>
      <c r="L21" s="10">
        <f>IFERROR(__xludf.DUMMYFUNCTION("""COMPUTED_VALUE"""),45689.0)</f>
        <v>45689</v>
      </c>
      <c r="M21" s="7" t="str">
        <f>IFERROR(__xludf.DUMMYFUNCTION("""COMPUTED_VALUE"""),"https://lk.regmed.ru/Register/GetPDFfromDAToken?Token=6d0a7c06-3859-4f01-8d37-bf8887046a88")</f>
        <v>https://lk.regmed.ru/Register/GetPDFfromDAToken?Token=6d0a7c06-3859-4f01-8d37-bf8887046a88</v>
      </c>
    </row>
    <row r="22">
      <c r="A22" s="5">
        <f>IFERROR(__xludf.DUMMYFUNCTION("""COMPUTED_VALUE"""),21.0)</f>
        <v>21</v>
      </c>
      <c r="B22" s="6" t="str">
        <f>IFERROR(__xludf.DUMMYFUNCTION("""COMPUTED_VALUE"""),"Avaxim_80")</f>
        <v>Avaxim_80</v>
      </c>
      <c r="C22" s="7" t="str">
        <f>IFERROR(__xludf.DUMMYFUNCTION("""COMPUTED_VALUE"""),"https://grls.rosminzdrav.ru/Grls_View_v2.aspx?routingGuid=0814c0aa-66c2-4566-a774-02de4c45b6ac")</f>
        <v>https://grls.rosminzdrav.ru/Grls_View_v2.aspx?routingGuid=0814c0aa-66c2-4566-a774-02de4c45b6ac</v>
      </c>
      <c r="D22" s="8" t="str">
        <f>IFERROR(__xludf.DUMMYFUNCTION("""COMPUTED_VALUE"""),"Аваксим 80")</f>
        <v>Аваксим 80</v>
      </c>
      <c r="E22" s="8" t="str">
        <f>IFERROR(__xludf.DUMMYFUNCTION("""COMPUTED_VALUE"""),"Аваксим 80 (вакцина для профилактики гепатита A инактивированная, адсорбированная)")</f>
        <v>Аваксим 80 (вакцина для профилактики гепатита A инактивированная, адсорбированная)</v>
      </c>
      <c r="F22" s="8"/>
      <c r="G22" s="8" t="str">
        <f>IFERROR(__xludf.DUMMYFUNCTION("""COMPUTED_VALUE"""),"not in use")</f>
        <v>not in use</v>
      </c>
      <c r="H22" s="9"/>
      <c r="I22" s="9"/>
      <c r="J22" s="8"/>
      <c r="K22" s="10">
        <f>IFERROR(__xludf.DUMMYFUNCTION("""COMPUTED_VALUE"""),44712.0)</f>
        <v>44712</v>
      </c>
      <c r="L22" s="10">
        <f>IFERROR(__xludf.DUMMYFUNCTION("""COMPUTED_VALUE"""),44916.0)</f>
        <v>44916</v>
      </c>
      <c r="M22" s="8" t="str">
        <f>IFERROR(__xludf.DUMMYFUNCTION("""COMPUTED_VALUE"""),"нет")</f>
        <v>нет</v>
      </c>
    </row>
    <row r="23">
      <c r="A23" s="5">
        <f>IFERROR(__xludf.DUMMYFUNCTION("""COMPUTED_VALUE"""),22.0)</f>
        <v>22</v>
      </c>
      <c r="B23" s="6" t="str">
        <f>IFERROR(__xludf.DUMMYFUNCTION("""COMPUTED_VALUE"""),"Avaxim_160")</f>
        <v>Avaxim_160</v>
      </c>
      <c r="C23" s="7" t="str">
        <f>IFERROR(__xludf.DUMMYFUNCTION("""COMPUTED_VALUE"""),"https://grls.rosminzdrav.ru/Grls_View_v2.aspx?routingGuid=658e07cb-fcb9-412f-9392-b9e9e21a6343")</f>
        <v>https://grls.rosminzdrav.ru/Grls_View_v2.aspx?routingGuid=658e07cb-fcb9-412f-9392-b9e9e21a6343</v>
      </c>
      <c r="D23" s="8" t="str">
        <f>IFERROR(__xludf.DUMMYFUNCTION("""COMPUTED_VALUE"""),"Аваксим 160")</f>
        <v>Аваксим 160</v>
      </c>
      <c r="E23" s="8" t="str">
        <f>IFERROR(__xludf.DUMMYFUNCTION("""COMPUTED_VALUE"""),"Аваксим 160 (вакцина для профилактики гепатита A инактивированная, адсорбированная)")</f>
        <v>Аваксим 160 (вакцина для профилактики гепатита A инактивированная, адсорбированная)</v>
      </c>
      <c r="F23" s="8"/>
      <c r="G23" s="8" t="str">
        <f>IFERROR(__xludf.DUMMYFUNCTION("""COMPUTED_VALUE"""),"not in use")</f>
        <v>not in use</v>
      </c>
      <c r="H23" s="9"/>
      <c r="I23" s="9"/>
      <c r="J23" s="8"/>
      <c r="K23" s="10">
        <f>IFERROR(__xludf.DUMMYFUNCTION("""COMPUTED_VALUE"""),44712.0)</f>
        <v>44712</v>
      </c>
      <c r="L23" s="10">
        <f>IFERROR(__xludf.DUMMYFUNCTION("""COMPUTED_VALUE"""),44916.0)</f>
        <v>44916</v>
      </c>
      <c r="M23" s="8" t="str">
        <f>IFERROR(__xludf.DUMMYFUNCTION("""COMPUTED_VALUE"""),"нет")</f>
        <v>нет</v>
      </c>
    </row>
    <row r="24">
      <c r="A24" s="5">
        <f>IFERROR(__xludf.DUMMYFUNCTION("""COMPUTED_VALUE"""),23.0)</f>
        <v>23</v>
      </c>
      <c r="B24" s="6" t="str">
        <f>IFERROR(__xludf.DUMMYFUNCTION("""COMPUTED_VALUE"""),"Regevac_0_5")</f>
        <v>Regevac_0_5</v>
      </c>
      <c r="C24" s="7" t="str">
        <f>IFERROR(__xludf.DUMMYFUNCTION("""COMPUTED_VALUE"""),"https://grls.rosminzdrav.ru/Grls_View_v2.aspx?routingGuid=ec6e3b51-e76b-4abf-99cf-7c02bab06091")</f>
        <v>https://grls.rosminzdrav.ru/Grls_View_v2.aspx?routingGuid=ec6e3b51-e76b-4abf-99cf-7c02bab06091</v>
      </c>
      <c r="D24" s="8" t="str">
        <f>IFERROR(__xludf.DUMMYFUNCTION("""COMPUTED_VALUE"""),"Регевак детский")</f>
        <v>Регевак детский</v>
      </c>
      <c r="E24" s="8" t="str">
        <f>IFERROR(__xludf.DUMMYFUNCTION("""COMPUTED_VALUE"""),"Регевак® В (Вакцина против гепатита В, рекомбинантная дрожжевая жидкая)")</f>
        <v>Регевак® В (Вакцина против гепатита В, рекомбинантная дрожжевая жидкая)</v>
      </c>
      <c r="F24" s="8"/>
      <c r="G24" s="8" t="str">
        <f>IFERROR(__xludf.DUMMYFUNCTION("""COMPUTED_VALUE"""),"in use")</f>
        <v>in use</v>
      </c>
      <c r="H24" s="9"/>
      <c r="I24" s="9"/>
      <c r="J24" s="8"/>
      <c r="K24" s="10">
        <f>IFERROR(__xludf.DUMMYFUNCTION("""COMPUTED_VALUE"""),44712.0)</f>
        <v>44712</v>
      </c>
      <c r="L24" s="10">
        <f>IFERROR(__xludf.DUMMYFUNCTION("""COMPUTED_VALUE"""),45988.0)</f>
        <v>45988</v>
      </c>
      <c r="M24" s="8" t="str">
        <f>IFERROR(__xludf.DUMMYFUNCTION("""COMPUTED_VALUE"""),"есть")</f>
        <v>есть</v>
      </c>
    </row>
    <row r="25">
      <c r="A25" s="5">
        <f>IFERROR(__xludf.DUMMYFUNCTION("""COMPUTED_VALUE"""),24.0)</f>
        <v>24</v>
      </c>
      <c r="B25" s="6" t="str">
        <f>IFERROR(__xludf.DUMMYFUNCTION("""COMPUTED_VALUE"""),"HepB_Combiotech_0_5")</f>
        <v>HepB_Combiotech_0_5</v>
      </c>
      <c r="C25" s="7" t="str">
        <f>IFERROR(__xludf.DUMMYFUNCTION("""COMPUTED_VALUE"""),"https://grls.rosminzdrav.ru/Grls_View_v2.aspx?routingGuid=0cc60fe9-635e-4134-80d2-59a7787e33fb")</f>
        <v>https://grls.rosminzdrav.ru/Grls_View_v2.aspx?routingGuid=0cc60fe9-635e-4134-80d2-59a7787e33fb</v>
      </c>
      <c r="D25" s="8" t="str">
        <f>IFERROR(__xludf.DUMMYFUNCTION("""COMPUTED_VALUE"""),"гепатита B (Комбиотех) детская")</f>
        <v>гепатита B (Комбиотех) детская</v>
      </c>
      <c r="E25" s="8" t="str">
        <f>IFERROR(__xludf.DUMMYFUNCTION("""COMPUTED_VALUE"""),"Вакцина гепатита В рекомбинантная дрожжевая")</f>
        <v>Вакцина гепатита В рекомбинантная дрожжевая</v>
      </c>
      <c r="F25" s="8" t="str">
        <f>IFERROR(__xludf.DUMMYFUNCTION("""COMPUTED_VALUE"""),"Комбиотех")</f>
        <v>Комбиотех</v>
      </c>
      <c r="G25" s="8" t="str">
        <f>IFERROR(__xludf.DUMMYFUNCTION("""COMPUTED_VALUE"""),"in use")</f>
        <v>in use</v>
      </c>
      <c r="H25" s="9" t="str">
        <f>IFERROR(__xludf.DUMMYFUNCTION("""COMPUTED_VALUE"""),"&lt;p&gt;Препарат выпускается в виде «взрослой» и «детской» вакцины с консервантом и без консерванта.&lt;/p&gt;")</f>
        <v>&lt;p&gt;Препарат выпускается в виде «взрослой» и «детской» вакцины с консервантом и без консерванта.&lt;/p&gt;</v>
      </c>
      <c r="I25" s="9" t="str">
        <f>IFERROR(__xludf.DUMMYFUNCTION("""COMPUTED_VALUE"""),"Препарат выпускается в виде «взрослой» и «детской» вакцины с консервантом и без консерванта.")</f>
        <v>Препарат выпускается в виде «взрослой» и «детской» вакцины с консервантом и без консерванта.</v>
      </c>
      <c r="J25" s="8"/>
      <c r="K25" s="10">
        <f>IFERROR(__xludf.DUMMYFUNCTION("""COMPUTED_VALUE"""),44712.0)</f>
        <v>44712</v>
      </c>
      <c r="L25" s="10">
        <f>IFERROR(__xludf.DUMMYFUNCTION("""COMPUTED_VALUE"""),46130.0)</f>
        <v>46130</v>
      </c>
      <c r="M25" s="8" t="str">
        <f>IFERROR(__xludf.DUMMYFUNCTION("""COMPUTED_VALUE"""),"есть")</f>
        <v>есть</v>
      </c>
    </row>
    <row r="26">
      <c r="A26" s="5">
        <f>IFERROR(__xludf.DUMMYFUNCTION("""COMPUTED_VALUE"""),25.0)</f>
        <v>25</v>
      </c>
      <c r="B26" s="6" t="str">
        <f>IFERROR(__xludf.DUMMYFUNCTION("""COMPUTED_VALUE"""),"Euvax_B_0_5")</f>
        <v>Euvax_B_0_5</v>
      </c>
      <c r="C26" s="7" t="str">
        <f>IFERROR(__xludf.DUMMYFUNCTION("""COMPUTED_VALUE"""),"https://grls.rosminzdrav.ru/Grls_View_v2.aspx?routingGuid=0d28b2ad-18b2-4e7a-8c27-436c0feea6d4")</f>
        <v>https://grls.rosminzdrav.ru/Grls_View_v2.aspx?routingGuid=0d28b2ad-18b2-4e7a-8c27-436c0feea6d4</v>
      </c>
      <c r="D26" s="8" t="str">
        <f>IFERROR(__xludf.DUMMYFUNCTION("""COMPUTED_VALUE"""),"Эувакс В детский")</f>
        <v>Эувакс В детский</v>
      </c>
      <c r="E26" s="8" t="str">
        <f>IFERROR(__xludf.DUMMYFUNCTION("""COMPUTED_VALUE"""),"Эувакс В (вакцина для профилактики гепатита B рекомбинантная)")</f>
        <v>Эувакс В (вакцина для профилактики гепатита B рекомбинантная)</v>
      </c>
      <c r="F26" s="8"/>
      <c r="G26" s="8" t="str">
        <f>IFERROR(__xludf.DUMMYFUNCTION("""COMPUTED_VALUE"""),"not in use")</f>
        <v>not in use</v>
      </c>
      <c r="H26" s="9"/>
      <c r="I26" s="9"/>
      <c r="J26" s="8"/>
      <c r="K26" s="10">
        <f>IFERROR(__xludf.DUMMYFUNCTION("""COMPUTED_VALUE"""),44712.0)</f>
        <v>44712</v>
      </c>
      <c r="L26" s="10">
        <f>IFERROR(__xludf.DUMMYFUNCTION("""COMPUTED_VALUE"""),44712.0)</f>
        <v>44712</v>
      </c>
      <c r="M26" s="8" t="str">
        <f>IFERROR(__xludf.DUMMYFUNCTION("""COMPUTED_VALUE"""),"нет")</f>
        <v>нет</v>
      </c>
    </row>
    <row r="27">
      <c r="A27" s="5">
        <f>IFERROR(__xludf.DUMMYFUNCTION("""COMPUTED_VALUE"""),26.0)</f>
        <v>26</v>
      </c>
      <c r="B27" s="6" t="str">
        <f>IFERROR(__xludf.DUMMYFUNCTION("""COMPUTED_VALUE"""),"Euvax_B_1_0")</f>
        <v>Euvax_B_1_0</v>
      </c>
      <c r="C27" s="7" t="str">
        <f>IFERROR(__xludf.DUMMYFUNCTION("""COMPUTED_VALUE"""),"https://grls.rosminzdrav.ru/Grls_View_v2.aspx?routingGuid=0d28b2ad-18b2-4e7a-8c27-436c0feea6d4")</f>
        <v>https://grls.rosminzdrav.ru/Grls_View_v2.aspx?routingGuid=0d28b2ad-18b2-4e7a-8c27-436c0feea6d4</v>
      </c>
      <c r="D27" s="8" t="str">
        <f>IFERROR(__xludf.DUMMYFUNCTION("""COMPUTED_VALUE"""),"Эувакс В взрослый")</f>
        <v>Эувакс В взрослый</v>
      </c>
      <c r="E27" s="8" t="str">
        <f>IFERROR(__xludf.DUMMYFUNCTION("""COMPUTED_VALUE"""),"Эувакс В (вакцина для профилактики гепатита B рекомбинантная)")</f>
        <v>Эувакс В (вакцина для профилактики гепатита B рекомбинантная)</v>
      </c>
      <c r="F27" s="8"/>
      <c r="G27" s="8" t="str">
        <f>IFERROR(__xludf.DUMMYFUNCTION("""COMPUTED_VALUE"""),"not in use")</f>
        <v>not in use</v>
      </c>
      <c r="H27" s="9"/>
      <c r="I27" s="9"/>
      <c r="J27" s="8"/>
      <c r="K27" s="10">
        <f>IFERROR(__xludf.DUMMYFUNCTION("""COMPUTED_VALUE"""),44712.0)</f>
        <v>44712</v>
      </c>
      <c r="L27" s="10">
        <f>IFERROR(__xludf.DUMMYFUNCTION("""COMPUTED_VALUE"""),44712.0)</f>
        <v>44712</v>
      </c>
      <c r="M27" s="8" t="str">
        <f>IFERROR(__xludf.DUMMYFUNCTION("""COMPUTED_VALUE"""),"нет")</f>
        <v>нет</v>
      </c>
    </row>
    <row r="28">
      <c r="A28" s="5">
        <f>IFERROR(__xludf.DUMMYFUNCTION("""COMPUTED_VALUE"""),27.0)</f>
        <v>27</v>
      </c>
      <c r="B28" s="6" t="str">
        <f>IFERROR(__xludf.DUMMYFUNCTION("""COMPUTED_VALUE"""),"Cervarix")</f>
        <v>Cervarix</v>
      </c>
      <c r="C28" s="7" t="str">
        <f>IFERROR(__xludf.DUMMYFUNCTION("""COMPUTED_VALUE"""),"https://grls.rosminzdrav.ru/Grls_View_v2.aspx?routingGuid=eb109c11-f04c-4753-b278-73a5bd064e47")</f>
        <v>https://grls.rosminzdrav.ru/Grls_View_v2.aspx?routingGuid=eb109c11-f04c-4753-b278-73a5bd064e47</v>
      </c>
      <c r="D28" s="8" t="str">
        <f>IFERROR(__xludf.DUMMYFUNCTION("""COMPUTED_VALUE"""),"Церварикс")</f>
        <v>Церварикс</v>
      </c>
      <c r="E28" s="8" t="str">
        <f>IFERROR(__xludf.DUMMYFUNCTION("""COMPUTED_VALUE"""),"Церварикс®")</f>
        <v>Церварикс®</v>
      </c>
      <c r="F28" s="8"/>
      <c r="G28" s="8" t="str">
        <f>IFERROR(__xludf.DUMMYFUNCTION("""COMPUTED_VALUE"""),"in use")</f>
        <v>in use</v>
      </c>
      <c r="H28" s="9"/>
      <c r="I28" s="9"/>
      <c r="J28" s="8"/>
      <c r="K28" s="10">
        <f>IFERROR(__xludf.DUMMYFUNCTION("""COMPUTED_VALUE"""),44712.0)</f>
        <v>44712</v>
      </c>
      <c r="L28" s="10">
        <f>IFERROR(__xludf.DUMMYFUNCTION("""COMPUTED_VALUE"""),45689.0)</f>
        <v>45689</v>
      </c>
      <c r="M28" s="7" t="str">
        <f>IFERROR(__xludf.DUMMYFUNCTION("""COMPUTED_VALUE"""),"https://lk.regmed.ru/Register/GetPDFfromDAToken?Token=f88d9e07-3794-4fde-9c2d-fd91c377cc95")</f>
        <v>https://lk.regmed.ru/Register/GetPDFfromDAToken?Token=f88d9e07-3794-4fde-9c2d-fd91c377cc95</v>
      </c>
    </row>
    <row r="29">
      <c r="A29" s="5">
        <f>IFERROR(__xludf.DUMMYFUNCTION("""COMPUTED_VALUE"""),28.0)</f>
        <v>28</v>
      </c>
      <c r="B29" s="6" t="str">
        <f>IFERROR(__xludf.DUMMYFUNCTION("""COMPUTED_VALUE"""),"Gardasil_4")</f>
        <v>Gardasil_4</v>
      </c>
      <c r="C29" s="7" t="str">
        <f>IFERROR(__xludf.DUMMYFUNCTION("""COMPUTED_VALUE"""),"https://grls.rosminzdrav.ru/Grls_View_v2.aspx?routingGuid=2ae3187f-3553-4a0f-953d-db66a9c16d23")</f>
        <v>https://grls.rosminzdrav.ru/Grls_View_v2.aspx?routingGuid=2ae3187f-3553-4a0f-953d-db66a9c16d23</v>
      </c>
      <c r="D29" s="8" t="str">
        <f>IFERROR(__xludf.DUMMYFUNCTION("""COMPUTED_VALUE"""),"Гардасил 4")</f>
        <v>Гардасил 4</v>
      </c>
      <c r="E29" s="8" t="str">
        <f>IFERROR(__xludf.DUMMYFUNCTION("""COMPUTED_VALUE"""),"Гардасил®")</f>
        <v>Гардасил®</v>
      </c>
      <c r="F29" s="8" t="str">
        <f>IFERROR(__xludf.DUMMYFUNCTION("""COMPUTED_VALUE"""),"MSD")</f>
        <v>MSD</v>
      </c>
      <c r="G29" s="8" t="str">
        <f>IFERROR(__xludf.DUMMYFUNCTION("""COMPUTED_VALUE"""),"in use")</f>
        <v>in use</v>
      </c>
      <c r="H29" s="9" t="str">
        <f>IFERROR(__xludf.DUMMYFUNCTION("""COMPUTED_VALUE"""),"&lt;p&gt;4-валентная&lt;/p&gt;")</f>
        <v>&lt;p&gt;4-валентная&lt;/p&gt;</v>
      </c>
      <c r="I29" s="9" t="str">
        <f>IFERROR(__xludf.DUMMYFUNCTION("""COMPUTED_VALUE"""),"4-валентная")</f>
        <v>4-валентная</v>
      </c>
      <c r="J29" s="8">
        <f>IFERROR(__xludf.DUMMYFUNCTION("""COMPUTED_VALUE"""),0.5)</f>
        <v>0.5</v>
      </c>
      <c r="K29" s="10">
        <f>IFERROR(__xludf.DUMMYFUNCTION("""COMPUTED_VALUE"""),44712.0)</f>
        <v>44712</v>
      </c>
      <c r="L29" s="10">
        <f>IFERROR(__xludf.DUMMYFUNCTION("""COMPUTED_VALUE"""),45689.0)</f>
        <v>45689</v>
      </c>
      <c r="M29" s="7" t="str">
        <f>IFERROR(__xludf.DUMMYFUNCTION("""COMPUTED_VALUE"""),"https://lk.regmed.ru/Register/GetPDFfromDAToken?Token=ba26e648-28b3-4eac-b578-0748c8e03c4e")</f>
        <v>https://lk.regmed.ru/Register/GetPDFfromDAToken?Token=ba26e648-28b3-4eac-b578-0748c8e03c4e</v>
      </c>
    </row>
    <row r="30">
      <c r="A30" s="5">
        <f>IFERROR(__xludf.DUMMYFUNCTION("""COMPUTED_VALUE"""),29.0)</f>
        <v>29</v>
      </c>
      <c r="B30" s="6" t="str">
        <f>IFERROR(__xludf.DUMMYFUNCTION("""COMPUTED_VALUE"""),"Sputnik")</f>
        <v>Sputnik</v>
      </c>
      <c r="C30" s="7" t="str">
        <f>IFERROR(__xludf.DUMMYFUNCTION("""COMPUTED_VALUE"""),"https://grls.rosminzdrav.ru/Grls_View_v2.aspx?routingGuid=579be5e3-09cf-46b4-8238-f3087cd4e808")</f>
        <v>https://grls.rosminzdrav.ru/Grls_View_v2.aspx?routingGuid=579be5e3-09cf-46b4-8238-f3087cd4e808</v>
      </c>
      <c r="D30" s="8" t="str">
        <f>IFERROR(__xludf.DUMMYFUNCTION("""COMPUTED_VALUE"""),"Спутник V")</f>
        <v>Спутник V</v>
      </c>
      <c r="E30" s="8" t="str">
        <f>IFERROR(__xludf.DUMMYFUNCTION("""COMPUTED_VALUE"""),"Гам-КОВИД-Вак Комбинированная векторная вакцина для профилактики коронавирусной инфекции, вызываемой вирусом SARS-CoV-2")</f>
        <v>Гам-КОВИД-Вак Комбинированная векторная вакцина для профилактики коронавирусной инфекции, вызываемой вирусом SARS-CoV-2</v>
      </c>
      <c r="F30" s="8" t="str">
        <f>IFERROR(__xludf.DUMMYFUNCTION("""COMPUTED_VALUE"""),"НИЦЭМ им. Н.Ф. Гамалеи")</f>
        <v>НИЦЭМ им. Н.Ф. Гамалеи</v>
      </c>
      <c r="G30" s="8" t="str">
        <f>IFERROR(__xludf.DUMMYFUNCTION("""COMPUTED_VALUE"""),"in use")</f>
        <v>in use</v>
      </c>
      <c r="H30" s="9"/>
      <c r="I30" s="9"/>
      <c r="J30" s="8">
        <f>IFERROR(__xludf.DUMMYFUNCTION("""COMPUTED_VALUE"""),0.5)</f>
        <v>0.5</v>
      </c>
      <c r="K30" s="10">
        <f>IFERROR(__xludf.DUMMYFUNCTION("""COMPUTED_VALUE"""),44712.0)</f>
        <v>44712</v>
      </c>
      <c r="L30" s="10">
        <f>IFERROR(__xludf.DUMMYFUNCTION("""COMPUTED_VALUE"""),45923.0)</f>
        <v>45923</v>
      </c>
      <c r="M30" s="7" t="str">
        <f>IFERROR(__xludf.DUMMYFUNCTION("""COMPUTED_VALUE"""),"https://lk.regmed.ru/Register/GetPDFfromDAToken?Token=dc4e4486-14e8-430b-b506-5364c1e11fe7")</f>
        <v>https://lk.regmed.ru/Register/GetPDFfromDAToken?Token=dc4e4486-14e8-430b-b506-5364c1e11fe7</v>
      </c>
    </row>
    <row r="31">
      <c r="A31" s="5">
        <f>IFERROR(__xludf.DUMMYFUNCTION("""COMPUTED_VALUE"""),30.0)</f>
        <v>30</v>
      </c>
      <c r="B31" s="6" t="str">
        <f>IFERROR(__xludf.DUMMYFUNCTION("""COMPUTED_VALUE"""),"Sputnik_Lyo")</f>
        <v>Sputnik_Lyo</v>
      </c>
      <c r="C31" s="7" t="str">
        <f>IFERROR(__xludf.DUMMYFUNCTION("""COMPUTED_VALUE"""),"https://grls.rosminzdrav.ru/Grls_View_v2.aspx?routingGuid=ff05de13-f90b-475b-a47c-609c8a0539a7")</f>
        <v>https://grls.rosminzdrav.ru/Grls_View_v2.aspx?routingGuid=ff05de13-f90b-475b-a47c-609c8a0539a7</v>
      </c>
      <c r="D31" s="8" t="str">
        <f>IFERROR(__xludf.DUMMYFUNCTION("""COMPUTED_VALUE"""),"Спутник V (лиофилизат)")</f>
        <v>Спутник V (лиофилизат)</v>
      </c>
      <c r="E31" s="8" t="str">
        <f>IFERROR(__xludf.DUMMYFUNCTION("""COMPUTED_VALUE"""),"Гам-КОВИД-Вак-Лио Комбинированная векторная вакцина для профилактики коронавирусной инфекции, вызываемой вирусом SARS-CoV-2")</f>
        <v>Гам-КОВИД-Вак-Лио Комбинированная векторная вакцина для профилактики коронавирусной инфекции, вызываемой вирусом SARS-CoV-2</v>
      </c>
      <c r="F31" s="8"/>
      <c r="G31" s="8" t="str">
        <f>IFERROR(__xludf.DUMMYFUNCTION("""COMPUTED_VALUE"""),"not in use")</f>
        <v>not in use</v>
      </c>
      <c r="H31" s="9"/>
      <c r="I31" s="9"/>
      <c r="J31" s="8"/>
      <c r="K31" s="10">
        <f>IFERROR(__xludf.DUMMYFUNCTION("""COMPUTED_VALUE"""),44712.0)</f>
        <v>44712</v>
      </c>
      <c r="L31" s="10">
        <f>IFERROR(__xludf.DUMMYFUNCTION("""COMPUTED_VALUE"""),44712.0)</f>
        <v>44712</v>
      </c>
      <c r="M31" s="8" t="str">
        <f>IFERROR(__xludf.DUMMYFUNCTION("""COMPUTED_VALUE"""),"нет")</f>
        <v>нет</v>
      </c>
    </row>
    <row r="32">
      <c r="A32" s="5">
        <f>IFERROR(__xludf.DUMMYFUNCTION("""COMPUTED_VALUE"""),31.0)</f>
        <v>31</v>
      </c>
      <c r="B32" s="6" t="str">
        <f>IFERROR(__xludf.DUMMYFUNCTION("""COMPUTED_VALUE"""),"EpiVacCorona")</f>
        <v>EpiVacCorona</v>
      </c>
      <c r="C32" s="7" t="str">
        <f>IFERROR(__xludf.DUMMYFUNCTION("""COMPUTED_VALUE"""),"https://grls.rosminzdrav.ru/Grls_View_v2.aspx?routingGuid=fd7355d2-abfa-4846-99da-a1c5c6e8991a")</f>
        <v>https://grls.rosminzdrav.ru/Grls_View_v2.aspx?routingGuid=fd7355d2-abfa-4846-99da-a1c5c6e8991a</v>
      </c>
      <c r="D32" s="8" t="str">
        <f>IFERROR(__xludf.DUMMYFUNCTION("""COMPUTED_VALUE"""),"ЭпиВакКорона")</f>
        <v>ЭпиВакКорона</v>
      </c>
      <c r="E32" s="8" t="str">
        <f>IFERROR(__xludf.DUMMYFUNCTION("""COMPUTED_VALUE"""),"ЭпиВакКорона Вакцина на основе пептидных антигенов для профилактики COVID-19")</f>
        <v>ЭпиВакКорона Вакцина на основе пептидных антигенов для профилактики COVID-19</v>
      </c>
      <c r="F32" s="8" t="str">
        <f>IFERROR(__xludf.DUMMYFUNCTION("""COMPUTED_VALUE"""),"Вектор")</f>
        <v>Вектор</v>
      </c>
      <c r="G32" s="8" t="str">
        <f>IFERROR(__xludf.DUMMYFUNCTION("""COMPUTED_VALUE"""),"not in use")</f>
        <v>not in use</v>
      </c>
      <c r="H32" s="9"/>
      <c r="I32" s="9"/>
      <c r="J32" s="8">
        <f>IFERROR(__xludf.DUMMYFUNCTION("""COMPUTED_VALUE"""),0.5)</f>
        <v>0.5</v>
      </c>
      <c r="K32" s="10">
        <f>IFERROR(__xludf.DUMMYFUNCTION("""COMPUTED_VALUE"""),44712.0)</f>
        <v>44712</v>
      </c>
      <c r="L32" s="10">
        <f>IFERROR(__xludf.DUMMYFUNCTION("""COMPUTED_VALUE"""),45078.0)</f>
        <v>45078</v>
      </c>
      <c r="M32" s="8" t="str">
        <f>IFERROR(__xludf.DUMMYFUNCTION("""COMPUTED_VALUE"""),"нет")</f>
        <v>нет</v>
      </c>
    </row>
    <row r="33">
      <c r="A33" s="5">
        <f>IFERROR(__xludf.DUMMYFUNCTION("""COMPUTED_VALUE"""),32.0)</f>
        <v>32</v>
      </c>
      <c r="B33" s="6" t="str">
        <f>IFERROR(__xludf.DUMMYFUNCTION("""COMPUTED_VALUE"""),"Grippol_Microgen")</f>
        <v>Grippol_Microgen</v>
      </c>
      <c r="C33" s="7" t="str">
        <f>IFERROR(__xludf.DUMMYFUNCTION("""COMPUTED_VALUE"""),"https://grls.rosminzdrav.ru/Grls_View_v2.aspx?routingGuid=70f8f0f0-7bac-41ec-a36d-51dcd6ebce84")</f>
        <v>https://grls.rosminzdrav.ru/Grls_View_v2.aspx?routingGuid=70f8f0f0-7bac-41ec-a36d-51dcd6ebce84</v>
      </c>
      <c r="D33" s="8" t="str">
        <f>IFERROR(__xludf.DUMMYFUNCTION("""COMPUTED_VALUE"""),"Гриппол (Микроген)")</f>
        <v>Гриппол (Микроген)</v>
      </c>
      <c r="E33" s="8" t="str">
        <f>IFERROR(__xludf.DUMMYFUNCTION("""COMPUTED_VALUE"""),"Гриппол® Вакцина гриппозная тривалентная полимер-субъединичная жидкая")</f>
        <v>Гриппол® Вакцина гриппозная тривалентная полимер-субъединичная жидкая</v>
      </c>
      <c r="F33" s="8" t="str">
        <f>IFERROR(__xludf.DUMMYFUNCTION("""COMPUTED_VALUE"""),"Микроген")</f>
        <v>Микроген</v>
      </c>
      <c r="G33" s="8" t="str">
        <f>IFERROR(__xludf.DUMMYFUNCTION("""COMPUTED_VALUE"""),"not in use")</f>
        <v>not in use</v>
      </c>
      <c r="H33" s="9"/>
      <c r="I33" s="9"/>
      <c r="J33" s="8"/>
      <c r="K33" s="10">
        <f>IFERROR(__xludf.DUMMYFUNCTION("""COMPUTED_VALUE"""),44712.0)</f>
        <v>44712</v>
      </c>
      <c r="L33" s="10">
        <f>IFERROR(__xludf.DUMMYFUNCTION("""COMPUTED_VALUE"""),44712.0)</f>
        <v>44712</v>
      </c>
      <c r="M33" s="8" t="str">
        <f>IFERROR(__xludf.DUMMYFUNCTION("""COMPUTED_VALUE"""),"нет")</f>
        <v>нет</v>
      </c>
    </row>
    <row r="34">
      <c r="A34" s="5">
        <f>IFERROR(__xludf.DUMMYFUNCTION("""COMPUTED_VALUE"""),33.0)</f>
        <v>33</v>
      </c>
      <c r="B34" s="6" t="str">
        <f>IFERROR(__xludf.DUMMYFUNCTION("""COMPUTED_VALUE"""),"Grippol_Petrovax")</f>
        <v>Grippol_Petrovax</v>
      </c>
      <c r="C34" s="7" t="str">
        <f>IFERROR(__xludf.DUMMYFUNCTION("""COMPUTED_VALUE"""),"https://grls.rosminzdrav.ru/Grls_View_v2.aspx?routingGuid=ce700a9a-2b35-47e5-a73b-3cf65afee43b")</f>
        <v>https://grls.rosminzdrav.ru/Grls_View_v2.aspx?routingGuid=ce700a9a-2b35-47e5-a73b-3cf65afee43b</v>
      </c>
      <c r="D34" s="8" t="str">
        <f>IFERROR(__xludf.DUMMYFUNCTION("""COMPUTED_VALUE"""),"Гриппол (Петровакс)")</f>
        <v>Гриппол (Петровакс)</v>
      </c>
      <c r="E34" s="8" t="str">
        <f>IFERROR(__xludf.DUMMYFUNCTION("""COMPUTED_VALUE"""),"Гриппол® [Вакцина гриппозная тривалентная полимер-субъединичная жидкая]")</f>
        <v>Гриппол® [Вакцина гриппозная тривалентная полимер-субъединичная жидкая]</v>
      </c>
      <c r="F34" s="8" t="str">
        <f>IFERROR(__xludf.DUMMYFUNCTION("""COMPUTED_VALUE"""),"Петровакс")</f>
        <v>Петровакс</v>
      </c>
      <c r="G34" s="8" t="str">
        <f>IFERROR(__xludf.DUMMYFUNCTION("""COMPUTED_VALUE"""),"not in use")</f>
        <v>not in use</v>
      </c>
      <c r="H34" s="9"/>
      <c r="I34" s="9"/>
      <c r="J34" s="8"/>
      <c r="K34" s="10">
        <f>IFERROR(__xludf.DUMMYFUNCTION("""COMPUTED_VALUE"""),44712.0)</f>
        <v>44712</v>
      </c>
      <c r="L34" s="10">
        <f>IFERROR(__xludf.DUMMYFUNCTION("""COMPUTED_VALUE"""),44712.0)</f>
        <v>44712</v>
      </c>
      <c r="M34" s="8" t="str">
        <f>IFERROR(__xludf.DUMMYFUNCTION("""COMPUTED_VALUE"""),"нет")</f>
        <v>нет</v>
      </c>
    </row>
    <row r="35">
      <c r="A35" s="5">
        <f>IFERROR(__xludf.DUMMYFUNCTION("""COMPUTED_VALUE"""),34.0)</f>
        <v>34</v>
      </c>
      <c r="B35" s="6" t="str">
        <f>IFERROR(__xludf.DUMMYFUNCTION("""COMPUTED_VALUE"""),"Grippol_plus_0_5")</f>
        <v>Grippol_plus_0_5</v>
      </c>
      <c r="C35" s="7" t="str">
        <f>IFERROR(__xludf.DUMMYFUNCTION("""COMPUTED_VALUE"""),"https://grls.rosminzdrav.ru/Grls_View_v2.aspx?routingGuid=907b510e-7f7f-46df-b43a-f6541b9871fc")</f>
        <v>https://grls.rosminzdrav.ru/Grls_View_v2.aspx?routingGuid=907b510e-7f7f-46df-b43a-f6541b9871fc</v>
      </c>
      <c r="D35" s="8" t="str">
        <f>IFERROR(__xludf.DUMMYFUNCTION("""COMPUTED_VALUE"""),"Гриппол плюс 0,5 мл")</f>
        <v>Гриппол плюс 0,5 мл</v>
      </c>
      <c r="E35" s="8" t="str">
        <f>IFERROR(__xludf.DUMMYFUNCTION("""COMPUTED_VALUE"""),"Гриппол® плюс [Вакцина гриппозная тривалентная инактивированная полимер-субъединичная]")</f>
        <v>Гриппол® плюс [Вакцина гриппозная тривалентная инактивированная полимер-субъединичная]</v>
      </c>
      <c r="F35" s="8" t="str">
        <f>IFERROR(__xludf.DUMMYFUNCTION("""COMPUTED_VALUE"""),"Петровакс")</f>
        <v>Петровакс</v>
      </c>
      <c r="G35" s="8" t="str">
        <f>IFERROR(__xludf.DUMMYFUNCTION("""COMPUTED_VALUE"""),"in use")</f>
        <v>in use</v>
      </c>
      <c r="H35" s="9"/>
      <c r="I35" s="9"/>
      <c r="J35" s="8"/>
      <c r="K35" s="10">
        <f>IFERROR(__xludf.DUMMYFUNCTION("""COMPUTED_VALUE"""),44712.0)</f>
        <v>44712</v>
      </c>
      <c r="L35" s="10">
        <f>IFERROR(__xludf.DUMMYFUNCTION("""COMPUTED_VALUE"""),45689.0)</f>
        <v>45689</v>
      </c>
      <c r="M35" s="7" t="str">
        <f>IFERROR(__xludf.DUMMYFUNCTION("""COMPUTED_VALUE"""),"https://lk.regmed.ru/Register/GetPDFfromDAToken?Token=8cc54647-279e-4b2f-82d7-b1ed3161d86a")</f>
        <v>https://lk.regmed.ru/Register/GetPDFfromDAToken?Token=8cc54647-279e-4b2f-82d7-b1ed3161d86a</v>
      </c>
    </row>
    <row r="36">
      <c r="A36" s="5">
        <f>IFERROR(__xludf.DUMMYFUNCTION("""COMPUTED_VALUE"""),35.0)</f>
        <v>35</v>
      </c>
      <c r="B36" s="6" t="str">
        <f>IFERROR(__xludf.DUMMYFUNCTION("""COMPUTED_VALUE"""),"Sovigripp")</f>
        <v>Sovigripp</v>
      </c>
      <c r="C36" s="7" t="str">
        <f>IFERROR(__xludf.DUMMYFUNCTION("""COMPUTED_VALUE"""),"https://grls.rosminzdrav.ru/Grls_View_v2.aspx?routingGuid=b287b682-550a-418f-8189-05dac16da4ae")</f>
        <v>https://grls.rosminzdrav.ru/Grls_View_v2.aspx?routingGuid=b287b682-550a-418f-8189-05dac16da4ae</v>
      </c>
      <c r="D36" s="8" t="str">
        <f>IFERROR(__xludf.DUMMYFUNCTION("""COMPUTED_VALUE"""),"Совигрипп")</f>
        <v>Совигрипп</v>
      </c>
      <c r="E36" s="8" t="str">
        <f>IFERROR(__xludf.DUMMYFUNCTION("""COMPUTED_VALUE"""),"СОВИГРИПП® Вакцина гриппозная инактивированная субъединичная")</f>
        <v>СОВИГРИПП® Вакцина гриппозная инактивированная субъединичная</v>
      </c>
      <c r="F36" s="8" t="str">
        <f>IFERROR(__xludf.DUMMYFUNCTION("""COMPUTED_VALUE"""),"Микроген")</f>
        <v>Микроген</v>
      </c>
      <c r="G36" s="8" t="str">
        <f>IFERROR(__xludf.DUMMYFUNCTION("""COMPUTED_VALUE"""),"in use")</f>
        <v>in use</v>
      </c>
      <c r="H36" s="9"/>
      <c r="I36" s="9"/>
      <c r="J36" s="8"/>
      <c r="K36" s="10">
        <f>IFERROR(__xludf.DUMMYFUNCTION("""COMPUTED_VALUE"""),44712.0)</f>
        <v>44712</v>
      </c>
      <c r="L36" s="10">
        <f>IFERROR(__xludf.DUMMYFUNCTION("""COMPUTED_VALUE"""),45689.0)</f>
        <v>45689</v>
      </c>
      <c r="M36" s="7" t="str">
        <f>IFERROR(__xludf.DUMMYFUNCTION("""COMPUTED_VALUE"""),"https://lk.regmed.ru/Register/GetPDFfromDAToken?Token=4d1562e5-05e7-405f-9673-b89a20ffd447")</f>
        <v>https://lk.regmed.ru/Register/GetPDFfromDAToken?Token=4d1562e5-05e7-405f-9673-b89a20ffd447</v>
      </c>
    </row>
    <row r="37">
      <c r="A37" s="5">
        <f>IFERROR(__xludf.DUMMYFUNCTION("""COMPUTED_VALUE"""),36.0)</f>
        <v>36</v>
      </c>
      <c r="B37" s="6" t="str">
        <f>IFERROR(__xludf.DUMMYFUNCTION("""COMPUTED_VALUE"""),"Ultrix")</f>
        <v>Ultrix</v>
      </c>
      <c r="C37" s="7" t="str">
        <f>IFERROR(__xludf.DUMMYFUNCTION("""COMPUTED_VALUE"""),"https://grls.rosminzdrav.ru/Grls_View_v2.aspx?routingGuid=b90698f2-e111-4450-b82c-5c3ca26a25f5")</f>
        <v>https://grls.rosminzdrav.ru/Grls_View_v2.aspx?routingGuid=b90698f2-e111-4450-b82c-5c3ca26a25f5</v>
      </c>
      <c r="D37" s="8" t="str">
        <f>IFERROR(__xludf.DUMMYFUNCTION("""COMPUTED_VALUE"""),"Ультрикс")</f>
        <v>Ультрикс</v>
      </c>
      <c r="E37" s="8" t="str">
        <f>IFERROR(__xludf.DUMMYFUNCTION("""COMPUTED_VALUE"""),"Ультрикс® Вакцина гриппозная инактивированная расщепленная")</f>
        <v>Ультрикс® Вакцина гриппозная инактивированная расщепленная</v>
      </c>
      <c r="F37" s="8" t="str">
        <f>IFERROR(__xludf.DUMMYFUNCTION("""COMPUTED_VALUE"""),"ФОРТ")</f>
        <v>ФОРТ</v>
      </c>
      <c r="G37" s="8" t="str">
        <f>IFERROR(__xludf.DUMMYFUNCTION("""COMPUTED_VALUE"""),"not in use")</f>
        <v>not in use</v>
      </c>
      <c r="H37" s="9"/>
      <c r="I37" s="9"/>
      <c r="J37" s="8"/>
      <c r="K37" s="10">
        <f>IFERROR(__xludf.DUMMYFUNCTION("""COMPUTED_VALUE"""),44712.0)</f>
        <v>44712</v>
      </c>
      <c r="L37" s="10">
        <f>IFERROR(__xludf.DUMMYFUNCTION("""COMPUTED_VALUE"""),45689.0)</f>
        <v>45689</v>
      </c>
      <c r="M37" s="7" t="str">
        <f>IFERROR(__xludf.DUMMYFUNCTION("""COMPUTED_VALUE"""),"https://lk.regmed.ru/Register/GetPDFfromDAToken?Token=ebfed185-d787-4d31-8be8-d3cbc95b7794")</f>
        <v>https://lk.regmed.ru/Register/GetPDFfromDAToken?Token=ebfed185-d787-4d31-8be8-d3cbc95b7794</v>
      </c>
    </row>
    <row r="38">
      <c r="A38" s="5">
        <f>IFERROR(__xludf.DUMMYFUNCTION("""COMPUTED_VALUE"""),37.0)</f>
        <v>37</v>
      </c>
      <c r="B38" s="6" t="str">
        <f>IFERROR(__xludf.DUMMYFUNCTION("""COMPUTED_VALUE"""),"Flu_M")</f>
        <v>Flu_M</v>
      </c>
      <c r="C38" s="7" t="str">
        <f>IFERROR(__xludf.DUMMYFUNCTION("""COMPUTED_VALUE"""),"https://grls.rosminzdrav.ru/Grls_View_v2.aspx?routingGuid=e7496b1f-1be9-46a3-b43f-e1c83a5b6cc8")</f>
        <v>https://grls.rosminzdrav.ru/Grls_View_v2.aspx?routingGuid=e7496b1f-1be9-46a3-b43f-e1c83a5b6cc8</v>
      </c>
      <c r="D38" s="8" t="str">
        <f>IFERROR(__xludf.DUMMYFUNCTION("""COMPUTED_VALUE"""),"Флю-М")</f>
        <v>Флю-М</v>
      </c>
      <c r="E38" s="8" t="str">
        <f>IFERROR(__xludf.DUMMYFUNCTION("""COMPUTED_VALUE"""),"Флю-М [Вакцина гриппозная инактивированная расщепленная]")</f>
        <v>Флю-М [Вакцина гриппозная инактивированная расщепленная]</v>
      </c>
      <c r="F38" s="8" t="str">
        <f>IFERROR(__xludf.DUMMYFUNCTION("""COMPUTED_VALUE"""),"СПбНИИВС")</f>
        <v>СПбНИИВС</v>
      </c>
      <c r="G38" s="8" t="str">
        <f>IFERROR(__xludf.DUMMYFUNCTION("""COMPUTED_VALUE"""),"in use")</f>
        <v>in use</v>
      </c>
      <c r="H38" s="9"/>
      <c r="I38" s="9"/>
      <c r="J38" s="8"/>
      <c r="K38" s="10">
        <f>IFERROR(__xludf.DUMMYFUNCTION("""COMPUTED_VALUE"""),44712.0)</f>
        <v>44712</v>
      </c>
      <c r="L38" s="10">
        <f>IFERROR(__xludf.DUMMYFUNCTION("""COMPUTED_VALUE"""),46130.0)</f>
        <v>46130</v>
      </c>
      <c r="M38" s="8" t="str">
        <f>IFERROR(__xludf.DUMMYFUNCTION("""COMPUTED_VALUE"""),"нет")</f>
        <v>нет</v>
      </c>
    </row>
    <row r="39">
      <c r="A39" s="5">
        <f>IFERROR(__xludf.DUMMYFUNCTION("""COMPUTED_VALUE"""),38.0)</f>
        <v>38</v>
      </c>
      <c r="B39" s="6" t="str">
        <f>IFERROR(__xludf.DUMMYFUNCTION("""COMPUTED_VALUE"""),"Vaxigrip")</f>
        <v>Vaxigrip</v>
      </c>
      <c r="C39" s="7" t="str">
        <f>IFERROR(__xludf.DUMMYFUNCTION("""COMPUTED_VALUE"""),"https://grls.rosminzdrav.ru/Grls_View_v2.aspx?routingGuid=34537f7c-cc43 – 45ef-bc9a-9820641bf718")</f>
        <v>https://grls.rosminzdrav.ru/Grls_View_v2.aspx?routingGuid=34537f7c-cc43 – 45ef-bc9a-9820641bf718</v>
      </c>
      <c r="D39" s="8" t="str">
        <f>IFERROR(__xludf.DUMMYFUNCTION("""COMPUTED_VALUE"""),"Ваксигрип")</f>
        <v>Ваксигрип</v>
      </c>
      <c r="E39" s="8" t="str">
        <f>IFERROR(__xludf.DUMMYFUNCTION("""COMPUTED_VALUE"""),"Ваксигрип® (инактивированная сплит-вакцина для профилактики гриппа)")</f>
        <v>Ваксигрип® (инактивированная сплит-вакцина для профилактики гриппа)</v>
      </c>
      <c r="F39" s="8"/>
      <c r="G39" s="8" t="str">
        <f>IFERROR(__xludf.DUMMYFUNCTION("""COMPUTED_VALUE"""),"not in use")</f>
        <v>not in use</v>
      </c>
      <c r="H39" s="9"/>
      <c r="I39" s="9"/>
      <c r="J39" s="8"/>
      <c r="K39" s="10">
        <f>IFERROR(__xludf.DUMMYFUNCTION("""COMPUTED_VALUE"""),44712.0)</f>
        <v>44712</v>
      </c>
      <c r="L39" s="10">
        <f>IFERROR(__xludf.DUMMYFUNCTION("""COMPUTED_VALUE"""),45078.0)</f>
        <v>45078</v>
      </c>
      <c r="M39" s="8" t="str">
        <f>IFERROR(__xludf.DUMMYFUNCTION("""COMPUTED_VALUE"""),"нет")</f>
        <v>нет</v>
      </c>
    </row>
    <row r="40">
      <c r="A40" s="5">
        <f>IFERROR(__xludf.DUMMYFUNCTION("""COMPUTED_VALUE"""),39.0)</f>
        <v>39</v>
      </c>
      <c r="B40" s="6" t="str">
        <f>IFERROR(__xludf.DUMMYFUNCTION("""COMPUTED_VALUE"""),"Influvac")</f>
        <v>Influvac</v>
      </c>
      <c r="C40" s="7" t="str">
        <f>IFERROR(__xludf.DUMMYFUNCTION("""COMPUTED_VALUE"""),"https://grls.rosminzdrav.ru/Grls_View_v2.aspx?routingGuid=f0e5ea62-1cea-4427-923d-201a87349492")</f>
        <v>https://grls.rosminzdrav.ru/Grls_View_v2.aspx?routingGuid=f0e5ea62-1cea-4427-923d-201a87349492</v>
      </c>
      <c r="D40" s="8" t="str">
        <f>IFERROR(__xludf.DUMMYFUNCTION("""COMPUTED_VALUE"""),"Инфлювак")</f>
        <v>Инфлювак</v>
      </c>
      <c r="E40" s="8" t="str">
        <f>IFERROR(__xludf.DUMMYFUNCTION("""COMPUTED_VALUE"""),"Инфлювак® (вакцина гриппозная субъединичная инактивированная)")</f>
        <v>Инфлювак® (вакцина гриппозная субъединичная инактивированная)</v>
      </c>
      <c r="F40" s="8"/>
      <c r="G40" s="8" t="str">
        <f>IFERROR(__xludf.DUMMYFUNCTION("""COMPUTED_VALUE"""),"in use")</f>
        <v>in use</v>
      </c>
      <c r="H40" s="9"/>
      <c r="I40" s="9"/>
      <c r="J40" s="8"/>
      <c r="K40" s="10">
        <f>IFERROR(__xludf.DUMMYFUNCTION("""COMPUTED_VALUE"""),44712.0)</f>
        <v>44712</v>
      </c>
      <c r="L40" s="10">
        <f>IFERROR(__xludf.DUMMYFUNCTION("""COMPUTED_VALUE"""),46130.0)</f>
        <v>46130</v>
      </c>
      <c r="M40" s="8" t="str">
        <f>IFERROR(__xludf.DUMMYFUNCTION("""COMPUTED_VALUE"""),"есть")</f>
        <v>есть</v>
      </c>
    </row>
    <row r="41">
      <c r="A41" s="5">
        <f>IFERROR(__xludf.DUMMYFUNCTION("""COMPUTED_VALUE"""),40.0)</f>
        <v>40</v>
      </c>
      <c r="B41" s="6" t="str">
        <f>IFERROR(__xludf.DUMMYFUNCTION("""COMPUTED_VALUE"""),"Ultrix_quadri")</f>
        <v>Ultrix_quadri</v>
      </c>
      <c r="C41" s="7" t="str">
        <f>IFERROR(__xludf.DUMMYFUNCTION("""COMPUTED_VALUE"""),"https://grls.rosminzdrav.ru/Grls_View_v2.aspx?routingGuid=39b44822-0ca7-409d-bc25-db49ef3d5471")</f>
        <v>https://grls.rosminzdrav.ru/Grls_View_v2.aspx?routingGuid=39b44822-0ca7-409d-bc25-db49ef3d5471</v>
      </c>
      <c r="D41" s="8" t="str">
        <f>IFERROR(__xludf.DUMMYFUNCTION("""COMPUTED_VALUE"""),"Ультрикс Квадри")</f>
        <v>Ультрикс Квадри</v>
      </c>
      <c r="E41" s="8" t="str">
        <f>IFERROR(__xludf.DUMMYFUNCTION("""COMPUTED_VALUE"""),"Ультрикс® Квадри Вакцина гриппозная четырехвалентная инактивированная расщепленная")</f>
        <v>Ультрикс® Квадри Вакцина гриппозная четырехвалентная инактивированная расщепленная</v>
      </c>
      <c r="F41" s="8"/>
      <c r="G41" s="8" t="str">
        <f>IFERROR(__xludf.DUMMYFUNCTION("""COMPUTED_VALUE"""),"in use")</f>
        <v>in use</v>
      </c>
      <c r="H41" s="9"/>
      <c r="I41" s="9"/>
      <c r="J41" s="8"/>
      <c r="K41" s="10">
        <f>IFERROR(__xludf.DUMMYFUNCTION("""COMPUTED_VALUE"""),44712.0)</f>
        <v>44712</v>
      </c>
      <c r="L41" s="10">
        <f>IFERROR(__xludf.DUMMYFUNCTION("""COMPUTED_VALUE"""),45689.0)</f>
        <v>45689</v>
      </c>
      <c r="M41" s="7" t="str">
        <f>IFERROR(__xludf.DUMMYFUNCTION("""COMPUTED_VALUE"""),"https://lk.regmed.ru/Register/GetPDFfromDAToken?Token=6b6de448-9da8-4025-8b7a-e10951e7ff00")</f>
        <v>https://lk.regmed.ru/Register/GetPDFfromDAToken?Token=6b6de448-9da8-4025-8b7a-e10951e7ff00</v>
      </c>
    </row>
    <row r="42">
      <c r="A42" s="5">
        <f>IFERROR(__xludf.DUMMYFUNCTION("""COMPUTED_VALUE"""),41.0)</f>
        <v>41</v>
      </c>
      <c r="B42" s="6" t="str">
        <f>IFERROR(__xludf.DUMMYFUNCTION("""COMPUTED_VALUE"""),"Grippol_quadrivalent")</f>
        <v>Grippol_quadrivalent</v>
      </c>
      <c r="C42" s="7" t="str">
        <f>IFERROR(__xludf.DUMMYFUNCTION("""COMPUTED_VALUE"""),"https://grls.rosminzdrav.ru/Grls_View_v2.aspx?routingGuid=9d163668-04c5-490d-81ed-287f1cc6ac47")</f>
        <v>https://grls.rosminzdrav.ru/Grls_View_v2.aspx?routingGuid=9d163668-04c5-490d-81ed-287f1cc6ac47</v>
      </c>
      <c r="D42" s="8" t="str">
        <f>IFERROR(__xludf.DUMMYFUNCTION("""COMPUTED_VALUE"""),"Гриппол Квадривалент")</f>
        <v>Гриппол Квадривалент</v>
      </c>
      <c r="E42" s="8" t="str">
        <f>IFERROR(__xludf.DUMMYFUNCTION("""COMPUTED_VALUE"""),"Гриппол® Квадривалент Вакцина гриппозная четырехвалентная инактивированная субъединичная адъювантная")</f>
        <v>Гриппол® Квадривалент Вакцина гриппозная четырехвалентная инактивированная субъединичная адъювантная</v>
      </c>
      <c r="F42" s="8"/>
      <c r="G42" s="8" t="str">
        <f>IFERROR(__xludf.DUMMYFUNCTION("""COMPUTED_VALUE"""),"in use")</f>
        <v>in use</v>
      </c>
      <c r="H42" s="9"/>
      <c r="I42" s="9"/>
      <c r="J42" s="8"/>
      <c r="K42" s="10">
        <f>IFERROR(__xludf.DUMMYFUNCTION("""COMPUTED_VALUE"""),44712.0)</f>
        <v>44712</v>
      </c>
      <c r="L42" s="10">
        <f>IFERROR(__xludf.DUMMYFUNCTION("""COMPUTED_VALUE"""),45818.0)</f>
        <v>45818</v>
      </c>
      <c r="M42" s="7" t="str">
        <f>IFERROR(__xludf.DUMMYFUNCTION("""COMPUTED_VALUE"""),"https://lk.regmed.ru/Register/GetPDFfromDAToken?Token=21d09ab4-e8b0-4241-88e6-6f4a8868109c")</f>
        <v>https://lk.regmed.ru/Register/GetPDFfromDAToken?Token=21d09ab4-e8b0-4241-88e6-6f4a8868109c</v>
      </c>
    </row>
    <row r="43">
      <c r="A43" s="5">
        <f>IFERROR(__xludf.DUMMYFUNCTION("""COMPUTED_VALUE"""),42.0)</f>
        <v>42</v>
      </c>
      <c r="B43" s="6" t="str">
        <f>IFERROR(__xludf.DUMMYFUNCTION("""COMPUTED_VALUE"""),"measles_Microgen")</f>
        <v>measles_Microgen</v>
      </c>
      <c r="C43" s="7" t="str">
        <f>IFERROR(__xludf.DUMMYFUNCTION("""COMPUTED_VALUE"""),"https://grls.rosminzdrav.ru/Grls_View_v2.aspx?routingGuid=21ef9e10-0802-4099-9f29-815fab9bf24f")</f>
        <v>https://grls.rosminzdrav.ru/Grls_View_v2.aspx?routingGuid=21ef9e10-0802-4099-9f29-815fab9bf24f</v>
      </c>
      <c r="D43" s="8" t="str">
        <f>IFERROR(__xludf.DUMMYFUNCTION("""COMPUTED_VALUE"""),"коревая (Микроген)")</f>
        <v>коревая (Микроген)</v>
      </c>
      <c r="E43" s="8" t="str">
        <f>IFERROR(__xludf.DUMMYFUNCTION("""COMPUTED_VALUE"""),"Вакцина коревая культуральная живая")</f>
        <v>Вакцина коревая культуральная живая</v>
      </c>
      <c r="F43" s="8" t="str">
        <f>IFERROR(__xludf.DUMMYFUNCTION("""COMPUTED_VALUE"""),"Микроген")</f>
        <v>Микроген</v>
      </c>
      <c r="G43" s="8" t="str">
        <f>IFERROR(__xludf.DUMMYFUNCTION("""COMPUTED_VALUE"""),"in use")</f>
        <v>in use</v>
      </c>
      <c r="H43" s="9"/>
      <c r="I43" s="9"/>
      <c r="J43" s="8"/>
      <c r="K43" s="10">
        <f>IFERROR(__xludf.DUMMYFUNCTION("""COMPUTED_VALUE"""),44712.0)</f>
        <v>44712</v>
      </c>
      <c r="L43" s="10">
        <f>IFERROR(__xludf.DUMMYFUNCTION("""COMPUTED_VALUE"""),45689.0)</f>
        <v>45689</v>
      </c>
      <c r="M43" s="7" t="str">
        <f>IFERROR(__xludf.DUMMYFUNCTION("""COMPUTED_VALUE"""),"https://lk.regmed.ru/Register/GetPDFfromDAToken?Token=7542b90d-b67b-4205-9d82-117e106aba6c")</f>
        <v>https://lk.regmed.ru/Register/GetPDFfromDAToken?Token=7542b90d-b67b-4205-9d82-117e106aba6c</v>
      </c>
    </row>
    <row r="44">
      <c r="A44" s="5">
        <f>IFERROR(__xludf.DUMMYFUNCTION("""COMPUTED_VALUE"""),43.0)</f>
        <v>43</v>
      </c>
      <c r="B44" s="6" t="str">
        <f>IFERROR(__xludf.DUMMYFUNCTION("""COMPUTED_VALUE"""),"measles_Serum_India")</f>
        <v>measles_Serum_India</v>
      </c>
      <c r="C44" s="7" t="str">
        <f>IFERROR(__xludf.DUMMYFUNCTION("""COMPUTED_VALUE"""),"https://grls.rosminzdrav.ru/Grls_View_v2.aspx?routingGuid=af4dd5ba-8e11-450c-83f0-3c6db2b13cf6")</f>
        <v>https://grls.rosminzdrav.ru/Grls_View_v2.aspx?routingGuid=af4dd5ba-8e11-450c-83f0-3c6db2b13cf6</v>
      </c>
      <c r="D44" s="8" t="str">
        <f>IFERROR(__xludf.DUMMYFUNCTION("""COMPUTED_VALUE"""),"коревая (Серум Инститьют)")</f>
        <v>коревая (Серум Инститьют)</v>
      </c>
      <c r="E44" s="8" t="str">
        <f>IFERROR(__xludf.DUMMYFUNCTION("""COMPUTED_VALUE"""),"Вакцина против кори живая аттенуированная")</f>
        <v>Вакцина против кори живая аттенуированная</v>
      </c>
      <c r="F44" s="8" t="str">
        <f>IFERROR(__xludf.DUMMYFUNCTION("""COMPUTED_VALUE"""),"Серум Инститьют")</f>
        <v>Серум Инститьют</v>
      </c>
      <c r="G44" s="8" t="str">
        <f>IFERROR(__xludf.DUMMYFUNCTION("""COMPUTED_VALUE"""),"not in use")</f>
        <v>not in use</v>
      </c>
      <c r="H44" s="9"/>
      <c r="I44" s="9"/>
      <c r="J44" s="8"/>
      <c r="K44" s="10">
        <f>IFERROR(__xludf.DUMMYFUNCTION("""COMPUTED_VALUE"""),44712.0)</f>
        <v>44712</v>
      </c>
      <c r="L44" s="10">
        <f>IFERROR(__xludf.DUMMYFUNCTION("""COMPUTED_VALUE"""),46053.0)</f>
        <v>46053</v>
      </c>
      <c r="M44" s="8" t="str">
        <f>IFERROR(__xludf.DUMMYFUNCTION("""COMPUTED_VALUE"""),"есть")</f>
        <v>есть</v>
      </c>
    </row>
    <row r="45">
      <c r="A45" s="5">
        <f>IFERROR(__xludf.DUMMYFUNCTION("""COMPUTED_VALUE"""),44.0)</f>
        <v>44</v>
      </c>
      <c r="B45" s="6" t="str">
        <f>IFERROR(__xludf.DUMMYFUNCTION("""COMPUTED_VALUE"""),"measles_Vector")</f>
        <v>measles_Vector</v>
      </c>
      <c r="C45" s="7" t="str">
        <f>IFERROR(__xludf.DUMMYFUNCTION("""COMPUTED_VALUE"""),"https://grls.rosminzdrav.ru/Grls_View_v2.aspx?routingGuid=1c26875c-896c-488d-b713-142d18c1310f")</f>
        <v>https://grls.rosminzdrav.ru/Grls_View_v2.aspx?routingGuid=1c26875c-896c-488d-b713-142d18c1310f</v>
      </c>
      <c r="D45" s="8" t="str">
        <f>IFERROR(__xludf.DUMMYFUNCTION("""COMPUTED_VALUE"""),"коревая (Вектор)")</f>
        <v>коревая (Вектор)</v>
      </c>
      <c r="E45" s="8" t="str">
        <f>IFERROR(__xludf.DUMMYFUNCTION("""COMPUTED_VALUE"""),"Вакцина коревая культуральная живая")</f>
        <v>Вакцина коревая культуральная живая</v>
      </c>
      <c r="F45" s="8" t="str">
        <f>IFERROR(__xludf.DUMMYFUNCTION("""COMPUTED_VALUE"""),"Вектор")</f>
        <v>Вектор</v>
      </c>
      <c r="G45" s="8" t="str">
        <f>IFERROR(__xludf.DUMMYFUNCTION("""COMPUTED_VALUE"""),"in use")</f>
        <v>in use</v>
      </c>
      <c r="H45" s="9"/>
      <c r="I45" s="9"/>
      <c r="J45" s="8"/>
      <c r="K45" s="10">
        <f>IFERROR(__xludf.DUMMYFUNCTION("""COMPUTED_VALUE"""),44712.0)</f>
        <v>44712</v>
      </c>
      <c r="L45" s="10">
        <f>IFERROR(__xludf.DUMMYFUNCTION("""COMPUTED_VALUE"""),44750.0)</f>
        <v>44750</v>
      </c>
      <c r="M45" s="8" t="str">
        <f>IFERROR(__xludf.DUMMYFUNCTION("""COMPUTED_VALUE"""),"нет")</f>
        <v>нет</v>
      </c>
    </row>
    <row r="46">
      <c r="A46" s="5">
        <f>IFERROR(__xludf.DUMMYFUNCTION("""COMPUTED_VALUE"""),45.0)</f>
        <v>45</v>
      </c>
      <c r="B46" s="6" t="str">
        <f>IFERROR(__xludf.DUMMYFUNCTION("""COMPUTED_VALUE"""),"measles_mumps_Microgen")</f>
        <v>measles_mumps_Microgen</v>
      </c>
      <c r="C46" s="7" t="str">
        <f>IFERROR(__xludf.DUMMYFUNCTION("""COMPUTED_VALUE"""),"https://grls.rosminzdrav.ru/Grls_View_v2.aspx?routingGuid=bbcf7276-a503-4968-abd0-286f29aa80a7")</f>
        <v>https://grls.rosminzdrav.ru/Grls_View_v2.aspx?routingGuid=bbcf7276-a503-4968-abd0-286f29aa80a7</v>
      </c>
      <c r="D46" s="8" t="str">
        <f>IFERROR(__xludf.DUMMYFUNCTION("""COMPUTED_VALUE"""),"паротитно-коревая (Микроген)")</f>
        <v>паротитно-коревая (Микроген)</v>
      </c>
      <c r="E46" s="8" t="str">
        <f>IFERROR(__xludf.DUMMYFUNCTION("""COMPUTED_VALUE"""),"Вакцина паротитно-коревая культуральная живая")</f>
        <v>Вакцина паротитно-коревая культуральная живая</v>
      </c>
      <c r="F46" s="8" t="str">
        <f>IFERROR(__xludf.DUMMYFUNCTION("""COMPUTED_VALUE"""),"Микроген")</f>
        <v>Микроген</v>
      </c>
      <c r="G46" s="8" t="str">
        <f>IFERROR(__xludf.DUMMYFUNCTION("""COMPUTED_VALUE"""),"in use")</f>
        <v>in use</v>
      </c>
      <c r="H46" s="9"/>
      <c r="I46" s="9"/>
      <c r="J46" s="8"/>
      <c r="K46" s="10">
        <f>IFERROR(__xludf.DUMMYFUNCTION("""COMPUTED_VALUE"""),44712.0)</f>
        <v>44712</v>
      </c>
      <c r="L46" s="10">
        <f>IFERROR(__xludf.DUMMYFUNCTION("""COMPUTED_VALUE"""),45689.0)</f>
        <v>45689</v>
      </c>
      <c r="M46" s="7" t="str">
        <f>IFERROR(__xludf.DUMMYFUNCTION("""COMPUTED_VALUE"""),"https://lk.regmed.ru/Register/GetPDFfromDAToken?Token=871cc235-deab-47cc-ac2f-13a865cc2b7f")</f>
        <v>https://lk.regmed.ru/Register/GetPDFfromDAToken?Token=871cc235-deab-47cc-ac2f-13a865cc2b7f</v>
      </c>
    </row>
    <row r="47">
      <c r="A47" s="5">
        <f>IFERROR(__xludf.DUMMYFUNCTION("""COMPUTED_VALUE"""),46.0)</f>
        <v>46</v>
      </c>
      <c r="B47" s="6" t="str">
        <f>IFERROR(__xludf.DUMMYFUNCTION("""COMPUTED_VALUE"""),"Vactrivir")</f>
        <v>Vactrivir</v>
      </c>
      <c r="C47" s="7" t="str">
        <f>IFERROR(__xludf.DUMMYFUNCTION("""COMPUTED_VALUE"""),"https://grls.rosminzdrav.ru/Grls_View_v2.aspx?routingGuid=a4090b86-5da6-4481-8230-dd9e607b60af")</f>
        <v>https://grls.rosminzdrav.ru/Grls_View_v2.aspx?routingGuid=a4090b86-5da6-4481-8230-dd9e607b60af</v>
      </c>
      <c r="D47" s="8" t="str">
        <f>IFERROR(__xludf.DUMMYFUNCTION("""COMPUTED_VALUE"""),"Вактривир")</f>
        <v>Вактривир</v>
      </c>
      <c r="E47" s="8" t="str">
        <f>IFERROR(__xludf.DUMMYFUNCTION("""COMPUTED_VALUE"""),"ВАКТРИВИР Комбинированная вакцина против кори, краснухи и паротита культуральная живая")</f>
        <v>ВАКТРИВИР Комбинированная вакцина против кори, краснухи и паротита культуральная живая</v>
      </c>
      <c r="F47" s="8"/>
      <c r="G47" s="8" t="str">
        <f>IFERROR(__xludf.DUMMYFUNCTION("""COMPUTED_VALUE"""),"in use")</f>
        <v>in use</v>
      </c>
      <c r="H47" s="9" t="str">
        <f>IFERROR(__xludf.DUMMYFUNCTION("""COMPUTED_VALUE"""),"&lt;p&gt;При необходимости вакцинации детей в возрасте младше 12&amp;nbsp;месяцев, если это предусмотрено Национальными рекомендациями, вакцину следует вводить в возрасте не ранее 9&amp;nbsp;месяцев.&lt;/p&gt;")</f>
        <v>&lt;p&gt;При необходимости вакцинации детей в возрасте младше 12&amp;nbsp;месяцев, если это предусмотрено Национальными рекомендациями, вакцину следует вводить в возрасте не ранее 9&amp;nbsp;месяцев.&lt;/p&gt;</v>
      </c>
      <c r="I47" s="9" t="str">
        <f>IFERROR(__xludf.DUMMYFUNCTION("""COMPUTED_VALUE"""),"При необходимости вакцинации детей в возрасте младше 12 месяцев, если это предусмотрено Национальными рекомендациями, вакцину следует вводить в возрасте не ранее 9 месяцев.")</f>
        <v>При необходимости вакцинации детей в возрасте младше 12 месяцев, если это предусмотрено Национальными рекомендациями, вакцину следует вводить в возрасте не ранее 9 месяцев.</v>
      </c>
      <c r="J47" s="8"/>
      <c r="K47" s="10">
        <f>IFERROR(__xludf.DUMMYFUNCTION("""COMPUTED_VALUE"""),44712.0)</f>
        <v>44712</v>
      </c>
      <c r="L47" s="10">
        <f>IFERROR(__xludf.DUMMYFUNCTION("""COMPUTED_VALUE"""),45830.0)</f>
        <v>45830</v>
      </c>
      <c r="M47" s="7" t="str">
        <f>IFERROR(__xludf.DUMMYFUNCTION("""COMPUTED_VALUE"""),"https://lk.regmed.ru/Register/GetPDFfromDAToken?Token=8415d4f4-69df-4249-bc87-8ca7cad24c51")</f>
        <v>https://lk.regmed.ru/Register/GetPDFfromDAToken?Token=8415d4f4-69df-4249-bc87-8ca7cad24c51</v>
      </c>
    </row>
    <row r="48">
      <c r="A48" s="5">
        <f>IFERROR(__xludf.DUMMYFUNCTION("""COMPUTED_VALUE"""),47.0)</f>
        <v>47</v>
      </c>
      <c r="B48" s="6" t="str">
        <f>IFERROR(__xludf.DUMMYFUNCTION("""COMPUTED_VALUE"""),"MMR_II")</f>
        <v>MMR_II</v>
      </c>
      <c r="C48" s="7" t="str">
        <f>IFERROR(__xludf.DUMMYFUNCTION("""COMPUTED_VALUE"""),"https://grls.rosminzdrav.ru/Grls_View_v2.aspx?routingGuid=aa975a20-f44a-451e-bf3e-3dcc80435b61")</f>
        <v>https://grls.rosminzdrav.ru/Grls_View_v2.aspx?routingGuid=aa975a20-f44a-451e-bf3e-3dcc80435b61</v>
      </c>
      <c r="D48" s="8" t="str">
        <f>IFERROR(__xludf.DUMMYFUNCTION("""COMPUTED_VALUE"""),"М-М-Р II")</f>
        <v>М-М-Р II</v>
      </c>
      <c r="E48" s="8" t="str">
        <f>IFERROR(__xludf.DUMMYFUNCTION("""COMPUTED_VALUE"""),"М-М-Р II® (Вакцина против кори, паротита и краснухи, живая)")</f>
        <v>М-М-Р II® (Вакцина против кори, паротита и краснухи, живая)</v>
      </c>
      <c r="F48" s="8"/>
      <c r="G48" s="8" t="str">
        <f>IFERROR(__xludf.DUMMYFUNCTION("""COMPUTED_VALUE"""),"not in use")</f>
        <v>not in use</v>
      </c>
      <c r="H48" s="9"/>
      <c r="I48" s="9"/>
      <c r="J48" s="8"/>
      <c r="K48" s="10">
        <f>IFERROR(__xludf.DUMMYFUNCTION("""COMPUTED_VALUE"""),44712.0)</f>
        <v>44712</v>
      </c>
      <c r="L48" s="10">
        <f>IFERROR(__xludf.DUMMYFUNCTION("""COMPUTED_VALUE"""),45715.0)</f>
        <v>45715</v>
      </c>
      <c r="M48" s="8" t="str">
        <f>IFERROR(__xludf.DUMMYFUNCTION("""COMPUTED_VALUE"""),"нет")</f>
        <v>нет</v>
      </c>
    </row>
    <row r="49">
      <c r="A49" s="5">
        <f>IFERROR(__xludf.DUMMYFUNCTION("""COMPUTED_VALUE"""),48.0)</f>
        <v>48</v>
      </c>
      <c r="B49" s="6" t="str">
        <f>IFERROR(__xludf.DUMMYFUNCTION("""COMPUTED_VALUE"""),"MenA_Microgen")</f>
        <v>MenA_Microgen</v>
      </c>
      <c r="C49" s="7" t="str">
        <f>IFERROR(__xludf.DUMMYFUNCTION("""COMPUTED_VALUE"""),"https://grls.rosminzdrav.ru/Grls_View_v2.aspx?routingGuid=573dc2fd-b104-4a0c-a56a-486f57764912")</f>
        <v>https://grls.rosminzdrav.ru/Grls_View_v2.aspx?routingGuid=573dc2fd-b104-4a0c-a56a-486f57764912</v>
      </c>
      <c r="D49" s="8" t="str">
        <f>IFERROR(__xludf.DUMMYFUNCTION("""COMPUTED_VALUE"""),"Менингококковая гр. A")</f>
        <v>Менингококковая гр. A</v>
      </c>
      <c r="E49" s="8" t="str">
        <f>IFERROR(__xludf.DUMMYFUNCTION("""COMPUTED_VALUE"""),"Вакцина менингококковая группы А полисахаридная")</f>
        <v>Вакцина менингококковая группы А полисахаридная</v>
      </c>
      <c r="F49" s="8" t="str">
        <f>IFERROR(__xludf.DUMMYFUNCTION("""COMPUTED_VALUE"""),"Микроген")</f>
        <v>Микроген</v>
      </c>
      <c r="G49" s="8" t="str">
        <f>IFERROR(__xludf.DUMMYFUNCTION("""COMPUTED_VALUE"""),"in use")</f>
        <v>in use</v>
      </c>
      <c r="H49" s="9" t="str">
        <f>IFERROR(__xludf.DUMMYFUNCTION("""COMPUTED_VALUE"""),"&lt;p&gt;менингококки группы&amp;nbsp;A&lt;/p&gt;")</f>
        <v>&lt;p&gt;менингококки группы&amp;nbsp;A&lt;/p&gt;</v>
      </c>
      <c r="I49" s="9" t="str">
        <f>IFERROR(__xludf.DUMMYFUNCTION("""COMPUTED_VALUE"""),"менингококки группы A")</f>
        <v>менингококки группы A</v>
      </c>
      <c r="J49" s="8"/>
      <c r="K49" s="10">
        <f>IFERROR(__xludf.DUMMYFUNCTION("""COMPUTED_VALUE"""),44712.0)</f>
        <v>44712</v>
      </c>
      <c r="L49" s="10">
        <f>IFERROR(__xludf.DUMMYFUNCTION("""COMPUTED_VALUE"""),45689.0)</f>
        <v>45689</v>
      </c>
      <c r="M49" s="7" t="str">
        <f>IFERROR(__xludf.DUMMYFUNCTION("""COMPUTED_VALUE"""),"https://lk.regmed.ru/Register/GetPDFfromDAToken?Token=22a07d8d-d541-45f6-8093-29d650df9705")</f>
        <v>https://lk.regmed.ru/Register/GetPDFfromDAToken?Token=22a07d8d-d541-45f6-8093-29d650df9705</v>
      </c>
    </row>
    <row r="50">
      <c r="A50" s="5">
        <f>IFERROR(__xludf.DUMMYFUNCTION("""COMPUTED_VALUE"""),49.0)</f>
        <v>49</v>
      </c>
      <c r="B50" s="6" t="str">
        <f>IFERROR(__xludf.DUMMYFUNCTION("""COMPUTED_VALUE"""),"MeningoVac_A_C")</f>
        <v>MeningoVac_A_C</v>
      </c>
      <c r="C50" s="7" t="str">
        <f>IFERROR(__xludf.DUMMYFUNCTION("""COMPUTED_VALUE"""),"https://grls.rosminzdrav.ru/Grls_View_v2.aspx?routingGuid=162087a7-8c2e-4c1c-ada9-b2d41a7fc06d")</f>
        <v>https://grls.rosminzdrav.ru/Grls_View_v2.aspx?routingGuid=162087a7-8c2e-4c1c-ada9-b2d41a7fc06d</v>
      </c>
      <c r="D50" s="8" t="str">
        <f>IFERROR(__xludf.DUMMYFUNCTION("""COMPUTED_VALUE"""),"Менингококковая гр. А+С")</f>
        <v>Менингококковая гр. А+С</v>
      </c>
      <c r="E50" s="8" t="str">
        <f>IFERROR(__xludf.DUMMYFUNCTION("""COMPUTED_VALUE"""),"Вакцина менингококковая групп А и С полисахаридная")</f>
        <v>Вакцина менингококковая групп А и С полисахаридная</v>
      </c>
      <c r="F50" s="8" t="str">
        <f>IFERROR(__xludf.DUMMYFUNCTION("""COMPUTED_VALUE"""),"Микроген")</f>
        <v>Микроген</v>
      </c>
      <c r="G50" s="8" t="str">
        <f>IFERROR(__xludf.DUMMYFUNCTION("""COMPUTED_VALUE"""),"not in use")</f>
        <v>not in use</v>
      </c>
      <c r="H50" s="9" t="str">
        <f>IFERROR(__xludf.DUMMYFUNCTION("""COMPUTED_VALUE"""),"&lt;p&gt;менингококки группы&amp;nbsp;A, C&lt;/p&gt;")</f>
        <v>&lt;p&gt;менингококки группы&amp;nbsp;A, C&lt;/p&gt;</v>
      </c>
      <c r="I50" s="9" t="str">
        <f>IFERROR(__xludf.DUMMYFUNCTION("""COMPUTED_VALUE"""),"менингококки группы A, C")</f>
        <v>менингококки группы A, C</v>
      </c>
      <c r="J50" s="8">
        <f>IFERROR(__xludf.DUMMYFUNCTION("""COMPUTED_VALUE"""),0.5)</f>
        <v>0.5</v>
      </c>
      <c r="K50" s="10">
        <f>IFERROR(__xludf.DUMMYFUNCTION("""COMPUTED_VALUE"""),44712.0)</f>
        <v>44712</v>
      </c>
      <c r="L50" s="10">
        <f>IFERROR(__xludf.DUMMYFUNCTION("""COMPUTED_VALUE"""),45689.0)</f>
        <v>45689</v>
      </c>
      <c r="M50" s="7" t="str">
        <f>IFERROR(__xludf.DUMMYFUNCTION("""COMPUTED_VALUE"""),"https://lk.regmed.ru/Register/GetPDFfromDAToken?Token=023326ba-2394-4cee-8436-d2d7251635d0")</f>
        <v>https://lk.regmed.ru/Register/GetPDFfromDAToken?Token=023326ba-2394-4cee-8436-d2d7251635d0</v>
      </c>
    </row>
    <row r="51">
      <c r="A51" s="5">
        <f>IFERROR(__xludf.DUMMYFUNCTION("""COMPUTED_VALUE"""),50.0)</f>
        <v>50</v>
      </c>
      <c r="B51" s="6" t="str">
        <f>IFERROR(__xludf.DUMMYFUNCTION("""COMPUTED_VALUE"""),"Menactra")</f>
        <v>Menactra</v>
      </c>
      <c r="C51" s="7" t="str">
        <f>IFERROR(__xludf.DUMMYFUNCTION("""COMPUTED_VALUE"""),"https://grls.rosminzdrav.ru/Grls_View_v2.aspx?routingGuid=f79c63df-14fc-4066-a985-f34555bed179")</f>
        <v>https://grls.rosminzdrav.ru/Grls_View_v2.aspx?routingGuid=f79c63df-14fc-4066-a985-f34555bed179</v>
      </c>
      <c r="D51" s="8" t="str">
        <f>IFERROR(__xludf.DUMMYFUNCTION("""COMPUTED_VALUE"""),"Менактра")</f>
        <v>Менактра</v>
      </c>
      <c r="E51" s="8" t="str">
        <f>IFERROR(__xludf.DUMMYFUNCTION("""COMPUTED_VALUE"""),"МЕНАКТРА® [вакцина менингококковая полисахаридная (серогрупп A, C, Y и W-135), конъюгированная с дифтерийным анатоксином]")</f>
        <v>МЕНАКТРА® [вакцина менингококковая полисахаридная (серогрупп A, C, Y и W-135), конъюгированная с дифтерийным анатоксином]</v>
      </c>
      <c r="F51" s="8" t="str">
        <f>IFERROR(__xludf.DUMMYFUNCTION("""COMPUTED_VALUE"""),"Санофи Пастер Лимитед")</f>
        <v>Санофи Пастер Лимитед</v>
      </c>
      <c r="G51" s="8" t="str">
        <f>IFERROR(__xludf.DUMMYFUNCTION("""COMPUTED_VALUE"""),"in use")</f>
        <v>in use</v>
      </c>
      <c r="H51" s="9" t="str">
        <f>IFERROR(__xludf.DUMMYFUNCTION("""COMPUTED_VALUE"""),"&lt;p&gt;менингококки группы&amp;nbsp;A, C, W, Y&lt;/p&gt;")</f>
        <v>&lt;p&gt;менингококки группы&amp;nbsp;A, C, W, Y&lt;/p&gt;</v>
      </c>
      <c r="I51" s="9" t="str">
        <f>IFERROR(__xludf.DUMMYFUNCTION("""COMPUTED_VALUE"""),"менингококки группы A, C, W, Y")</f>
        <v>менингококки группы A, C, W, Y</v>
      </c>
      <c r="J51" s="8"/>
      <c r="K51" s="10">
        <f>IFERROR(__xludf.DUMMYFUNCTION("""COMPUTED_VALUE"""),44712.0)</f>
        <v>44712</v>
      </c>
      <c r="L51" s="10">
        <f>IFERROR(__xludf.DUMMYFUNCTION("""COMPUTED_VALUE"""),45689.0)</f>
        <v>45689</v>
      </c>
      <c r="M51" s="7" t="str">
        <f>IFERROR(__xludf.DUMMYFUNCTION("""COMPUTED_VALUE"""),"https://lk.regmed.ru/Register/GetPDFfromDAToken?Token=daa21352-7464-4e37-a24b-31888db79e80")</f>
        <v>https://lk.regmed.ru/Register/GetPDFfromDAToken?Token=daa21352-7464-4e37-a24b-31888db79e80</v>
      </c>
    </row>
    <row r="52">
      <c r="A52" s="5">
        <f>IFERROR(__xludf.DUMMYFUNCTION("""COMPUTED_VALUE"""),51.0)</f>
        <v>51</v>
      </c>
      <c r="B52" s="6" t="str">
        <f>IFERROR(__xludf.DUMMYFUNCTION("""COMPUTED_VALUE"""),"mumps_Microgen")</f>
        <v>mumps_Microgen</v>
      </c>
      <c r="C52" s="7" t="str">
        <f>IFERROR(__xludf.DUMMYFUNCTION("""COMPUTED_VALUE"""),"https://grls.rosminzdrav.ru/Grls_View_v2.aspx?routingGuid=4f505e78-1d02-4b8f-aaf9-618368787be0")</f>
        <v>https://grls.rosminzdrav.ru/Grls_View_v2.aspx?routingGuid=4f505e78-1d02-4b8f-aaf9-618368787be0</v>
      </c>
      <c r="D52" s="8" t="str">
        <f>IFERROR(__xludf.DUMMYFUNCTION("""COMPUTED_VALUE"""),"паротитная (Микроген)")</f>
        <v>паротитная (Микроген)</v>
      </c>
      <c r="E52" s="8" t="str">
        <f>IFERROR(__xludf.DUMMYFUNCTION("""COMPUTED_VALUE"""),"Вакцина паротитная культуральная живая")</f>
        <v>Вакцина паротитная культуральная живая</v>
      </c>
      <c r="F52" s="8" t="str">
        <f>IFERROR(__xludf.DUMMYFUNCTION("""COMPUTED_VALUE"""),"Микроген")</f>
        <v>Микроген</v>
      </c>
      <c r="G52" s="8" t="str">
        <f>IFERROR(__xludf.DUMMYFUNCTION("""COMPUTED_VALUE"""),"in use")</f>
        <v>in use</v>
      </c>
      <c r="H52" s="9"/>
      <c r="I52" s="9"/>
      <c r="J52" s="8"/>
      <c r="K52" s="10">
        <f>IFERROR(__xludf.DUMMYFUNCTION("""COMPUTED_VALUE"""),44712.0)</f>
        <v>44712</v>
      </c>
      <c r="L52" s="10">
        <f>IFERROR(__xludf.DUMMYFUNCTION("""COMPUTED_VALUE"""),45689.0)</f>
        <v>45689</v>
      </c>
      <c r="M52" s="7" t="str">
        <f>IFERROR(__xludf.DUMMYFUNCTION("""COMPUTED_VALUE"""),"https://lk.regmed.ru/Register/GetPDFfromDAToken?Token=a03421c1-d658-4466-a600-c80d1005976d")</f>
        <v>https://lk.regmed.ru/Register/GetPDFfromDAToken?Token=a03421c1-d658-4466-a600-c80d1005976d</v>
      </c>
    </row>
    <row r="53">
      <c r="A53" s="5">
        <f>IFERROR(__xludf.DUMMYFUNCTION("""COMPUTED_VALUE"""),52.0)</f>
        <v>52</v>
      </c>
      <c r="B53" s="6" t="str">
        <f>IFERROR(__xludf.DUMMYFUNCTION("""COMPUTED_VALUE"""),"Prevenar_13")</f>
        <v>Prevenar_13</v>
      </c>
      <c r="C53" s="7" t="str">
        <f>IFERROR(__xludf.DUMMYFUNCTION("""COMPUTED_VALUE"""),"https://grls.rosminzdrav.ru/Grls_View_v2.aspx?routingGuid=c88b7ed6-2791-496d-95ac-2bf2453e540b")</f>
        <v>https://grls.rosminzdrav.ru/Grls_View_v2.aspx?routingGuid=c88b7ed6-2791-496d-95ac-2bf2453e540b</v>
      </c>
      <c r="D53" s="8" t="str">
        <f>IFERROR(__xludf.DUMMYFUNCTION("""COMPUTED_VALUE"""),"Превенар 13")</f>
        <v>Превенар 13</v>
      </c>
      <c r="E53" s="8" t="str">
        <f>IFERROR(__xludf.DUMMYFUNCTION("""COMPUTED_VALUE"""),"Превенар® 13 (вакцина пневмококковая полисахаридная конъюгированная адсорбированная, тринадцативалентная)")</f>
        <v>Превенар® 13 (вакцина пневмококковая полисахаридная конъюгированная адсорбированная, тринадцативалентная)</v>
      </c>
      <c r="F53" s="8" t="str">
        <f>IFERROR(__xludf.DUMMYFUNCTION("""COMPUTED_VALUE"""),"Пфайзер")</f>
        <v>Пфайзер</v>
      </c>
      <c r="G53" s="8" t="str">
        <f>IFERROR(__xludf.DUMMYFUNCTION("""COMPUTED_VALUE"""),"in use")</f>
        <v>in use</v>
      </c>
      <c r="H53" s="9"/>
      <c r="I53" s="9"/>
      <c r="J53" s="8"/>
      <c r="K53" s="10">
        <f>IFERROR(__xludf.DUMMYFUNCTION("""COMPUTED_VALUE"""),44712.0)</f>
        <v>44712</v>
      </c>
      <c r="L53" s="10">
        <f>IFERROR(__xludf.DUMMYFUNCTION("""COMPUTED_VALUE"""),45689.0)</f>
        <v>45689</v>
      </c>
      <c r="M53" s="7" t="str">
        <f>IFERROR(__xludf.DUMMYFUNCTION("""COMPUTED_VALUE"""),"https://lk.regmed.ru/Register/GetPDFfromDAToken?Token=3553002d-a459-42b4-8d3c-382ab7278081")</f>
        <v>https://lk.regmed.ru/Register/GetPDFfromDAToken?Token=3553002d-a459-42b4-8d3c-382ab7278081</v>
      </c>
    </row>
    <row r="54">
      <c r="A54" s="5">
        <f>IFERROR(__xludf.DUMMYFUNCTION("""COMPUTED_VALUE"""),53.0)</f>
        <v>53</v>
      </c>
      <c r="B54" s="6" t="str">
        <f>IFERROR(__xludf.DUMMYFUNCTION("""COMPUTED_VALUE"""),"Synflorix")</f>
        <v>Synflorix</v>
      </c>
      <c r="C54" s="7" t="str">
        <f>IFERROR(__xludf.DUMMYFUNCTION("""COMPUTED_VALUE"""),"https://grls.rosminzdrav.ru/Grls_View_v2.aspx?routingGuid=98f6f75c-4d06-4e15-8e8e-52e513e2c4c1")</f>
        <v>https://grls.rosminzdrav.ru/Grls_View_v2.aspx?routingGuid=98f6f75c-4d06-4e15-8e8e-52e513e2c4c1</v>
      </c>
      <c r="D54" s="8" t="str">
        <f>IFERROR(__xludf.DUMMYFUNCTION("""COMPUTED_VALUE"""),"Синфлорикс")</f>
        <v>Синфлорикс</v>
      </c>
      <c r="E54" s="8" t="str">
        <f>IFERROR(__xludf.DUMMYFUNCTION("""COMPUTED_VALUE"""),"Синфлорикс (Вакцина 10-валентная пневмококковая полисахаридная, конъюгированная с D-протеином нетипируемой Haemophilus influenzae, столбнячным и дифтерийным анатоксинами, адсорбированная)")</f>
        <v>Синфлорикс (Вакцина 10-валентная пневмококковая полисахаридная, конъюгированная с D-протеином нетипируемой Haemophilus influenzae, столбнячным и дифтерийным анатоксинами, адсорбированная)</v>
      </c>
      <c r="F54" s="8"/>
      <c r="G54" s="8" t="str">
        <f>IFERROR(__xludf.DUMMYFUNCTION("""COMPUTED_VALUE"""),"not in use")</f>
        <v>not in use</v>
      </c>
      <c r="H54" s="9"/>
      <c r="I54" s="9"/>
      <c r="J54" s="8"/>
      <c r="K54" s="10">
        <f>IFERROR(__xludf.DUMMYFUNCTION("""COMPUTED_VALUE"""),44712.0)</f>
        <v>44712</v>
      </c>
      <c r="L54" s="10">
        <f>IFERROR(__xludf.DUMMYFUNCTION("""COMPUTED_VALUE"""),45715.0)</f>
        <v>45715</v>
      </c>
      <c r="M54" s="8" t="str">
        <f>IFERROR(__xludf.DUMMYFUNCTION("""COMPUTED_VALUE"""),"нет")</f>
        <v>нет</v>
      </c>
    </row>
    <row r="55">
      <c r="A55" s="5">
        <f>IFERROR(__xludf.DUMMYFUNCTION("""COMPUTED_VALUE"""),54.0)</f>
        <v>54</v>
      </c>
      <c r="B55" s="6" t="str">
        <f>IFERROR(__xludf.DUMMYFUNCTION("""COMPUTED_VALUE"""),"Pneumovax_23")</f>
        <v>Pneumovax_23</v>
      </c>
      <c r="C55" s="7" t="str">
        <f>IFERROR(__xludf.DUMMYFUNCTION("""COMPUTED_VALUE"""),"https://grls.rosminzdrav.ru/Grls_View_v2.aspx?routingGuid=7ded6546-8feb-4afd-9a4d-1fce9414a552")</f>
        <v>https://grls.rosminzdrav.ru/Grls_View_v2.aspx?routingGuid=7ded6546-8feb-4afd-9a4d-1fce9414a552</v>
      </c>
      <c r="D55" s="8" t="str">
        <f>IFERROR(__xludf.DUMMYFUNCTION("""COMPUTED_VALUE"""),"Пневмовакс 23")</f>
        <v>Пневмовакс 23</v>
      </c>
      <c r="E55" s="8" t="str">
        <f>IFERROR(__xludf.DUMMYFUNCTION("""COMPUTED_VALUE"""),"Пневмовакс® 23 (Вакцина пневмококковая, поливалентная)")</f>
        <v>Пневмовакс® 23 (Вакцина пневмококковая, поливалентная)</v>
      </c>
      <c r="F55" s="8" t="str">
        <f>IFERROR(__xludf.DUMMYFUNCTION("""COMPUTED_VALUE"""),"Мерк Шарп и Доум Б.В.")</f>
        <v>Мерк Шарп и Доум Б.В.</v>
      </c>
      <c r="G55" s="8" t="str">
        <f>IFERROR(__xludf.DUMMYFUNCTION("""COMPUTED_VALUE"""),"in use")</f>
        <v>in use</v>
      </c>
      <c r="H55" s="9"/>
      <c r="I55" s="9"/>
      <c r="J55" s="8"/>
      <c r="K55" s="10">
        <f>IFERROR(__xludf.DUMMYFUNCTION("""COMPUTED_VALUE"""),44712.0)</f>
        <v>44712</v>
      </c>
      <c r="L55" s="10">
        <f>IFERROR(__xludf.DUMMYFUNCTION("""COMPUTED_VALUE"""),45689.0)</f>
        <v>45689</v>
      </c>
      <c r="M55" s="7" t="str">
        <f>IFERROR(__xludf.DUMMYFUNCTION("""COMPUTED_VALUE"""),"https://lk.regmed.ru/Register/GetPDFfromDAToken?Token=10e497be-3d4a-43a2-aa31-092ce691668e")</f>
        <v>https://lk.regmed.ru/Register/GetPDFfromDAToken?Token=10e497be-3d4a-43a2-aa31-092ce691668e</v>
      </c>
    </row>
    <row r="56">
      <c r="A56" s="5">
        <f>IFERROR(__xludf.DUMMYFUNCTION("""COMPUTED_VALUE"""),55.0)</f>
        <v>55</v>
      </c>
      <c r="B56" s="6" t="str">
        <f>IFERROR(__xludf.DUMMYFUNCTION("""COMPUTED_VALUE"""),"MonoVac_Polio")</f>
        <v>MonoVac_Polio</v>
      </c>
      <c r="C56" s="7" t="str">
        <f>IFERROR(__xludf.DUMMYFUNCTION("""COMPUTED_VALUE"""),"https://grls.rosminzdrav.ru/Grls_View_v2.aspx?routingGuid=94cb6422-2bae-41b1-b881-7019bc1e6c88")</f>
        <v>https://grls.rosminzdrav.ru/Grls_View_v2.aspx?routingGuid=94cb6422-2bae-41b1-b881-7019bc1e6c88</v>
      </c>
      <c r="D56" s="8" t="str">
        <f>IFERROR(__xludf.DUMMYFUNCTION("""COMPUTED_VALUE"""),"МоноВак полио")</f>
        <v>МоноВак полио</v>
      </c>
      <c r="E56" s="8" t="str">
        <f>IFERROR(__xludf.DUMMYFUNCTION("""COMPUTED_VALUE"""),"МоноВак полио тип 2 (Вакцина полиомиелитная пероральная, моновалентная, живая аттенуированная 2 типа)")</f>
        <v>МоноВак полио тип 2 (Вакцина полиомиелитная пероральная, моновалентная, живая аттенуированная 2 типа)</v>
      </c>
      <c r="F56" s="8"/>
      <c r="G56" s="8" t="str">
        <f>IFERROR(__xludf.DUMMYFUNCTION("""COMPUTED_VALUE"""),"in use")</f>
        <v>in use</v>
      </c>
      <c r="H56" s="9"/>
      <c r="I56" s="9"/>
      <c r="J56" s="8"/>
      <c r="K56" s="10">
        <f>IFERROR(__xludf.DUMMYFUNCTION("""COMPUTED_VALUE"""),44712.0)</f>
        <v>44712</v>
      </c>
      <c r="L56" s="10">
        <f>IFERROR(__xludf.DUMMYFUNCTION("""COMPUTED_VALUE"""),44944.0)</f>
        <v>44944</v>
      </c>
      <c r="M56" s="8" t="str">
        <f>IFERROR(__xludf.DUMMYFUNCTION("""COMPUTED_VALUE"""),"нет")</f>
        <v>нет</v>
      </c>
    </row>
    <row r="57">
      <c r="A57" s="5">
        <f>IFERROR(__xludf.DUMMYFUNCTION("""COMPUTED_VALUE"""),56.0)</f>
        <v>56</v>
      </c>
      <c r="B57" s="6" t="str">
        <f>IFERROR(__xludf.DUMMYFUNCTION("""COMPUTED_VALUE"""),"BiVac_Polio")</f>
        <v>BiVac_Polio</v>
      </c>
      <c r="C57" s="7" t="str">
        <f>IFERROR(__xludf.DUMMYFUNCTION("""COMPUTED_VALUE"""),"https://grls.rosminzdrav.ru/Grls_View_v2.aspx?routingGuid=35f3aeab-53d0-4aa3-b370-016ed06e2330")</f>
        <v>https://grls.rosminzdrav.ru/Grls_View_v2.aspx?routingGuid=35f3aeab-53d0-4aa3-b370-016ed06e2330</v>
      </c>
      <c r="D57" s="8" t="str">
        <f>IFERROR(__xludf.DUMMYFUNCTION("""COMPUTED_VALUE"""),"БиВак полио")</f>
        <v>БиВак полио</v>
      </c>
      <c r="E57" s="8" t="str">
        <f>IFERROR(__xludf.DUMMYFUNCTION("""COMPUTED_VALUE"""),"БиВак полио (Вакцина полиомиелитная пероральная, двухвалентная, живая аттенуированная 1, 3 типов)")</f>
        <v>БиВак полио (Вакцина полиомиелитная пероральная, двухвалентная, живая аттенуированная 1, 3 типов)</v>
      </c>
      <c r="F57" s="8"/>
      <c r="G57" s="8" t="str">
        <f>IFERROR(__xludf.DUMMYFUNCTION("""COMPUTED_VALUE"""),"in use")</f>
        <v>in use</v>
      </c>
      <c r="H57" s="9"/>
      <c r="I57" s="9"/>
      <c r="J57" s="8"/>
      <c r="K57" s="10">
        <f>IFERROR(__xludf.DUMMYFUNCTION("""COMPUTED_VALUE"""),44712.0)</f>
        <v>44712</v>
      </c>
      <c r="L57" s="10">
        <f>IFERROR(__xludf.DUMMYFUNCTION("""COMPUTED_VALUE"""),45988.0)</f>
        <v>45988</v>
      </c>
      <c r="M57" s="8" t="str">
        <f>IFERROR(__xludf.DUMMYFUNCTION("""COMPUTED_VALUE"""),"нет")</f>
        <v>нет</v>
      </c>
    </row>
    <row r="58">
      <c r="A58" s="5">
        <f>IFERROR(__xludf.DUMMYFUNCTION("""COMPUTED_VALUE"""),57.0)</f>
        <v>57</v>
      </c>
      <c r="B58" s="6" t="str">
        <f>IFERROR(__xludf.DUMMYFUNCTION("""COMPUTED_VALUE"""),"Polymilex")</f>
        <v>Polymilex</v>
      </c>
      <c r="C58" s="7" t="str">
        <f>IFERROR(__xludf.DUMMYFUNCTION("""COMPUTED_VALUE"""),"https://grls.rosminzdrav.ru/Grls_View_v2.aspx?routingGuid=f91918fb-09b8-4766-8e48-6606a0541073")</f>
        <v>https://grls.rosminzdrav.ru/Grls_View_v2.aspx?routingGuid=f91918fb-09b8-4766-8e48-6606a0541073</v>
      </c>
      <c r="D58" s="8" t="str">
        <f>IFERROR(__xludf.DUMMYFUNCTION("""COMPUTED_VALUE"""),"Полимилекс")</f>
        <v>Полимилекс</v>
      </c>
      <c r="E58" s="8" t="str">
        <f>IFERROR(__xludf.DUMMYFUNCTION("""COMPUTED_VALUE"""),"ПОЛИМИЛЕКС® вакцина для профилактики полиомиелита инактивированная")</f>
        <v>ПОЛИМИЛЕКС® вакцина для профилактики полиомиелита инактивированная</v>
      </c>
      <c r="F58" s="8"/>
      <c r="G58" s="8" t="str">
        <f>IFERROR(__xludf.DUMMYFUNCTION("""COMPUTED_VALUE"""),"in use")</f>
        <v>in use</v>
      </c>
      <c r="H58" s="9"/>
      <c r="I58" s="9"/>
      <c r="J58" s="8"/>
      <c r="K58" s="10">
        <f>IFERROR(__xludf.DUMMYFUNCTION("""COMPUTED_VALUE"""),44712.0)</f>
        <v>44712</v>
      </c>
      <c r="L58" s="10">
        <f>IFERROR(__xludf.DUMMYFUNCTION("""COMPUTED_VALUE"""),45715.0)</f>
        <v>45715</v>
      </c>
      <c r="M58" s="8" t="str">
        <f>IFERROR(__xludf.DUMMYFUNCTION("""COMPUTED_VALUE"""),"нет")</f>
        <v>нет</v>
      </c>
    </row>
    <row r="59">
      <c r="A59" s="5">
        <f>IFERROR(__xludf.DUMMYFUNCTION("""COMPUTED_VALUE"""),58.0)</f>
        <v>58</v>
      </c>
      <c r="B59" s="6" t="str">
        <f>IFERROR(__xludf.DUMMYFUNCTION("""COMPUTED_VALUE"""),"COCAV")</f>
        <v>COCAV</v>
      </c>
      <c r="C59" s="7" t="str">
        <f>IFERROR(__xludf.DUMMYFUNCTION("""COMPUTED_VALUE"""),"https://grls.rosminzdrav.ru/Grls_View_v2.aspx?routingGuid=7da83465-3e51-4a42-99a7-7aff7e64f9e4")</f>
        <v>https://grls.rosminzdrav.ru/Grls_View_v2.aspx?routingGuid=7da83465-3e51-4a42-99a7-7aff7e64f9e4</v>
      </c>
      <c r="D59" s="8" t="str">
        <f>IFERROR(__xludf.DUMMYFUNCTION("""COMPUTED_VALUE"""),"Кокав")</f>
        <v>Кокав</v>
      </c>
      <c r="E59" s="8" t="str">
        <f>IFERROR(__xludf.DUMMYFUNCTION("""COMPUTED_VALUE"""),"КОКАВ Вакцина антирабическая культуральная концентрированная очищенная инактивированная")</f>
        <v>КОКАВ Вакцина антирабическая культуральная концентрированная очищенная инактивированная</v>
      </c>
      <c r="F59" s="8"/>
      <c r="G59" s="8" t="str">
        <f>IFERROR(__xludf.DUMMYFUNCTION("""COMPUTED_VALUE"""),"in use")</f>
        <v>in use</v>
      </c>
      <c r="H59" s="9" t="str">
        <f>IFERROR(__xludf.DUMMYFUNCTION("""COMPUTED_VALUE"""),"&lt;p&gt;Для постэкспозиционной профилактики, то есть в случае укуса потенциально бешеным животным, противопоказания отсутствуют. В том числе прививка может проводиться беременным, если беременная была укушена животным, которое может быть инфицировано вирусом б"&amp;"ешенства.&lt;br&gt;
&lt;br&gt;
Указанные ниже противопоказания относятся к плановой вакцинации лиц, имеющих высокий профессиональный риск заражения бешенством, — ветеринарных работников, егерей, охотников, лесников, лиц, работающих с уличным вирусом бешенства или вып"&amp;"олняющих работы по отлову и содержанию животных.&lt;/p&gt;")</f>
        <v>&lt;p&gt;Для постэкспозиционной профилактики, то есть в случае укуса потенциально бешеным животным, противопоказания отсутствуют. В том числе прививка может проводиться беременным, если беременная была укушена животным, которое может быть инфицировано вирусом бешенства.&lt;br&gt;
&lt;br&gt;
Указанные ниже противопоказания относятся к плановой вакцинации лиц, имеющих высокий профессиональный риск заражения бешенством, — ветеринарных работников, егерей, охотников, лесников, лиц, работающих с уличным вирусом бешенства или выполняющих работы по отлову и содержанию животных.&lt;/p&gt;</v>
      </c>
      <c r="I59" s="9" t="str">
        <f>IFERROR(__xludf.DUMMYFUNCTION("""COMPUTED_VALUE"""),"Для постэкспозиционной профилактики, то есть в случае укуса потенциально бешеным животным, противопоказания отсутствуют. В том числе прививка может проводиться беременным, если беременная была укушена животным, которое может быть инфицировано вирусом беше"&amp;"нства.
Указанные ниже противопоказания относятся к плановой вакцинации лиц, имеющих высокий профессиональный риск заражения бешенством, — ветеринарных работников, егерей, охотников, лесников, лиц, работающих с уличным вирусом бешенства или выполняющих ра"&amp;"боты по отлову и содержанию животных.")</f>
        <v>Для постэкспозиционной профилактики, то есть в случае укуса потенциально бешеным животным, противопоказания отсутствуют. В том числе прививка может проводиться беременным, если беременная была укушена животным, которое может быть инфицировано вирусом бешенства.
Указанные ниже противопоказания относятся к плановой вакцинации лиц, имеющих высокий профессиональный риск заражения бешенством, — ветеринарных работников, егерей, охотников, лесников, лиц, работающих с уличным вирусом бешенства или выполняющих работы по отлову и содержанию животных.</v>
      </c>
      <c r="J59" s="8"/>
      <c r="K59" s="10">
        <f>IFERROR(__xludf.DUMMYFUNCTION("""COMPUTED_VALUE"""),44712.0)</f>
        <v>44712</v>
      </c>
      <c r="L59" s="10">
        <f>IFERROR(__xludf.DUMMYFUNCTION("""COMPUTED_VALUE"""),45689.0)</f>
        <v>45689</v>
      </c>
      <c r="M59" s="7" t="str">
        <f>IFERROR(__xludf.DUMMYFUNCTION("""COMPUTED_VALUE"""),"https://lk.regmed.ru/Register/GetPDFfromDAToken?Token=92b647e6-6e46-4d97-b5db-055d884d1048")</f>
        <v>https://lk.regmed.ru/Register/GetPDFfromDAToken?Token=92b647e6-6e46-4d97-b5db-055d884d1048</v>
      </c>
    </row>
    <row r="60">
      <c r="A60" s="5">
        <f>IFERROR(__xludf.DUMMYFUNCTION("""COMPUTED_VALUE"""),59.0)</f>
        <v>59</v>
      </c>
      <c r="B60" s="6" t="str">
        <f>IFERROR(__xludf.DUMMYFUNCTION("""COMPUTED_VALUE"""),"rabies_Chumakov")</f>
        <v>rabies_Chumakov</v>
      </c>
      <c r="C60" s="7" t="str">
        <f>IFERROR(__xludf.DUMMYFUNCTION("""COMPUTED_VALUE"""),"https://grls.rosminzdrav.ru/Grls_View_v2.aspx?routingGuid=91d987ae-568f-4c6b-8623-8abf1ea0cbdc")</f>
        <v>https://grls.rosminzdrav.ru/Grls_View_v2.aspx?routingGuid=91d987ae-568f-4c6b-8623-8abf1ea0cbdc</v>
      </c>
      <c r="D60" s="8" t="str">
        <f>IFERROR(__xludf.DUMMYFUNCTION("""COMPUTED_VALUE"""),"антирабическая (Чумакова)")</f>
        <v>антирабическая (Чумакова)</v>
      </c>
      <c r="E60" s="8" t="str">
        <f>IFERROR(__xludf.DUMMYFUNCTION("""COMPUTED_VALUE"""),"Вакцина антирабическая культуральная концентрированная очищенная инактивированная сухая")</f>
        <v>Вакцина антирабическая культуральная концентрированная очищенная инактивированная сухая</v>
      </c>
      <c r="F60" s="8"/>
      <c r="G60" s="8" t="str">
        <f>IFERROR(__xludf.DUMMYFUNCTION("""COMPUTED_VALUE"""),"in use")</f>
        <v>in use</v>
      </c>
      <c r="H60" s="9"/>
      <c r="I60" s="9"/>
      <c r="J60" s="8"/>
      <c r="K60" s="10">
        <f>IFERROR(__xludf.DUMMYFUNCTION("""COMPUTED_VALUE"""),44712.0)</f>
        <v>44712</v>
      </c>
      <c r="L60" s="10">
        <f>IFERROR(__xludf.DUMMYFUNCTION("""COMPUTED_VALUE"""),46188.0)</f>
        <v>46188</v>
      </c>
      <c r="M60" s="8" t="str">
        <f>IFERROR(__xludf.DUMMYFUNCTION("""COMPUTED_VALUE"""),"нет")</f>
        <v>нет</v>
      </c>
    </row>
    <row r="61">
      <c r="A61" s="5">
        <f>IFERROR(__xludf.DUMMYFUNCTION("""COMPUTED_VALUE"""),60.0)</f>
        <v>60</v>
      </c>
      <c r="B61" s="6" t="str">
        <f>IFERROR(__xludf.DUMMYFUNCTION("""COMPUTED_VALUE"""),"Rabivac_Vnukovo_32")</f>
        <v>Rabivac_Vnukovo_32</v>
      </c>
      <c r="C61" s="7" t="str">
        <f>IFERROR(__xludf.DUMMYFUNCTION("""COMPUTED_VALUE"""),"https://grls.rosminzdrav.ru/Grls_View_v2.aspx?routingGuid=e4ffdd5e-89db-479f-b9a3-4aee83beeb8a")</f>
        <v>https://grls.rosminzdrav.ru/Grls_View_v2.aspx?routingGuid=e4ffdd5e-89db-479f-b9a3-4aee83beeb8a</v>
      </c>
      <c r="D61" s="8" t="str">
        <f>IFERROR(__xludf.DUMMYFUNCTION("""COMPUTED_VALUE"""),"Рабивак-Внуково-32")</f>
        <v>Рабивак-Внуково-32</v>
      </c>
      <c r="E61" s="8" t="str">
        <f>IFERROR(__xludf.DUMMYFUNCTION("""COMPUTED_VALUE"""),"Рабивак-Внуково-32 Вакцина антирабическая культуральная инактивированная для иммунизации человека")</f>
        <v>Рабивак-Внуково-32 Вакцина антирабическая культуральная инактивированная для иммунизации человека</v>
      </c>
      <c r="F61" s="8"/>
      <c r="G61" s="8" t="str">
        <f>IFERROR(__xludf.DUMMYFUNCTION("""COMPUTED_VALUE"""),"not in use")</f>
        <v>not in use</v>
      </c>
      <c r="H61" s="9"/>
      <c r="I61" s="9"/>
      <c r="J61" s="8"/>
      <c r="K61" s="10">
        <f>IFERROR(__xludf.DUMMYFUNCTION("""COMPUTED_VALUE"""),44712.0)</f>
        <v>44712</v>
      </c>
      <c r="L61" s="10">
        <f>IFERROR(__xludf.DUMMYFUNCTION("""COMPUTED_VALUE"""),44748.0)</f>
        <v>44748</v>
      </c>
      <c r="M61" s="8" t="str">
        <f>IFERROR(__xludf.DUMMYFUNCTION("""COMPUTED_VALUE"""),"нет")</f>
        <v>нет</v>
      </c>
    </row>
    <row r="62">
      <c r="A62" s="5">
        <f>IFERROR(__xludf.DUMMYFUNCTION("""COMPUTED_VALUE"""),61.0)</f>
        <v>61</v>
      </c>
      <c r="B62" s="6" t="str">
        <f>IFERROR(__xludf.DUMMYFUNCTION("""COMPUTED_VALUE"""),"RotaTeq")</f>
        <v>RotaTeq</v>
      </c>
      <c r="C62" s="7" t="str">
        <f>IFERROR(__xludf.DUMMYFUNCTION("""COMPUTED_VALUE"""),"https://grls.rosminzdrav.ru/Grls_View_v2.aspx?routingGuid=5a312c4c-479c-463e-85d1-fa7e8990168d")</f>
        <v>https://grls.rosminzdrav.ru/Grls_View_v2.aspx?routingGuid=5a312c4c-479c-463e-85d1-fa7e8990168d</v>
      </c>
      <c r="D62" s="8" t="str">
        <f>IFERROR(__xludf.DUMMYFUNCTION("""COMPUTED_VALUE"""),"РотаТек")</f>
        <v>РотаТек</v>
      </c>
      <c r="E62" s="8" t="str">
        <f>IFERROR(__xludf.DUMMYFUNCTION("""COMPUTED_VALUE"""),"РотаТек®")</f>
        <v>РотаТек®</v>
      </c>
      <c r="F62" s="8"/>
      <c r="G62" s="8" t="str">
        <f>IFERROR(__xludf.DUMMYFUNCTION("""COMPUTED_VALUE"""),"not in use")</f>
        <v>not in use</v>
      </c>
      <c r="H62" s="9"/>
      <c r="I62" s="9"/>
      <c r="J62" s="8"/>
      <c r="K62" s="10">
        <f>IFERROR(__xludf.DUMMYFUNCTION("""COMPUTED_VALUE"""),44712.0)</f>
        <v>44712</v>
      </c>
      <c r="L62" s="10">
        <f>IFERROR(__xludf.DUMMYFUNCTION("""COMPUTED_VALUE"""),44787.0)</f>
        <v>44787</v>
      </c>
      <c r="M62" s="8" t="str">
        <f>IFERROR(__xludf.DUMMYFUNCTION("""COMPUTED_VALUE"""),"нет")</f>
        <v>нет</v>
      </c>
    </row>
    <row r="63">
      <c r="A63" s="5">
        <f>IFERROR(__xludf.DUMMYFUNCTION("""COMPUTED_VALUE"""),62.0)</f>
        <v>62</v>
      </c>
      <c r="B63" s="6" t="str">
        <f>IFERROR(__xludf.DUMMYFUNCTION("""COMPUTED_VALUE"""),"rubella_Microgen")</f>
        <v>rubella_Microgen</v>
      </c>
      <c r="C63" s="7" t="str">
        <f>IFERROR(__xludf.DUMMYFUNCTION("""COMPUTED_VALUE"""),"https://grls.rosminzdrav.ru/Grls_View_v2.aspx?routingGuid=0482f816-63ad-49b9-9b56-808b708f6dab")</f>
        <v>https://grls.rosminzdrav.ru/Grls_View_v2.aspx?routingGuid=0482f816-63ad-49b9-9b56-808b708f6dab</v>
      </c>
      <c r="D63" s="8" t="str">
        <f>IFERROR(__xludf.DUMMYFUNCTION("""COMPUTED_VALUE"""),"краснушная (Микроген)")</f>
        <v>краснушная (Микроген)</v>
      </c>
      <c r="E63" s="8" t="str">
        <f>IFERROR(__xludf.DUMMYFUNCTION("""COMPUTED_VALUE"""),"Вакцина против краснухи культуральная живая")</f>
        <v>Вакцина против краснухи культуральная живая</v>
      </c>
      <c r="F63" s="8" t="str">
        <f>IFERROR(__xludf.DUMMYFUNCTION("""COMPUTED_VALUE"""),"Микроген")</f>
        <v>Микроген</v>
      </c>
      <c r="G63" s="8" t="str">
        <f>IFERROR(__xludf.DUMMYFUNCTION("""COMPUTED_VALUE"""),"in use")</f>
        <v>in use</v>
      </c>
      <c r="H63" s="9"/>
      <c r="I63" s="9"/>
      <c r="J63" s="8"/>
      <c r="K63" s="10">
        <f>IFERROR(__xludf.DUMMYFUNCTION("""COMPUTED_VALUE"""),44712.0)</f>
        <v>44712</v>
      </c>
      <c r="L63" s="10">
        <f>IFERROR(__xludf.DUMMYFUNCTION("""COMPUTED_VALUE"""),45689.0)</f>
        <v>45689</v>
      </c>
      <c r="M63" s="7" t="str">
        <f>IFERROR(__xludf.DUMMYFUNCTION("""COMPUTED_VALUE"""),"https://lk.regmed.ru/Register/GetPDFfromDAToken?Token=861ea14c-5408-419d-bd47-031af580ecf7")</f>
        <v>https://lk.regmed.ru/Register/GetPDFfromDAToken?Token=861ea14c-5408-419d-bd47-031af580ecf7</v>
      </c>
    </row>
    <row r="64">
      <c r="A64" s="5">
        <f>IFERROR(__xludf.DUMMYFUNCTION("""COMPUTED_VALUE"""),63.0)</f>
        <v>63</v>
      </c>
      <c r="B64" s="6" t="str">
        <f>IFERROR(__xludf.DUMMYFUNCTION("""COMPUTED_VALUE"""),"rubella_Serum")</f>
        <v>rubella_Serum</v>
      </c>
      <c r="C64" s="7" t="str">
        <f>IFERROR(__xludf.DUMMYFUNCTION("""COMPUTED_VALUE"""),"https://grls.rosminzdrav.ru/Grls_View_v2.aspx?routingGuid=dee8c37b-28f6-45f1-9773-d691d9fb54ae")</f>
        <v>https://grls.rosminzdrav.ru/Grls_View_v2.aspx?routingGuid=dee8c37b-28f6-45f1-9773-d691d9fb54ae</v>
      </c>
      <c r="D64" s="8" t="str">
        <f>IFERROR(__xludf.DUMMYFUNCTION("""COMPUTED_VALUE"""),"краснушная (Серум Инститьют)")</f>
        <v>краснушная (Серум Инститьют)</v>
      </c>
      <c r="E64" s="8" t="str">
        <f>IFERROR(__xludf.DUMMYFUNCTION("""COMPUTED_VALUE"""),"Вакцина против краснухи живая аттенуированная")</f>
        <v>Вакцина против краснухи живая аттенуированная</v>
      </c>
      <c r="F64" s="8" t="str">
        <f>IFERROR(__xludf.DUMMYFUNCTION("""COMPUTED_VALUE"""),"Серум Инститьют")</f>
        <v>Серум Инститьют</v>
      </c>
      <c r="G64" s="8" t="str">
        <f>IFERROR(__xludf.DUMMYFUNCTION("""COMPUTED_VALUE"""),"not in use")</f>
        <v>not in use</v>
      </c>
      <c r="H64" s="9"/>
      <c r="I64" s="9"/>
      <c r="J64" s="8"/>
      <c r="K64" s="10">
        <f>IFERROR(__xludf.DUMMYFUNCTION("""COMPUTED_VALUE"""),44712.0)</f>
        <v>44712</v>
      </c>
      <c r="L64" s="10">
        <f>IFERROR(__xludf.DUMMYFUNCTION("""COMPUTED_VALUE"""),44750.0)</f>
        <v>44750</v>
      </c>
      <c r="M64" s="8" t="str">
        <f>IFERROR(__xludf.DUMMYFUNCTION("""COMPUTED_VALUE"""),"нет")</f>
        <v>нет</v>
      </c>
    </row>
    <row r="65">
      <c r="A65" s="5">
        <f>IFERROR(__xludf.DUMMYFUNCTION("""COMPUTED_VALUE"""),64.0)</f>
        <v>64</v>
      </c>
      <c r="B65" s="6" t="str">
        <f>IFERROR(__xludf.DUMMYFUNCTION("""COMPUTED_VALUE"""),"AS_Microgen")</f>
        <v>AS_Microgen</v>
      </c>
      <c r="C65" s="7" t="str">
        <f>IFERROR(__xludf.DUMMYFUNCTION("""COMPUTED_VALUE"""),"https://grls.rosminzdrav.ru/Grls_View_v2.aspx?routingGuid=640af3c6-436c-47e2-a2cb-8cfff245452f")</f>
        <v>https://grls.rosminzdrav.ru/Grls_View_v2.aspx?routingGuid=640af3c6-436c-47e2-a2cb-8cfff245452f</v>
      </c>
      <c r="D65" s="8" t="str">
        <f>IFERROR(__xludf.DUMMYFUNCTION("""COMPUTED_VALUE"""),"Анатоксин столбнячный (Микроген)")</f>
        <v>Анатоксин столбнячный (Микроген)</v>
      </c>
      <c r="E65" s="8" t="str">
        <f>IFERROR(__xludf.DUMMYFUNCTION("""COMPUTED_VALUE"""),"Анатоксин столбнячный очищенный адсорбированный жидкий (АС-анатоксин)")</f>
        <v>Анатоксин столбнячный очищенный адсорбированный жидкий (АС-анатоксин)</v>
      </c>
      <c r="F65" s="8"/>
      <c r="G65" s="8" t="str">
        <f>IFERROR(__xludf.DUMMYFUNCTION("""COMPUTED_VALUE"""),"in use")</f>
        <v>in use</v>
      </c>
      <c r="H65" s="9" t="str">
        <f>IFERROR(__xludf.DUMMYFUNCTION("""COMPUTED_VALUE"""),"&lt;p&gt;Анатоксин противопоказан только в первую половину беременности. Во вторую половину беременности введение анатоксина возможно.&lt;/p&gt;")</f>
        <v>&lt;p&gt;Анатоксин противопоказан только в первую половину беременности. Во вторую половину беременности введение анатоксина возможно.&lt;/p&gt;</v>
      </c>
      <c r="I65" s="9" t="str">
        <f>IFERROR(__xludf.DUMMYFUNCTION("""COMPUTED_VALUE"""),"Анатоксин противопоказан только в первую половину беременности. Во вторую половину беременности введение анатоксина возможно.")</f>
        <v>Анатоксин противопоказан только в первую половину беременности. Во вторую половину беременности введение анатоксина возможно.</v>
      </c>
      <c r="J65" s="8"/>
      <c r="K65" s="10">
        <f>IFERROR(__xludf.DUMMYFUNCTION("""COMPUTED_VALUE"""),44712.0)</f>
        <v>44712</v>
      </c>
      <c r="L65" s="10">
        <f>IFERROR(__xludf.DUMMYFUNCTION("""COMPUTED_VALUE"""),45689.0)</f>
        <v>45689</v>
      </c>
      <c r="M65" s="8" t="str">
        <f>IFERROR(__xludf.DUMMYFUNCTION("""COMPUTED_VALUE"""),"есть")</f>
        <v>есть</v>
      </c>
    </row>
    <row r="66">
      <c r="A66" s="5">
        <f>IFERROR(__xludf.DUMMYFUNCTION("""COMPUTED_VALUE"""),65.0)</f>
        <v>65</v>
      </c>
      <c r="B66" s="6" t="str">
        <f>IFERROR(__xludf.DUMMYFUNCTION("""COMPUTED_VALUE"""),"AS_Biomed")</f>
        <v>AS_Biomed</v>
      </c>
      <c r="C66" s="7" t="str">
        <f>IFERROR(__xludf.DUMMYFUNCTION("""COMPUTED_VALUE"""),"https://grls.rosminzdrav.ru/Grls_View_v2.aspx?routingGuid=e46d0e09-a66e-402e-8777-b446fa489d1c")</f>
        <v>https://grls.rosminzdrav.ru/Grls_View_v2.aspx?routingGuid=e46d0e09-a66e-402e-8777-b446fa489d1c</v>
      </c>
      <c r="D66" s="8" t="str">
        <f>IFERROR(__xludf.DUMMYFUNCTION("""COMPUTED_VALUE"""),"Анатоксин столбнячный (Биомед)")</f>
        <v>Анатоксин столбнячный (Биомед)</v>
      </c>
      <c r="E66" s="8" t="str">
        <f>IFERROR(__xludf.DUMMYFUNCTION("""COMPUTED_VALUE"""),"Анатоксин столбнячный очищенный адсорбированный жидкий (АС-анатоксин)")</f>
        <v>Анатоксин столбнячный очищенный адсорбированный жидкий (АС-анатоксин)</v>
      </c>
      <c r="F66" s="8"/>
      <c r="G66" s="8" t="str">
        <f>IFERROR(__xludf.DUMMYFUNCTION("""COMPUTED_VALUE"""),"in use")</f>
        <v>in use</v>
      </c>
      <c r="H66" s="9"/>
      <c r="I66" s="9"/>
      <c r="J66" s="8"/>
      <c r="K66" s="10">
        <f>IFERROR(__xludf.DUMMYFUNCTION("""COMPUTED_VALUE"""),44712.0)</f>
        <v>44712</v>
      </c>
      <c r="L66" s="10">
        <f>IFERROR(__xludf.DUMMYFUNCTION("""COMPUTED_VALUE"""),44750.0)</f>
        <v>44750</v>
      </c>
      <c r="M66" s="8" t="str">
        <f>IFERROR(__xludf.DUMMYFUNCTION("""COMPUTED_VALUE"""),"нет")</f>
        <v>нет</v>
      </c>
    </row>
    <row r="67">
      <c r="A67" s="5">
        <f>IFERROR(__xludf.DUMMYFUNCTION("""COMPUTED_VALUE"""),66.0)</f>
        <v>66</v>
      </c>
      <c r="B67" s="6" t="str">
        <f>IFERROR(__xludf.DUMMYFUNCTION("""COMPUTED_VALUE"""),"Vaqta_25")</f>
        <v>Vaqta_25</v>
      </c>
      <c r="C67" s="7" t="str">
        <f>IFERROR(__xludf.DUMMYFUNCTION("""COMPUTED_VALUE"""),"https://grls.rosminzdrav.ru/Grls_View_v2.aspx?routingGuid=2d805292-2bee-4665-b4ef-a466b3e3bc8f")</f>
        <v>https://grls.rosminzdrav.ru/Grls_View_v2.aspx?routingGuid=2d805292-2bee-4665-b4ef-a466b3e3bc8f</v>
      </c>
      <c r="D67" s="8" t="str">
        <f>IFERROR(__xludf.DUMMYFUNCTION("""COMPUTED_VALUE"""),"Вакта 25")</f>
        <v>Вакта 25</v>
      </c>
      <c r="E67" s="8" t="str">
        <f>IFERROR(__xludf.DUMMYFUNCTION("""COMPUTED_VALUE"""),"Вакта®")</f>
        <v>Вакта®</v>
      </c>
      <c r="F67" s="8"/>
      <c r="G67" s="8" t="str">
        <f>IFERROR(__xludf.DUMMYFUNCTION("""COMPUTED_VALUE"""),"not in use")</f>
        <v>not in use</v>
      </c>
      <c r="H67" s="9"/>
      <c r="I67" s="9"/>
      <c r="J67" s="8"/>
      <c r="K67" s="10">
        <f>IFERROR(__xludf.DUMMYFUNCTION("""COMPUTED_VALUE"""),44712.0)</f>
        <v>44712</v>
      </c>
      <c r="L67" s="10">
        <f>IFERROR(__xludf.DUMMYFUNCTION("""COMPUTED_VALUE"""),45079.0)</f>
        <v>45079</v>
      </c>
      <c r="M67" s="8" t="str">
        <f>IFERROR(__xludf.DUMMYFUNCTION("""COMPUTED_VALUE"""),"нет")</f>
        <v>нет</v>
      </c>
    </row>
    <row r="68">
      <c r="A68" s="5">
        <f>IFERROR(__xludf.DUMMYFUNCTION("""COMPUTED_VALUE"""),67.0)</f>
        <v>67</v>
      </c>
      <c r="B68" s="6" t="str">
        <f>IFERROR(__xludf.DUMMYFUNCTION("""COMPUTED_VALUE"""),"Vaqta_50")</f>
        <v>Vaqta_50</v>
      </c>
      <c r="C68" s="7" t="str">
        <f>IFERROR(__xludf.DUMMYFUNCTION("""COMPUTED_VALUE"""),"https://grls.rosminzdrav.ru/Grls_View_v2.aspx?routingGuid=2d805292-2bee-4665-b4ef-a466b3e3bc8f")</f>
        <v>https://grls.rosminzdrav.ru/Grls_View_v2.aspx?routingGuid=2d805292-2bee-4665-b4ef-a466b3e3bc8f</v>
      </c>
      <c r="D68" s="8" t="str">
        <f>IFERROR(__xludf.DUMMYFUNCTION("""COMPUTED_VALUE"""),"Вакта 50")</f>
        <v>Вакта 50</v>
      </c>
      <c r="E68" s="8" t="str">
        <f>IFERROR(__xludf.DUMMYFUNCTION("""COMPUTED_VALUE"""),"Вакта®")</f>
        <v>Вакта®</v>
      </c>
      <c r="F68" s="8"/>
      <c r="G68" s="8" t="str">
        <f>IFERROR(__xludf.DUMMYFUNCTION("""COMPUTED_VALUE"""),"not in use")</f>
        <v>not in use</v>
      </c>
      <c r="H68" s="9"/>
      <c r="I68" s="9"/>
      <c r="J68" s="8"/>
      <c r="K68" s="10">
        <f>IFERROR(__xludf.DUMMYFUNCTION("""COMPUTED_VALUE"""),44712.0)</f>
        <v>44712</v>
      </c>
      <c r="L68" s="10">
        <f>IFERROR(__xludf.DUMMYFUNCTION("""COMPUTED_VALUE"""),45079.0)</f>
        <v>45079</v>
      </c>
      <c r="M68" s="8" t="str">
        <f>IFERROR(__xludf.DUMMYFUNCTION("""COMPUTED_VALUE"""),"нет")</f>
        <v>нет</v>
      </c>
    </row>
    <row r="69">
      <c r="A69" s="5">
        <f>IFERROR(__xludf.DUMMYFUNCTION("""COMPUTED_VALUE"""),68.0)</f>
        <v>68</v>
      </c>
      <c r="B69" s="6" t="str">
        <f>IFERROR(__xludf.DUMMYFUNCTION("""COMPUTED_VALUE"""),"Klesh_E_Vac_0_5")</f>
        <v>Klesh_E_Vac_0_5</v>
      </c>
      <c r="C69" s="7" t="str">
        <f>IFERROR(__xludf.DUMMYFUNCTION("""COMPUTED_VALUE"""),"https://grls.rosminzdrav.ru/Grls_View_v2.aspx?routingGuid=708a5616-61d3-4695-a4cb-2e78bcfca33b")</f>
        <v>https://grls.rosminzdrav.ru/Grls_View_v2.aspx?routingGuid=708a5616-61d3-4695-a4cb-2e78bcfca33b</v>
      </c>
      <c r="D69" s="8" t="str">
        <f>IFERROR(__xludf.DUMMYFUNCTION("""COMPUTED_VALUE"""),"Клещ-Э-Вак 0,5")</f>
        <v>Клещ-Э-Вак 0,5</v>
      </c>
      <c r="E69" s="8" t="str">
        <f>IFERROR(__xludf.DUMMYFUNCTION("""COMPUTED_VALUE"""),"Клещ-Э-Вак (Вакцина клещевого энцефалита культуральная очищенная концентрированная инактивированная сорбированная)")</f>
        <v>Клещ-Э-Вак (Вакцина клещевого энцефалита культуральная очищенная концентрированная инактивированная сорбированная)</v>
      </c>
      <c r="F69" s="8"/>
      <c r="G69" s="8" t="str">
        <f>IFERROR(__xludf.DUMMYFUNCTION("""COMPUTED_VALUE"""),"in use")</f>
        <v>in use</v>
      </c>
      <c r="H69" s="9"/>
      <c r="I69" s="9"/>
      <c r="J69" s="8"/>
      <c r="K69" s="10">
        <f>IFERROR(__xludf.DUMMYFUNCTION("""COMPUTED_VALUE"""),44712.0)</f>
        <v>44712</v>
      </c>
      <c r="L69" s="10">
        <f>IFERROR(__xludf.DUMMYFUNCTION("""COMPUTED_VALUE"""),45988.0)</f>
        <v>45988</v>
      </c>
      <c r="M69" s="8" t="str">
        <f>IFERROR(__xludf.DUMMYFUNCTION("""COMPUTED_VALUE"""),"есть")</f>
        <v>есть</v>
      </c>
    </row>
    <row r="70">
      <c r="A70" s="5">
        <f>IFERROR(__xludf.DUMMYFUNCTION("""COMPUTED_VALUE"""),69.0)</f>
        <v>69</v>
      </c>
      <c r="B70" s="6" t="str">
        <f>IFERROR(__xludf.DUMMYFUNCTION("""COMPUTED_VALUE"""),"Klesh_E_Vac_0_25")</f>
        <v>Klesh_E_Vac_0_25</v>
      </c>
      <c r="C70" s="7" t="str">
        <f>IFERROR(__xludf.DUMMYFUNCTION("""COMPUTED_VALUE"""),"https://grls.rosminzdrav.ru/Grls_View_v2.aspx?routingGuid=708a5616-61d3-4695-a4cb-2e78bcfca33b")</f>
        <v>https://grls.rosminzdrav.ru/Grls_View_v2.aspx?routingGuid=708a5616-61d3-4695-a4cb-2e78bcfca33b</v>
      </c>
      <c r="D70" s="8" t="str">
        <f>IFERROR(__xludf.DUMMYFUNCTION("""COMPUTED_VALUE"""),"Клещ-Э-Вак 0,25")</f>
        <v>Клещ-Э-Вак 0,25</v>
      </c>
      <c r="E70" s="8" t="str">
        <f>IFERROR(__xludf.DUMMYFUNCTION("""COMPUTED_VALUE"""),"Клещ-Э-Вак (Вакцина клещевого энцефалита культуральная очищенная концентрированная инактивированная сорбированная)")</f>
        <v>Клещ-Э-Вак (Вакцина клещевого энцефалита культуральная очищенная концентрированная инактивированная сорбированная)</v>
      </c>
      <c r="F70" s="8"/>
      <c r="G70" s="8" t="str">
        <f>IFERROR(__xludf.DUMMYFUNCTION("""COMPUTED_VALUE"""),"in use")</f>
        <v>in use</v>
      </c>
      <c r="H70" s="9"/>
      <c r="I70" s="9"/>
      <c r="J70" s="8"/>
      <c r="K70" s="10">
        <f>IFERROR(__xludf.DUMMYFUNCTION("""COMPUTED_VALUE"""),44712.0)</f>
        <v>44712</v>
      </c>
      <c r="L70" s="10">
        <f>IFERROR(__xludf.DUMMYFUNCTION("""COMPUTED_VALUE"""),45988.0)</f>
        <v>45988</v>
      </c>
      <c r="M70" s="8" t="str">
        <f>IFERROR(__xludf.DUMMYFUNCTION("""COMPUTED_VALUE"""),"есть")</f>
        <v>есть</v>
      </c>
    </row>
    <row r="71">
      <c r="A71" s="5">
        <f>IFERROR(__xludf.DUMMYFUNCTION("""COMPUTED_VALUE"""),70.0)</f>
        <v>70</v>
      </c>
      <c r="B71" s="6" t="str">
        <f>IFERROR(__xludf.DUMMYFUNCTION("""COMPUTED_VALUE"""),"EnceVir_0_5")</f>
        <v>EnceVir_0_5</v>
      </c>
      <c r="C71" s="7" t="str">
        <f>IFERROR(__xludf.DUMMYFUNCTION("""COMPUTED_VALUE"""),"https://grls.rosminzdrav.ru/Grls_View_v2.aspx?routingGuid=9ea2867c-ced6-45dd-bf78-db44e14fd708")</f>
        <v>https://grls.rosminzdrav.ru/Grls_View_v2.aspx?routingGuid=9ea2867c-ced6-45dd-bf78-db44e14fd708</v>
      </c>
      <c r="D71" s="8" t="str">
        <f>IFERROR(__xludf.DUMMYFUNCTION("""COMPUTED_VALUE"""),"ЭнцеВир")</f>
        <v>ЭнцеВир</v>
      </c>
      <c r="E71" s="8" t="str">
        <f>IFERROR(__xludf.DUMMYFUNCTION("""COMPUTED_VALUE"""),"ЭнцеВир® Вакцина клещевого энцефалита культуральная очищенная концентрированная инактивированная сорбированная")</f>
        <v>ЭнцеВир® Вакцина клещевого энцефалита культуральная очищенная концентрированная инактивированная сорбированная</v>
      </c>
      <c r="F71" s="8"/>
      <c r="G71" s="8" t="str">
        <f>IFERROR(__xludf.DUMMYFUNCTION("""COMPUTED_VALUE"""),"in use")</f>
        <v>in use</v>
      </c>
      <c r="H71" s="9"/>
      <c r="I71" s="9"/>
      <c r="J71" s="8"/>
      <c r="K71" s="10">
        <f>IFERROR(__xludf.DUMMYFUNCTION("""COMPUTED_VALUE"""),44712.0)</f>
        <v>44712</v>
      </c>
      <c r="L71" s="10">
        <f>IFERROR(__xludf.DUMMYFUNCTION("""COMPUTED_VALUE"""),45689.0)</f>
        <v>45689</v>
      </c>
      <c r="M71" s="7" t="str">
        <f>IFERROR(__xludf.DUMMYFUNCTION("""COMPUTED_VALUE"""),"https://lk.regmed.ru/Register/GetPDFfromDAToken?Token=1f268f03-9b1c-4d7b-9599-88099428d00f")</f>
        <v>https://lk.regmed.ru/Register/GetPDFfromDAToken?Token=1f268f03-9b1c-4d7b-9599-88099428d00f</v>
      </c>
    </row>
    <row r="72">
      <c r="A72" s="5">
        <f>IFERROR(__xludf.DUMMYFUNCTION("""COMPUTED_VALUE"""),71.0)</f>
        <v>71</v>
      </c>
      <c r="B72" s="6" t="str">
        <f>IFERROR(__xludf.DUMMYFUNCTION("""COMPUTED_VALUE"""),"EnceVir_Neo_kids")</f>
        <v>EnceVir_Neo_kids</v>
      </c>
      <c r="C72" s="7" t="str">
        <f>IFERROR(__xludf.DUMMYFUNCTION("""COMPUTED_VALUE"""),"https://grls.rosminzdrav.ru/Grls_View_v2.aspx?routingGuid=c2615365-07f8-416b-be71-d3e983cb1eb3")</f>
        <v>https://grls.rosminzdrav.ru/Grls_View_v2.aspx?routingGuid=c2615365-07f8-416b-be71-d3e983cb1eb3</v>
      </c>
      <c r="D72" s="8" t="str">
        <f>IFERROR(__xludf.DUMMYFUNCTION("""COMPUTED_VALUE"""),"ЭнцеВир Нео детский")</f>
        <v>ЭнцеВир Нео детский</v>
      </c>
      <c r="E72" s="8" t="str">
        <f>IFERROR(__xludf.DUMMYFUNCTION("""COMPUTED_VALUE"""),"ЭнцеВир® Нео детский (Вакцина клещевого энцефалита культуральная очищенная концентрированная инактивированная сорбированная)")</f>
        <v>ЭнцеВир® Нео детский (Вакцина клещевого энцефалита культуральная очищенная концентрированная инактивированная сорбированная)</v>
      </c>
      <c r="F72" s="8"/>
      <c r="G72" s="8" t="str">
        <f>IFERROR(__xludf.DUMMYFUNCTION("""COMPUTED_VALUE"""),"in use")</f>
        <v>in use</v>
      </c>
      <c r="H72" s="9"/>
      <c r="I72" s="9"/>
      <c r="J72" s="8"/>
      <c r="K72" s="10">
        <f>IFERROR(__xludf.DUMMYFUNCTION("""COMPUTED_VALUE"""),44712.0)</f>
        <v>44712</v>
      </c>
      <c r="L72" s="10">
        <f>IFERROR(__xludf.DUMMYFUNCTION("""COMPUTED_VALUE"""),45689.0)</f>
        <v>45689</v>
      </c>
      <c r="M72" s="7" t="str">
        <f>IFERROR(__xludf.DUMMYFUNCTION("""COMPUTED_VALUE"""),"https://lk.regmed.ru/Register/GetPDFfromDAToken?Token=5a727ed4-b3cb-4f35-8c47-cdc269e90fed")</f>
        <v>https://lk.regmed.ru/Register/GetPDFfromDAToken?Token=5a727ed4-b3cb-4f35-8c47-cdc269e90fed</v>
      </c>
    </row>
    <row r="73">
      <c r="A73" s="5">
        <f>IFERROR(__xludf.DUMMYFUNCTION("""COMPUTED_VALUE"""),72.0)</f>
        <v>72</v>
      </c>
      <c r="B73" s="6" t="str">
        <f>IFERROR(__xludf.DUMMYFUNCTION("""COMPUTED_VALUE"""),"TBE_Chumakov_lyo")</f>
        <v>TBE_Chumakov_lyo</v>
      </c>
      <c r="C73" s="7" t="str">
        <f>IFERROR(__xludf.DUMMYFUNCTION("""COMPUTED_VALUE"""),"https://grls.rosminzdrav.ru/Grls_View_v2.aspx?routingGuid=69bf2722-aa8e-4374-a63b-c2e0fd5da7cd")</f>
        <v>https://grls.rosminzdrav.ru/Grls_View_v2.aspx?routingGuid=69bf2722-aa8e-4374-a63b-c2e0fd5da7cd</v>
      </c>
      <c r="D73" s="8" t="str">
        <f>IFERROR(__xludf.DUMMYFUNCTION("""COMPUTED_VALUE"""),"клещевого энцефалита (Чумакова)")</f>
        <v>клещевого энцефалита (Чумакова)</v>
      </c>
      <c r="E73" s="8" t="str">
        <f>IFERROR(__xludf.DUMMYFUNCTION("""COMPUTED_VALUE"""),"Вакцина клещевого энцефалита культуральная очищенная концентрированная инактивированная сухая")</f>
        <v>Вакцина клещевого энцефалита культуральная очищенная концентрированная инактивированная сухая</v>
      </c>
      <c r="F73" s="8"/>
      <c r="G73" s="8" t="str">
        <f>IFERROR(__xludf.DUMMYFUNCTION("""COMPUTED_VALUE"""),"in use")</f>
        <v>in use</v>
      </c>
      <c r="H73" s="9"/>
      <c r="I73" s="9"/>
      <c r="J73" s="8"/>
      <c r="K73" s="10">
        <f>IFERROR(__xludf.DUMMYFUNCTION("""COMPUTED_VALUE"""),44712.0)</f>
        <v>44712</v>
      </c>
      <c r="L73" s="10">
        <f>IFERROR(__xludf.DUMMYFUNCTION("""COMPUTED_VALUE"""),45750.0)</f>
        <v>45750</v>
      </c>
      <c r="M73" s="7" t="str">
        <f>IFERROR(__xludf.DUMMYFUNCTION("""COMPUTED_VALUE"""),"https://lk.regmed.ru/Register/GetPDFfromDAToken?Token=2516e721-6e26-4b63-bc37-7163e862ca17")</f>
        <v>https://lk.regmed.ru/Register/GetPDFfromDAToken?Token=2516e721-6e26-4b63-bc37-7163e862ca17</v>
      </c>
    </row>
    <row r="74">
      <c r="A74" s="5">
        <f>IFERROR(__xludf.DUMMYFUNCTION("""COMPUTED_VALUE"""),73.0)</f>
        <v>73</v>
      </c>
      <c r="B74" s="6" t="str">
        <f>IFERROR(__xludf.DUMMYFUNCTION("""COMPUTED_VALUE"""),"Varilrix")</f>
        <v>Varilrix</v>
      </c>
      <c r="C74" s="7" t="str">
        <f>IFERROR(__xludf.DUMMYFUNCTION("""COMPUTED_VALUE"""),"https://grls.rosminzdrav.ru/Grls_View_v2.aspx?routingGuid=cf5179f1-d6f7-4a8b-9251-28065290b167")</f>
        <v>https://grls.rosminzdrav.ru/Grls_View_v2.aspx?routingGuid=cf5179f1-d6f7-4a8b-9251-28065290b167</v>
      </c>
      <c r="D74" s="8" t="str">
        <f>IFERROR(__xludf.DUMMYFUNCTION("""COMPUTED_VALUE"""),"Варилрикс")</f>
        <v>Варилрикс</v>
      </c>
      <c r="E74" s="8" t="str">
        <f>IFERROR(__xludf.DUMMYFUNCTION("""COMPUTED_VALUE"""),"Варилрикс® (Вакцина против ветряной оспы живая аттенуированная)")</f>
        <v>Варилрикс® (Вакцина против ветряной оспы живая аттенуированная)</v>
      </c>
      <c r="F74" s="8"/>
      <c r="G74" s="8" t="str">
        <f>IFERROR(__xludf.DUMMYFUNCTION("""COMPUTED_VALUE"""),"in use")</f>
        <v>in use</v>
      </c>
      <c r="H74" s="9" t="str">
        <f>IFERROR(__xludf.DUMMYFUNCTION("""COMPUTED_VALUE"""),"&lt;p&gt;&lt;ul&gt;&lt;li&gt;Плановая профилактика ветряной оспы, в том числе у лиц с повышенным риском тяжелого и осложненного течения ветряной оспы;&lt;/li&gt;
&lt;li&gt;плановая профилактика ветряной оспы у здорового окружения лиц, отнесенных к группам риска;&lt;/li&gt;
&lt;li&gt;экстренная пр"&amp;"офилактика ветряной оспы в течение 72&amp;nbsp;часов с момента контакта с больным ветряной оспой.&lt;/li&gt;&lt;/ul&gt;&lt;/p&gt;")</f>
        <v>&lt;p&gt;&lt;ul&gt;&lt;li&gt;Плановая профилактика ветряной оспы, в том числе у лиц с повышенным риском тяжелого и осложненного течения ветряной оспы;&lt;/li&gt;
&lt;li&gt;плановая профилактика ветряной оспы у здорового окружения лиц, отнесенных к группам риска;&lt;/li&gt;
&lt;li&gt;экстренная профилактика ветряной оспы в течение 72&amp;nbsp;часов с момента контакта с больным ветряной оспой.&lt;/li&gt;&lt;/ul&gt;&lt;/p&gt;</v>
      </c>
      <c r="I74" s="9" t="str">
        <f>IFERROR(__xludf.DUMMYFUNCTION("""COMPUTED_VALUE"""),"• Плановая профилактика ветряной оспы, в том числе у лиц с повышенным риском тяжелого и осложненного течения ветряной оспы;
• плановая профилактика ветряной оспы у здорового окружения лиц, отнесенных к группам риска;
• экстренная профилактика ветряной осп"&amp;"ы в течение 72 часов с момента контакта с больным ветряной оспой.")</f>
        <v>• Плановая профилактика ветряной оспы, в том числе у лиц с повышенным риском тяжелого и осложненного течения ветряной оспы;
• плановая профилактика ветряной оспы у здорового окружения лиц, отнесенных к группам риска;
• экстренная профилактика ветряной оспы в течение 72 часов с момента контакта с больным ветряной оспой.</v>
      </c>
      <c r="J74" s="8"/>
      <c r="K74" s="10">
        <f>IFERROR(__xludf.DUMMYFUNCTION("""COMPUTED_VALUE"""),44712.0)</f>
        <v>44712</v>
      </c>
      <c r="L74" s="10">
        <f>IFERROR(__xludf.DUMMYFUNCTION("""COMPUTED_VALUE"""),45830.0)</f>
        <v>45830</v>
      </c>
      <c r="M74" s="7" t="str">
        <f>IFERROR(__xludf.DUMMYFUNCTION("""COMPUTED_VALUE"""),"https://lk.regmed.ru/Register/GetPDFfromDAToken?Token=0cff0d2a-3085-4425-a8d9-40621446b45c")</f>
        <v>https://lk.regmed.ru/Register/GetPDFfromDAToken?Token=0cff0d2a-3085-4425-a8d9-40621446b45c</v>
      </c>
    </row>
    <row r="75">
      <c r="A75" s="5">
        <f>IFERROR(__xludf.DUMMYFUNCTION("""COMPUTED_VALUE"""),74.0)</f>
        <v>74</v>
      </c>
      <c r="B75" s="6" t="str">
        <f>IFERROR(__xludf.DUMMYFUNCTION("""COMPUTED_VALUE"""),"YF_Chumakov_lyo")</f>
        <v>YF_Chumakov_lyo</v>
      </c>
      <c r="C75" s="7" t="str">
        <f>IFERROR(__xludf.DUMMYFUNCTION("""COMPUTED_VALUE"""),"https://grls.rosminzdrav.ru/Grls_View_v2.aspx?routingGuid=a0eece39-1af9-4420-be24-7ff034677feb")</f>
        <v>https://grls.rosminzdrav.ru/Grls_View_v2.aspx?routingGuid=a0eece39-1af9-4420-be24-7ff034677feb</v>
      </c>
      <c r="D75" s="8" t="str">
        <f>IFERROR(__xludf.DUMMYFUNCTION("""COMPUTED_VALUE"""),"желтой лихорадки")</f>
        <v>желтой лихорадки</v>
      </c>
      <c r="E75" s="8" t="str">
        <f>IFERROR(__xludf.DUMMYFUNCTION("""COMPUTED_VALUE"""),"Вакцина желтой лихорадки живая сухая")</f>
        <v>Вакцина желтой лихорадки живая сухая</v>
      </c>
      <c r="F75" s="8"/>
      <c r="G75" s="8" t="str">
        <f>IFERROR(__xludf.DUMMYFUNCTION("""COMPUTED_VALUE"""),"in use")</f>
        <v>in use</v>
      </c>
      <c r="H75" s="9" t="str">
        <f>IFERROR(__xludf.DUMMYFUNCTION("""COMPUTED_VALUE"""),"&lt;p&gt;Профилактика желтой лихорадки у детей с 9-месячного возраста и взрослых, направляющихся, проезжающих, или проживающих в регионах, в которых регистрируется заболеваемость желтой лихорадкой; у лиц, направляющихся в страну, въезд в которую требует наличия"&amp;" международного свидетельства о вакцинации; а также у лиц, работающих с живыми культурами возбудителя желтой лихорадки.&lt;/p&gt;")</f>
        <v>&lt;p&gt;Профилактика желтой лихорадки у детей с 9-месячного возраста и взрослых, направляющихся, проезжающих, или проживающих в регионах, в которых регистрируется заболеваемость желтой лихорадкой; у лиц, направляющихся в страну, въезд в которую требует наличия международного свидетельства о вакцинации; а также у лиц, работающих с живыми культурами возбудителя желтой лихорадки.&lt;/p&gt;</v>
      </c>
      <c r="I75" s="9" t="str">
        <f>IFERROR(__xludf.DUMMYFUNCTION("""COMPUTED_VALUE"""),"Профилактика желтой лихорадки у детей с 9-месячного возраста и взрослых, направляющихся, проезжающих, или проживающих в регионах, в которых регистрируется заболеваемость желтой лихорадкой; у лиц, направляющихся в страну, въезд в которую требует наличия ме"&amp;"ждународного свидетельства о вакцинации; а также у лиц, работающих с живыми культурами возбудителя желтой лихорадки.")</f>
        <v>Профилактика желтой лихорадки у детей с 9-месячного возраста и взрослых, направляющихся, проезжающих, или проживающих в регионах, в которых регистрируется заболеваемость желтой лихорадкой; у лиц, направляющихся в страну, въезд в которую требует наличия международного свидетельства о вакцинации; а также у лиц, работающих с живыми культурами возбудителя желтой лихорадки.</v>
      </c>
      <c r="J75" s="8"/>
      <c r="K75" s="10">
        <f>IFERROR(__xludf.DUMMYFUNCTION("""COMPUTED_VALUE"""),44712.0)</f>
        <v>44712</v>
      </c>
      <c r="L75" s="10">
        <f>IFERROR(__xludf.DUMMYFUNCTION("""COMPUTED_VALUE"""),44807.0)</f>
        <v>44807</v>
      </c>
      <c r="M75" s="8" t="str">
        <f>IFERROR(__xludf.DUMMYFUNCTION("""COMPUTED_VALUE"""),"нет")</f>
        <v>нет</v>
      </c>
    </row>
    <row r="76">
      <c r="A76" s="5">
        <f>IFERROR(__xludf.DUMMYFUNCTION("""COMPUTED_VALUE"""),75.0)</f>
        <v>75</v>
      </c>
      <c r="B76" s="6" t="str">
        <f>IFERROR(__xludf.DUMMYFUNCTION("""COMPUTED_VALUE"""),"tularemia_Microgen")</f>
        <v>tularemia_Microgen</v>
      </c>
      <c r="C76" s="7" t="str">
        <f>IFERROR(__xludf.DUMMYFUNCTION("""COMPUTED_VALUE"""),"https://grls.rosminzdrav.ru/Grls_View_v2.aspx?routingGuid=1f496df2-7c22-4ddc-8980-da1023a88a35")</f>
        <v>https://grls.rosminzdrav.ru/Grls_View_v2.aspx?routingGuid=1f496df2-7c22-4ddc-8980-da1023a88a35</v>
      </c>
      <c r="D76" s="8" t="str">
        <f>IFERROR(__xludf.DUMMYFUNCTION("""COMPUTED_VALUE"""),"туляремийная")</f>
        <v>туляремийная</v>
      </c>
      <c r="E76" s="8" t="str">
        <f>IFERROR(__xludf.DUMMYFUNCTION("""COMPUTED_VALUE"""),"Вакцина туляремийная живая")</f>
        <v>Вакцина туляремийная живая</v>
      </c>
      <c r="F76" s="8" t="str">
        <f>IFERROR(__xludf.DUMMYFUNCTION("""COMPUTED_VALUE"""),"Микроген")</f>
        <v>Микроген</v>
      </c>
      <c r="G76" s="8" t="str">
        <f>IFERROR(__xludf.DUMMYFUNCTION("""COMPUTED_VALUE"""),"in use")</f>
        <v>in use</v>
      </c>
      <c r="H76" s="9" t="str">
        <f>IFERROR(__xludf.DUMMYFUNCTION("""COMPUTED_VALUE"""),"&lt;p&gt;Прививкам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гру"&amp;"нта,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населения.&lt;/p&gt;")</f>
        <v>&lt;p&gt;Прививкам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населения.&lt;/p&gt;</v>
      </c>
      <c r="I76" s="9" t="str">
        <f>IFERROR(__xludf.DUMMYFUNCTION("""COMPUTED_VALUE"""),"Прививкам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грунта"&amp;",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f>
        <v>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v>
      </c>
      <c r="J76" s="8"/>
      <c r="K76" s="10">
        <f>IFERROR(__xludf.DUMMYFUNCTION("""COMPUTED_VALUE"""),44712.0)</f>
        <v>44712</v>
      </c>
      <c r="L76" s="10">
        <f>IFERROR(__xludf.DUMMYFUNCTION("""COMPUTED_VALUE"""),45689.0)</f>
        <v>45689</v>
      </c>
      <c r="M76" s="7" t="str">
        <f>IFERROR(__xludf.DUMMYFUNCTION("""COMPUTED_VALUE"""),"https://lk.regmed.ru/Register/GetPDFfromDAToken?Token=ec8dbc07-4048-4803-b294-939328173382")</f>
        <v>https://lk.regmed.ru/Register/GetPDFfromDAToken?Token=ec8dbc07-4048-4803-b294-939328173382</v>
      </c>
    </row>
    <row r="77">
      <c r="A77" s="5">
        <f>IFERROR(__xludf.DUMMYFUNCTION("""COMPUTED_VALUE"""),76.0)</f>
        <v>76</v>
      </c>
      <c r="B77" s="6" t="str">
        <f>IFERROR(__xludf.DUMMYFUNCTION("""COMPUTED_VALUE"""),"plague_molecular_lyo_RPN")</f>
        <v>plague_molecular_lyo_RPN</v>
      </c>
      <c r="C77" s="7" t="str">
        <f>IFERROR(__xludf.DUMMYFUNCTION("""COMPUTED_VALUE"""),"https://grls.rosminzdrav.ru/Grls_View_v2.aspx?routingGuid=d4e26cea-321e-489e-90b0-10674ba3eaf9")</f>
        <v>https://grls.rosminzdrav.ru/Grls_View_v2.aspx?routingGuid=d4e26cea-321e-489e-90b0-10674ba3eaf9</v>
      </c>
      <c r="D77" s="8" t="str">
        <f>IFERROR(__xludf.DUMMYFUNCTION("""COMPUTED_VALUE"""),"чумная микроинкапсулированная")</f>
        <v>чумная микроинкапсулированная</v>
      </c>
      <c r="E77" s="8" t="str">
        <f>IFERROR(__xludf.DUMMYFUNCTION("""COMPUTED_VALUE"""),"Вакцина чумная молекулярная микроинкапсулированная (ВЧММ)")</f>
        <v>Вакцина чумная молекулярная микроинкапсулированная (ВЧММ)</v>
      </c>
      <c r="F77" s="8"/>
      <c r="G77" s="8" t="str">
        <f>IFERROR(__xludf.DUMMYFUNCTION("""COMPUTED_VALUE"""),"in use")</f>
        <v>in use</v>
      </c>
      <c r="H77" s="9"/>
      <c r="I77" s="9"/>
      <c r="J77" s="8"/>
      <c r="K77" s="10">
        <f>IFERROR(__xludf.DUMMYFUNCTION("""COMPUTED_VALUE"""),44712.0)</f>
        <v>44712</v>
      </c>
      <c r="L77" s="10">
        <f>IFERROR(__xludf.DUMMYFUNCTION("""COMPUTED_VALUE"""),44803.0)</f>
        <v>44803</v>
      </c>
      <c r="M77" s="8" t="str">
        <f>IFERROR(__xludf.DUMMYFUNCTION("""COMPUTED_VALUE"""),"нет")</f>
        <v>нет</v>
      </c>
    </row>
    <row r="78">
      <c r="A78" s="5">
        <f>IFERROR(__xludf.DUMMYFUNCTION("""COMPUTED_VALUE"""),77.0)</f>
        <v>77</v>
      </c>
      <c r="B78" s="6" t="str">
        <f>IFERROR(__xludf.DUMMYFUNCTION("""COMPUTED_VALUE"""),"plague_live_lyo_48_NII_Minoborony")</f>
        <v>plague_live_lyo_48_NII_Minoborony</v>
      </c>
      <c r="C78" s="7" t="str">
        <f>IFERROR(__xludf.DUMMYFUNCTION("""COMPUTED_VALUE"""),"https://grls.rosminzdrav.ru/Grls_View_v2.aspx?routingGuid=0962362a-d8cb-4c53-b4f2-43cc75eea35f")</f>
        <v>https://grls.rosminzdrav.ru/Grls_View_v2.aspx?routingGuid=0962362a-d8cb-4c53-b4f2-43cc75eea35f</v>
      </c>
      <c r="D78" s="8" t="str">
        <f>IFERROR(__xludf.DUMMYFUNCTION("""COMPUTED_VALUE"""),"чумная (лиофилизат, 48 НИИ)")</f>
        <v>чумная (лиофилизат, 48 НИИ)</v>
      </c>
      <c r="E78" s="8" t="str">
        <f>IFERROR(__xludf.DUMMYFUNCTION("""COMPUTED_VALUE"""),"Вакцина чумная живая")</f>
        <v>Вакцина чумная живая</v>
      </c>
      <c r="F78" s="8"/>
      <c r="G78" s="8" t="str">
        <f>IFERROR(__xludf.DUMMYFUNCTION("""COMPUTED_VALUE"""),"in use")</f>
        <v>in use</v>
      </c>
      <c r="H78" s="9"/>
      <c r="I78" s="9"/>
      <c r="J78" s="8"/>
      <c r="K78" s="10">
        <f>IFERROR(__xludf.DUMMYFUNCTION("""COMPUTED_VALUE"""),44712.0)</f>
        <v>44712</v>
      </c>
      <c r="L78" s="10">
        <f>IFERROR(__xludf.DUMMYFUNCTION("""COMPUTED_VALUE"""),44803.0)</f>
        <v>44803</v>
      </c>
      <c r="M78" s="8" t="str">
        <f>IFERROR(__xludf.DUMMYFUNCTION("""COMPUTED_VALUE"""),"нет")</f>
        <v>нет</v>
      </c>
    </row>
    <row r="79">
      <c r="A79" s="5">
        <f>IFERROR(__xludf.DUMMYFUNCTION("""COMPUTED_VALUE"""),78.0)</f>
        <v>78</v>
      </c>
      <c r="B79" s="6" t="str">
        <f>IFERROR(__xludf.DUMMYFUNCTION("""COMPUTED_VALUE"""),"plague_live_tablets_48_NII_Minoborony")</f>
        <v>plague_live_tablets_48_NII_Minoborony</v>
      </c>
      <c r="C79" s="7" t="str">
        <f>IFERROR(__xludf.DUMMYFUNCTION("""COMPUTED_VALUE"""),"https://grls.rosminzdrav.ru/Grls_View_v2.aspx?routingGuid=37890f2a-f963 – 4c4a-a9fc-d7738025bf49")</f>
        <v>https://grls.rosminzdrav.ru/Grls_View_v2.aspx?routingGuid=37890f2a-f963 – 4c4a-a9fc-d7738025bf49</v>
      </c>
      <c r="D79" s="8" t="str">
        <f>IFERROR(__xludf.DUMMYFUNCTION("""COMPUTED_VALUE"""),"чумная (таблетки, 48 НИИ)")</f>
        <v>чумная (таблетки, 48 НИИ)</v>
      </c>
      <c r="E79" s="8" t="str">
        <f>IFERROR(__xludf.DUMMYFUNCTION("""COMPUTED_VALUE"""),"Вакцина чумная живая")</f>
        <v>Вакцина чумная живая</v>
      </c>
      <c r="F79" s="8"/>
      <c r="G79" s="8" t="str">
        <f>IFERROR(__xludf.DUMMYFUNCTION("""COMPUTED_VALUE"""),"in use")</f>
        <v>in use</v>
      </c>
      <c r="H79" s="9"/>
      <c r="I79" s="9"/>
      <c r="J79" s="8"/>
      <c r="K79" s="10">
        <f>IFERROR(__xludf.DUMMYFUNCTION("""COMPUTED_VALUE"""),44712.0)</f>
        <v>44712</v>
      </c>
      <c r="L79" s="10">
        <f>IFERROR(__xludf.DUMMYFUNCTION("""COMPUTED_VALUE"""),44803.0)</f>
        <v>44803</v>
      </c>
      <c r="M79" s="8" t="str">
        <f>IFERROR(__xludf.DUMMYFUNCTION("""COMPUTED_VALUE"""),"нет")</f>
        <v>нет</v>
      </c>
    </row>
    <row r="80">
      <c r="A80" s="5">
        <f>IFERROR(__xludf.DUMMYFUNCTION("""COMPUTED_VALUE"""),79.0)</f>
        <v>79</v>
      </c>
      <c r="B80" s="6" t="str">
        <f>IFERROR(__xludf.DUMMYFUNCTION("""COMPUTED_VALUE"""),"plague_live_lyo_RPN")</f>
        <v>plague_live_lyo_RPN</v>
      </c>
      <c r="C80" s="7" t="str">
        <f>IFERROR(__xludf.DUMMYFUNCTION("""COMPUTED_VALUE"""),"https://grls.rosminzdrav.ru/Grls_View_v2.aspx?routingGuid=a55e6d43-fef5-4c3d-af16-a15f6b065685")</f>
        <v>https://grls.rosminzdrav.ru/Grls_View_v2.aspx?routingGuid=a55e6d43-fef5-4c3d-af16-a15f6b065685</v>
      </c>
      <c r="D80" s="8" t="str">
        <f>IFERROR(__xludf.DUMMYFUNCTION("""COMPUTED_VALUE"""),"чумная (лиофилизат, НИИ РПН)")</f>
        <v>чумная (лиофилизат, НИИ РПН)</v>
      </c>
      <c r="E80" s="8" t="str">
        <f>IFERROR(__xludf.DUMMYFUNCTION("""COMPUTED_VALUE"""),"Вакцина чумная живая")</f>
        <v>Вакцина чумная живая</v>
      </c>
      <c r="F80" s="8"/>
      <c r="G80" s="8" t="str">
        <f>IFERROR(__xludf.DUMMYFUNCTION("""COMPUTED_VALUE"""),"in use")</f>
        <v>in use</v>
      </c>
      <c r="H80" s="9"/>
      <c r="I80" s="9"/>
      <c r="J80" s="8"/>
      <c r="K80" s="10">
        <f>IFERROR(__xludf.DUMMYFUNCTION("""COMPUTED_VALUE"""),44712.0)</f>
        <v>44712</v>
      </c>
      <c r="L80" s="10">
        <f>IFERROR(__xludf.DUMMYFUNCTION("""COMPUTED_VALUE"""),44803.0)</f>
        <v>44803</v>
      </c>
      <c r="M80" s="8" t="str">
        <f>IFERROR(__xludf.DUMMYFUNCTION("""COMPUTED_VALUE"""),"нет")</f>
        <v>нет</v>
      </c>
    </row>
    <row r="81">
      <c r="A81" s="5">
        <f>IFERROR(__xludf.DUMMYFUNCTION("""COMPUTED_VALUE"""),80.0)</f>
        <v>80</v>
      </c>
      <c r="B81" s="6" t="str">
        <f>IFERROR(__xludf.DUMMYFUNCTION("""COMPUTED_VALUE"""),"brucellosis_therapeutic_48_NII_Minoborony")</f>
        <v>brucellosis_therapeutic_48_NII_Minoborony</v>
      </c>
      <c r="C81" s="7" t="str">
        <f>IFERROR(__xludf.DUMMYFUNCTION("""COMPUTED_VALUE"""),"https://grls.rosminzdrav.ru/Grls_View_v2.aspx?routingGuid=7da2f9f3 – 53a6-4cbe-9eae-65a3d0bed21b")</f>
        <v>https://grls.rosminzdrav.ru/Grls_View_v2.aspx?routingGuid=7da2f9f3 – 53a6-4cbe-9eae-65a3d0bed21b</v>
      </c>
      <c r="D81" s="8" t="str">
        <f>IFERROR(__xludf.DUMMYFUNCTION("""COMPUTED_VALUE"""),"бруцеллезная (лечебная)")</f>
        <v>бруцеллезная (лечебная)</v>
      </c>
      <c r="E81" s="8" t="str">
        <f>IFERROR(__xludf.DUMMYFUNCTION("""COMPUTED_VALUE"""),"Вакцина бруцеллезная инактивированная лечебная")</f>
        <v>Вакцина бруцеллезная инактивированная лечебная</v>
      </c>
      <c r="F81" s="8"/>
      <c r="G81" s="8" t="str">
        <f>IFERROR(__xludf.DUMMYFUNCTION("""COMPUTED_VALUE"""),"in use")</f>
        <v>in use</v>
      </c>
      <c r="H81" s="9"/>
      <c r="I81" s="9"/>
      <c r="J81" s="8"/>
      <c r="K81" s="10">
        <f>IFERROR(__xludf.DUMMYFUNCTION("""COMPUTED_VALUE"""),44712.0)</f>
        <v>44712</v>
      </c>
      <c r="L81" s="10">
        <f>IFERROR(__xludf.DUMMYFUNCTION("""COMPUTED_VALUE"""),44803.0)</f>
        <v>44803</v>
      </c>
      <c r="M81" s="8" t="str">
        <f>IFERROR(__xludf.DUMMYFUNCTION("""COMPUTED_VALUE"""),"нет")</f>
        <v>нет</v>
      </c>
    </row>
    <row r="82">
      <c r="A82" s="5">
        <f>IFERROR(__xludf.DUMMYFUNCTION("""COMPUTED_VALUE"""),81.0)</f>
        <v>81</v>
      </c>
      <c r="B82" s="6" t="str">
        <f>IFERROR(__xludf.DUMMYFUNCTION("""COMPUTED_VALUE"""),"brucellosis_prophylactic_Microgen")</f>
        <v>brucellosis_prophylactic_Microgen</v>
      </c>
      <c r="C82" s="7" t="str">
        <f>IFERROR(__xludf.DUMMYFUNCTION("""COMPUTED_VALUE"""),"https://grls.rosminzdrav.ru/Grls_View_v2.aspx?routingGuid=41231e71-613c-4a24-ab98-462b5d95f938")</f>
        <v>https://grls.rosminzdrav.ru/Grls_View_v2.aspx?routingGuid=41231e71-613c-4a24-ab98-462b5d95f938</v>
      </c>
      <c r="D82" s="8" t="str">
        <f>IFERROR(__xludf.DUMMYFUNCTION("""COMPUTED_VALUE"""),"бруцеллезная (профилактическая)")</f>
        <v>бруцеллезная (профилактическая)</v>
      </c>
      <c r="E82" s="8" t="str">
        <f>IFERROR(__xludf.DUMMYFUNCTION("""COMPUTED_VALUE"""),"Вакцина бруцеллезная живая")</f>
        <v>Вакцина бруцеллезная живая</v>
      </c>
      <c r="F82" s="8"/>
      <c r="G82" s="8" t="str">
        <f>IFERROR(__xludf.DUMMYFUNCTION("""COMPUTED_VALUE"""),"in use")</f>
        <v>in use</v>
      </c>
      <c r="H82" s="9"/>
      <c r="I82" s="9"/>
      <c r="J82" s="8"/>
      <c r="K82" s="10">
        <f>IFERROR(__xludf.DUMMYFUNCTION("""COMPUTED_VALUE"""),44712.0)</f>
        <v>44712</v>
      </c>
      <c r="L82" s="10">
        <f>IFERROR(__xludf.DUMMYFUNCTION("""COMPUTED_VALUE"""),45798.0)</f>
        <v>45798</v>
      </c>
      <c r="M82" s="7" t="str">
        <f>IFERROR(__xludf.DUMMYFUNCTION("""COMPUTED_VALUE"""),"https://lk.regmed.ru/Register/GetPDFfromDAToken?Token=bbb42574-93e7-4e33-91ef-666773d1f867")</f>
        <v>https://lk.regmed.ru/Register/GetPDFfromDAToken?Token=bbb42574-93e7-4e33-91ef-666773d1f867</v>
      </c>
    </row>
    <row r="83">
      <c r="A83" s="5">
        <f>IFERROR(__xludf.DUMMYFUNCTION("""COMPUTED_VALUE"""),82.0)</f>
        <v>82</v>
      </c>
      <c r="B83" s="6" t="str">
        <f>IFERROR(__xludf.DUMMYFUNCTION("""COMPUTED_VALUE"""),"anthrax_live_48_NII_Minoborony")</f>
        <v>anthrax_live_48_NII_Minoborony</v>
      </c>
      <c r="C83" s="7" t="str">
        <f>IFERROR(__xludf.DUMMYFUNCTION("""COMPUTED_VALUE"""),"https://grls.rosminzdrav.ru/Grls_View_v2.aspx?routingGuid=d7622abd-8b68-42cc-aeb2-08d107689bbc")</f>
        <v>https://grls.rosminzdrav.ru/Grls_View_v2.aspx?routingGuid=d7622abd-8b68-42cc-aeb2-08d107689bbc</v>
      </c>
      <c r="D83" s="8" t="str">
        <f>IFERROR(__xludf.DUMMYFUNCTION("""COMPUTED_VALUE"""),"сибиреязвенная")</f>
        <v>сибиреязвенная</v>
      </c>
      <c r="E83" s="8" t="str">
        <f>IFERROR(__xludf.DUMMYFUNCTION("""COMPUTED_VALUE"""),"Вакцина сибиреязвенная живая")</f>
        <v>Вакцина сибиреязвенная живая</v>
      </c>
      <c r="F83" s="8"/>
      <c r="G83" s="8" t="str">
        <f>IFERROR(__xludf.DUMMYFUNCTION("""COMPUTED_VALUE"""),"in use")</f>
        <v>in use</v>
      </c>
      <c r="H83" s="9" t="str">
        <f>IFERROR(__xludf.DUMMYFUNCTION("""COMPUTED_VALUE"""),"&lt;p&gt;Подлежат обязательной вакцинации:
&lt;ul&gt;&lt;li&gt;Лица,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или подозрительным на инфицирование возбудителем сибир"&amp;"ской язвы.&lt;/li&gt;
&lt;li&gt;Лица, профессионально занятые содержанием скота, а также производящие убой скота, занятые заготовкой, сбором, хранением, транспортировкой, переработкой и реализацией сырья животного происхождения.&lt;/li&gt;
&lt;li&gt;Лица, выполняющие сельскохозя"&amp;"йственные, гидромелиоративные, строительные, по выемке и перемещению грунта, заготовительные, промысловые, геологические, изыскательские, экспедиционные на энзоотичных по сибирской язве территориях.&lt;/ul&gt;&lt;/p&gt;")</f>
        <v>&lt;p&gt;Подлежат обязательной вакцинации:
&lt;ul&gt;&lt;li&gt;Лица,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или подозрительным на инфицирование возбудителем сибирской язвы.&lt;/li&gt;
&lt;li&gt;Лица, профессионально занятые содержанием скота, а также производящие убой скота, занятые заготовкой, сбором, хранением, транспортировкой, переработкой и реализацией сырья животного происхождения.&lt;/li&gt;
&lt;li&gt;Лица, выполняющие сельскохозяйственные, гидромелиоративные, строительные, по выемке и перемещению грунта, заготовительные, промысловые, геологические, изыскательские, экспедиционные на энзоотичных по сибирской язве территориях.&lt;/ul&gt;&lt;/p&gt;</v>
      </c>
      <c r="I83" s="9" t="str">
        <f>IFERROR(__xludf.DUMMYFUNCTION("""COMPUTED_VALUE"""),"Подлежат обязательной вакцинации: 
•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или подозрительным на инфицирование возбудителем сибирской язв"&amp;"ы.
• Лица, профессионально занятые содержанием скота, а также производящие убой скота, занятые заготовкой, сбором, хранением, транспортировкой, переработкой и реализацией сырья животного происхождения.
• Лица, выполняющие сельскохозяйственные, гидромелиор"&amp;"ативные, строительные, по выемке и перемещению грунта, заготовительные, промысловые, геологические, изыскательские, экспедиционные на энзоотичных по сибирской язве территориях.")</f>
        <v>Подлежат обязательной вакцинации: 
•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или подозрительным на инфицирование возбудителем сибирской язвы.
• Лица, профессионально занятые содержанием скота, а также производящие убой скота, занятые заготовкой, сбором, хранением, транспортировкой, переработкой и реализацией сырья животного происхождения.
• Лица, выполняющие сельскохозяйственные, гидромелиоративные, строительные, по выемке и перемещению грунта, заготовительные, промысловые, геологические, изыскательские, экспедиционные на энзоотичных по сибирской язве территориях.</v>
      </c>
      <c r="J83" s="8"/>
      <c r="K83" s="10">
        <f>IFERROR(__xludf.DUMMYFUNCTION("""COMPUTED_VALUE"""),44712.0)</f>
        <v>44712</v>
      </c>
      <c r="L83" s="10">
        <f>IFERROR(__xludf.DUMMYFUNCTION("""COMPUTED_VALUE"""),44807.0)</f>
        <v>44807</v>
      </c>
      <c r="M83" s="8" t="str">
        <f>IFERROR(__xludf.DUMMYFUNCTION("""COMPUTED_VALUE"""),"нет")</f>
        <v>нет</v>
      </c>
    </row>
    <row r="84">
      <c r="A84" s="5">
        <f>IFERROR(__xludf.DUMMYFUNCTION("""COMPUTED_VALUE"""),83.0)</f>
        <v>83</v>
      </c>
      <c r="B84" s="6" t="str">
        <f>IFERROR(__xludf.DUMMYFUNCTION("""COMPUTED_VALUE"""),"anthrax_combined_48_NII_Minoborony")</f>
        <v>anthrax_combined_48_NII_Minoborony</v>
      </c>
      <c r="C84" s="7" t="str">
        <f>IFERROR(__xludf.DUMMYFUNCTION("""COMPUTED_VALUE"""),"https://grls.rosminzdrav.ru/Grls_View_v2.aspx?routingGuid=45ea6a47-5e12-4580-b8ed-b03d229557e4")</f>
        <v>https://grls.rosminzdrav.ru/Grls_View_v2.aspx?routingGuid=45ea6a47-5e12-4580-b8ed-b03d229557e4</v>
      </c>
      <c r="D84" s="8" t="str">
        <f>IFERROR(__xludf.DUMMYFUNCTION("""COMPUTED_VALUE"""),"сибиреязвенная комбинированная")</f>
        <v>сибиреязвенная комбинированная</v>
      </c>
      <c r="E84" s="8" t="str">
        <f>IFERROR(__xludf.DUMMYFUNCTION("""COMPUTED_VALUE"""),"Вакцина сибиреязвенная комбинированная")</f>
        <v>Вакцина сибиреязвенная комбинированная</v>
      </c>
      <c r="F84" s="8"/>
      <c r="G84" s="8" t="str">
        <f>IFERROR(__xludf.DUMMYFUNCTION("""COMPUTED_VALUE"""),"in use")</f>
        <v>in use</v>
      </c>
      <c r="H84" s="9" t="str">
        <f>IFERROR(__xludf.DUMMYFUNCTION("""COMPUTED_VALUE"""),"&lt;p&gt;Плановым прививкам подлежат: 
&lt;ol&gt;&lt;li&gt;Лица,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язвы.&lt;/li&gt;
&lt;li&gt;Лица, производящие у"&amp;"бой скота, занятые заготовкой, сбором, хранением, транспортировкой, переработкой и реализацией сырья животного происхождения.&lt;/li&gt;
&lt;li&gt;Лица, выполняющие следующие работы на энзоотичных по сибирской язве территориях: 
&lt;ul&gt;&lt;li&gt;Обслуживание общественного ско"&amp;"та.&lt;/li&gt;
&lt;li&gt;Сельскохозяйственные, агро- и гидромелиоративные, строительные и другие работы, связанные с выемкой и перемещением грунта.&lt;/li&gt;
&lt;li&gt;Заготовительные, промысловые, геологические, изыскательные, экспедиционные.&lt;/li&gt;&lt;/ul&gt;&lt;/li&gt;&lt;/ol&gt;&lt;/p&gt;")</f>
        <v>&lt;p&gt;Плановым прививкам подлежат: 
&lt;ol&gt;&lt;li&gt;Лица,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язвы.&lt;/li&gt;
&lt;li&gt;Лица, производящие убой скота, занятые заготовкой, сбором, хранением, транспортировкой, переработкой и реализацией сырья животного происхождения.&lt;/li&gt;
&lt;li&gt;Лица, выполняющие следующие работы на энзоотичных по сибирской язве территориях: 
&lt;ul&gt;&lt;li&gt;Обслуживание общественного скота.&lt;/li&gt;
&lt;li&gt;Сельскохозяйственные, агро- и гидромелиоративные, строительные и другие работы, связанные с выемкой и перемещением грунта.&lt;/li&gt;
&lt;li&gt;Заготовительные, промысловые, геологические, изыскательные, экспедиционные.&lt;/li&gt;&lt;/ul&gt;&lt;/li&gt;&lt;/ol&gt;&lt;/p&gt;</v>
      </c>
      <c r="I84" s="9" t="str">
        <f>IFERROR(__xludf.DUMMYFUNCTION("""COMPUTED_VALUE"""),"Плановым прививкам подлежат: 
1.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2. Лица, производящие убой скота, зан"&amp;"ятые заготовкой, сбором, хранением, транспортировкой, переработкой и реализацией сырья животного происхождения.
3. Лица, выполняющие следующие работы на энзоотичных по сибирской язве территориях: 
• Обслуживание общественного скота.
• Сельскохозяйственные"&amp;", агро- и гидромелиоративные, строительные и другие работы, связанные с выемкой и перемещением грунта.
• Заготовительные, промысловые, геологические, изыскательные, экспедиционные.")</f>
        <v>Плановым прививкам подлежат: 
1.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2. Лица, производящие убой скота, занятые заготовкой, сбором, хранением, транспортировкой, переработкой и реализацией сырья животного происхождения.
3. Лица, выполняющие следующие работы на энзоотичных по сибирской язве территориях: 
• Обслуживание общественного скота.
• Сельскохозяйственные, агро- и гидромелиоративные, строительные и другие работы, связанные с выемкой и перемещением грунта.
• Заготовительные, промысловые, геологические, изыскательные, экспедиционные.</v>
      </c>
      <c r="J84" s="8"/>
      <c r="K84" s="10">
        <f>IFERROR(__xludf.DUMMYFUNCTION("""COMPUTED_VALUE"""),44712.0)</f>
        <v>44712</v>
      </c>
      <c r="L84" s="10">
        <f>IFERROR(__xludf.DUMMYFUNCTION("""COMPUTED_VALUE"""),44807.0)</f>
        <v>44807</v>
      </c>
      <c r="M84" s="8" t="str">
        <f>IFERROR(__xludf.DUMMYFUNCTION("""COMPUTED_VALUE"""),"нет")</f>
        <v>нет</v>
      </c>
    </row>
    <row r="85">
      <c r="A85" s="5">
        <f>IFERROR(__xludf.DUMMYFUNCTION("""COMPUTED_VALUE"""),84.0)</f>
        <v>84</v>
      </c>
      <c r="B85" s="6" t="str">
        <f>IFERROR(__xludf.DUMMYFUNCTION("""COMPUTED_VALUE"""),"Rabipur")</f>
        <v>Rabipur</v>
      </c>
      <c r="C85" s="7" t="str">
        <f>IFERROR(__xludf.DUMMYFUNCTION("""COMPUTED_VALUE"""),"https://grls.rosminzdrav.ru/Grls_View_v2.aspx?routingGuid=b5f5bf28-a50c-46a3-8777-66ad5b7b6870")</f>
        <v>https://grls.rosminzdrav.ru/Grls_View_v2.aspx?routingGuid=b5f5bf28-a50c-46a3-8777-66ad5b7b6870</v>
      </c>
      <c r="D85" s="8" t="str">
        <f>IFERROR(__xludf.DUMMYFUNCTION("""COMPUTED_VALUE"""),"Рабипур")</f>
        <v>Рабипур</v>
      </c>
      <c r="E85" s="8" t="str">
        <f>IFERROR(__xludf.DUMMYFUNCTION("""COMPUTED_VALUE"""),"Рабипур® (Вакцина антирабическая культуральная очищенная инактивированная)")</f>
        <v>Рабипур® (Вакцина антирабическая культуральная очищенная инактивированная)</v>
      </c>
      <c r="F85" s="8" t="str">
        <f>IFERROR(__xludf.DUMMYFUNCTION("""COMPUTED_VALUE"""),"Кайрон Беринг Вакцинс")</f>
        <v>Кайрон Беринг Вакцинс</v>
      </c>
      <c r="G85" s="8" t="str">
        <f>IFERROR(__xludf.DUMMYFUNCTION("""COMPUTED_VALUE"""),"not in use")</f>
        <v>not in use</v>
      </c>
      <c r="H85" s="9" t="str">
        <f>IFERROR(__xludf.DUMMYFUNCTION("""COMPUTED_VALUE"""),"&lt;p&gt;Иммунизация, проводимая в плановом порядке, рекомендована лицам из групп риска инфицирования вирусом бешенства: лицам, работающим с «уличным» вирусом бешенства, ветеринарным работникам, егерям, охотникам, лесникам, лицам, выполняющим работы по отлову и"&amp;" содержанию животных, работникам скотобоен и лабораторий, а также при планировании поездок в эндемичные по бешенству регионы.&lt;/p&gt;")</f>
        <v>&lt;p&gt;Иммунизация, проводимая в плановом порядке, рекомендована лицам из групп риска инфицирования вирусом бешенства: лицам, работающим с «уличным» вирусом бешенства, ветеринарным работникам, егерям, охотникам, лесникам, лицам, выполняющим работы по отлову и содержанию животных, работникам скотобоен и лабораторий, а также при планировании поездок в эндемичные по бешенству регионы.&lt;/p&gt;</v>
      </c>
      <c r="I85" s="9" t="str">
        <f>IFERROR(__xludf.DUMMYFUNCTION("""COMPUTED_VALUE"""),"Иммунизация, проводимая в плановом порядке, рекомендована лицам из групп риска инфицирования вирусом бешенства: лицам, работающим с «уличным» вирусом бешенства, ветеринарным работникам, егерям, охотникам, лесникам, лицам, выполняющим работы по отлову и со"&amp;"держанию животных, работникам скотобоен и лабораторий, а также при планировании поездок в эндемичные по бешенству регионы.")</f>
        <v>Иммунизация, проводимая в плановом порядке, рекомендована лицам из групп риска инфицирования вирусом бешенства: лицам, работающим с «уличным» вирусом бешенства, ветеринарным работникам, егерям, охотникам, лесникам, лицам, выполняющим работы по отлову и содержанию животных, работникам скотобоен и лабораторий, а также при планировании поездок в эндемичные по бешенству регионы.</v>
      </c>
      <c r="J85" s="8"/>
      <c r="K85" s="10">
        <f>IFERROR(__xludf.DUMMYFUNCTION("""COMPUTED_VALUE"""),44712.0)</f>
        <v>44712</v>
      </c>
      <c r="L85" s="10">
        <f>IFERROR(__xludf.DUMMYFUNCTION("""COMPUTED_VALUE"""),44807.0)</f>
        <v>44807</v>
      </c>
      <c r="M85" s="8" t="str">
        <f>IFERROR(__xludf.DUMMYFUNCTION("""COMPUTED_VALUE"""),"нет")</f>
        <v>нет</v>
      </c>
    </row>
    <row r="86">
      <c r="A86" s="5">
        <f>IFERROR(__xludf.DUMMYFUNCTION("""COMPUTED_VALUE"""),85.0)</f>
        <v>85</v>
      </c>
      <c r="B86" s="6" t="str">
        <f>IFERROR(__xludf.DUMMYFUNCTION("""COMPUTED_VALUE"""),"leptospirosis_Rostov_NII")</f>
        <v>leptospirosis_Rostov_NII</v>
      </c>
      <c r="C86" s="7" t="str">
        <f>IFERROR(__xludf.DUMMYFUNCTION("""COMPUTED_VALUE"""),"https://grls.rosminzdrav.ru/Grls_View_v2.aspx?routingGuid=5ef363e0-7cee-48c5-ad35-c352b3fb519e")</f>
        <v>https://grls.rosminzdrav.ru/Grls_View_v2.aspx?routingGuid=5ef363e0-7cee-48c5-ad35-c352b3fb519e</v>
      </c>
      <c r="D86" s="8" t="str">
        <f>IFERROR(__xludf.DUMMYFUNCTION("""COMPUTED_VALUE"""),"лептоспирозная")</f>
        <v>лептоспирозная</v>
      </c>
      <c r="E86" s="8" t="str">
        <f>IFERROR(__xludf.DUMMYFUNCTION("""COMPUTED_VALUE"""),"Вакцина лептоспирозная концентрированная инактивированная жидкая")</f>
        <v>Вакцина лептоспирозная концентрированная инактивированная жидкая</v>
      </c>
      <c r="F86" s="8"/>
      <c r="G86" s="8" t="str">
        <f>IFERROR(__xludf.DUMMYFUNCTION("""COMPUTED_VALUE"""),"in use")</f>
        <v>in use</v>
      </c>
      <c r="H86" s="9" t="str">
        <f>IFERROR(__xludf.DUMMYFUNCTION("""COMPUTED_VALUE"""),"&lt;p&gt;Прививкам подлежат лица, выполняющие следующие работы: 
&lt;ul&gt;&lt;li&gt;По заготовке, хранению, обработке сырья и продуктов животноводства, полученных из хозяйств, расположенных на энзоотических по лептоспирозу территориях.&lt;/li&gt;
&lt;li&gt;По убою скота, больного леп"&amp;"тоспирозом, заготовке и переработке мяса и мясопродуктов, полученных от больных лептоспирозом животных.&lt;/li&gt;
&lt;li&gt;По отлову и содержанию безнадзорных животных.&lt;/li&gt;
&lt;li&gt;Работающие с живыми культурами возбудителей лептоспироза.&lt;/li&gt;&lt;/ul&gt;&lt;/p&gt;")</f>
        <v>&lt;p&gt;Прививкам подлежат лица, выполняющие следующие работы: 
&lt;ul&gt;&lt;li&gt;По заготовке, хранению, обработке сырья и продуктов животноводства, полученных из хозяйств, расположенных на энзоотических по лептоспирозу территориях.&lt;/li&gt;
&lt;li&gt;По убою скота, больного лептоспирозом, заготовке и переработке мяса и мясопродуктов, полученных от больных лептоспирозом животных.&lt;/li&gt;
&lt;li&gt;По отлову и содержанию безнадзорных животных.&lt;/li&gt;
&lt;li&gt;Работающие с живыми культурами возбудителей лептоспироза.&lt;/li&gt;&lt;/ul&gt;&lt;/p&gt;</v>
      </c>
      <c r="I86" s="9" t="str">
        <f>IFERROR(__xludf.DUMMYFUNCTION("""COMPUTED_VALUE"""),"Прививкам подлежат лица, выполняющие следующие работы: 
• По заготовке, хранению, обработке сырья и продуктов животноводства, полученных из хозяйств, расположенных на энзоотических по лептоспирозу территориях.
• По убою скота, больного лептоспирозом, заго"&amp;"товке и переработке мяса и мясопродуктов, полученных от больных лептоспирозом животных.
• По отлову и содержанию безнадзорных животных.
• Работающие с живыми культурами возбудителей лептоспироза.")</f>
        <v>Прививкам подлежат лица, выполняющие следующие работы: 
• По заготовке, хранению, обработке сырья и продуктов животноводства, полученных из хозяйств, расположенных на энзоотических по лептоспирозу территориях.
• По убою скота, больного лептоспирозом, заготовке и переработке мяса и мясопродуктов, полученных от больных лептоспирозом животных.
• По отлову и содержанию безнадзорных животных.
• Работающие с живыми культурами возбудителей лептоспироза.</v>
      </c>
      <c r="J86" s="8"/>
      <c r="K86" s="10">
        <f>IFERROR(__xludf.DUMMYFUNCTION("""COMPUTED_VALUE"""),44712.0)</f>
        <v>44712</v>
      </c>
      <c r="L86" s="10">
        <f>IFERROR(__xludf.DUMMYFUNCTION("""COMPUTED_VALUE"""),44808.0)</f>
        <v>44808</v>
      </c>
      <c r="M86" s="8" t="str">
        <f>IFERROR(__xludf.DUMMYFUNCTION("""COMPUTED_VALUE"""),"нет")</f>
        <v>нет</v>
      </c>
    </row>
    <row r="87">
      <c r="A87" s="5">
        <f>IFERROR(__xludf.DUMMYFUNCTION("""COMPUTED_VALUE"""),86.0)</f>
        <v>86</v>
      </c>
      <c r="B87" s="6" t="str">
        <f>IFERROR(__xludf.DUMMYFUNCTION("""COMPUTED_VALUE"""),"Q_fever_M_44_Microgen")</f>
        <v>Q_fever_M_44_Microgen</v>
      </c>
      <c r="C87" s="7" t="str">
        <f>IFERROR(__xludf.DUMMYFUNCTION("""COMPUTED_VALUE"""),"https://grls.rosminzdrav.ru/Grls_View_v2.aspx?routingGuid=62187342-c256-42fb-8419-8f916294db89")</f>
        <v>https://grls.rosminzdrav.ru/Grls_View_v2.aspx?routingGuid=62187342-c256-42fb-8419-8f916294db89</v>
      </c>
      <c r="D87" s="8" t="str">
        <f>IFERROR(__xludf.DUMMYFUNCTION("""COMPUTED_VALUE"""),"Ку-лихорадки")</f>
        <v>Ку-лихорадки</v>
      </c>
      <c r="E87" s="8" t="str">
        <f>IFERROR(__xludf.DUMMYFUNCTION("""COMPUTED_VALUE"""),"Вакцина Ку-лихорадки М-44 живая (Вакцина Ку-лихорадки М-44)")</f>
        <v>Вакцина Ку-лихорадки М-44 живая (Вакцина Ку-лихорадки М-44)</v>
      </c>
      <c r="F87" s="8" t="str">
        <f>IFERROR(__xludf.DUMMYFUNCTION("""COMPUTED_VALUE"""),"Микроген")</f>
        <v>Микроген</v>
      </c>
      <c r="G87" s="8" t="str">
        <f>IFERROR(__xludf.DUMMYFUNCTION("""COMPUTED_VALUE"""),"in use")</f>
        <v>in use</v>
      </c>
      <c r="H87" s="9"/>
      <c r="I87" s="9"/>
      <c r="J87" s="8"/>
      <c r="K87" s="10">
        <f>IFERROR(__xludf.DUMMYFUNCTION("""COMPUTED_VALUE"""),44712.0)</f>
        <v>44712</v>
      </c>
      <c r="L87" s="10">
        <f>IFERROR(__xludf.DUMMYFUNCTION("""COMPUTED_VALUE"""),45716.0)</f>
        <v>45716</v>
      </c>
      <c r="M87" s="7" t="str">
        <f>IFERROR(__xludf.DUMMYFUNCTION("""COMPUTED_VALUE"""),"https://lk.regmed.ru/Register/GetPDFfromDAToken?Token=6d636ac5-7688-499c-b16b-bff4c5285c1a")</f>
        <v>https://lk.regmed.ru/Register/GetPDFfromDAToken?Token=6d636ac5-7688-499c-b16b-bff4c5285c1a</v>
      </c>
    </row>
    <row r="88">
      <c r="A88" s="5">
        <f>IFERROR(__xludf.DUMMYFUNCTION("""COMPUTED_VALUE"""),87.0)</f>
        <v>87</v>
      </c>
      <c r="B88" s="6" t="str">
        <f>IFERROR(__xludf.DUMMYFUNCTION("""COMPUTED_VALUE"""),"cholera_NII_Microb")</f>
        <v>cholera_NII_Microb</v>
      </c>
      <c r="C88" s="7" t="str">
        <f>IFERROR(__xludf.DUMMYFUNCTION("""COMPUTED_VALUE"""),"https://grls.rosminzdrav.ru/Grls_View_v2.aspx?routingGuid=c27afa22-136b-4a31-96c0-fa7b3d7357f4")</f>
        <v>https://grls.rosminzdrav.ru/Grls_View_v2.aspx?routingGuid=c27afa22-136b-4a31-96c0-fa7b3d7357f4</v>
      </c>
      <c r="D88" s="8" t="str">
        <f>IFERROR(__xludf.DUMMYFUNCTION("""COMPUTED_VALUE"""),"холерная")</f>
        <v>холерная</v>
      </c>
      <c r="E88" s="8" t="str">
        <f>IFERROR(__xludf.DUMMYFUNCTION("""COMPUTED_VALUE"""),"Вакцина холерная бивалентная химическая")</f>
        <v>Вакцина холерная бивалентная химическая</v>
      </c>
      <c r="F88" s="8"/>
      <c r="G88" s="8" t="str">
        <f>IFERROR(__xludf.DUMMYFUNCTION("""COMPUTED_VALUE"""),"in use")</f>
        <v>in use</v>
      </c>
      <c r="H88" s="9"/>
      <c r="I88" s="9"/>
      <c r="J88" s="8"/>
      <c r="K88" s="10">
        <f>IFERROR(__xludf.DUMMYFUNCTION("""COMPUTED_VALUE"""),44712.0)</f>
        <v>44712</v>
      </c>
      <c r="L88" s="10">
        <f>IFERROR(__xludf.DUMMYFUNCTION("""COMPUTED_VALUE"""),44903.0)</f>
        <v>44903</v>
      </c>
      <c r="M88" s="8" t="str">
        <f>IFERROR(__xludf.DUMMYFUNCTION("""COMPUTED_VALUE"""),"нет")</f>
        <v>нет</v>
      </c>
    </row>
    <row r="89">
      <c r="A89" s="5">
        <f>IFERROR(__xludf.DUMMYFUNCTION("""COMPUTED_VALUE"""),88.0)</f>
        <v>88</v>
      </c>
      <c r="B89" s="6" t="str">
        <f>IFERROR(__xludf.DUMMYFUNCTION("""COMPUTED_VALUE"""),"Vianvac")</f>
        <v>Vianvac</v>
      </c>
      <c r="C89" s="7" t="str">
        <f>IFERROR(__xludf.DUMMYFUNCTION("""COMPUTED_VALUE"""),"https://grls.rosminzdrav.ru/Grls_View_v2.aspx?routingGuid=fdfbbbec-8dee-4615-b7eb-26968c926dbf")</f>
        <v>https://grls.rosminzdrav.ru/Grls_View_v2.aspx?routingGuid=fdfbbbec-8dee-4615-b7eb-26968c926dbf</v>
      </c>
      <c r="D89" s="8" t="str">
        <f>IFERROR(__xludf.DUMMYFUNCTION("""COMPUTED_VALUE"""),"Вианвак")</f>
        <v>Вианвак</v>
      </c>
      <c r="E89" s="8" t="str">
        <f>IFERROR(__xludf.DUMMYFUNCTION("""COMPUTED_VALUE"""),"ВИАНВАК® (Вакцина брюшнотифозная Ви-полисахаридная)")</f>
        <v>ВИАНВАК® (Вакцина брюшнотифозная Ви-полисахаридная)</v>
      </c>
      <c r="F89" s="8"/>
      <c r="G89" s="8" t="str">
        <f>IFERROR(__xludf.DUMMYFUNCTION("""COMPUTED_VALUE"""),"in use")</f>
        <v>in use</v>
      </c>
      <c r="H89" s="9"/>
      <c r="I89" s="9"/>
      <c r="J89" s="8"/>
      <c r="K89" s="10">
        <f>IFERROR(__xludf.DUMMYFUNCTION("""COMPUTED_VALUE"""),44712.0)</f>
        <v>44712</v>
      </c>
      <c r="L89" s="10">
        <f>IFERROR(__xludf.DUMMYFUNCTION("""COMPUTED_VALUE"""),46130.0)</f>
        <v>46130</v>
      </c>
      <c r="M89" s="8" t="str">
        <f>IFERROR(__xludf.DUMMYFUNCTION("""COMPUTED_VALUE"""),"есть")</f>
        <v>есть</v>
      </c>
    </row>
    <row r="90">
      <c r="A90" s="5">
        <f>IFERROR(__xludf.DUMMYFUNCTION("""COMPUTED_VALUE"""),89.0)</f>
        <v>89</v>
      </c>
      <c r="B90" s="6" t="str">
        <f>IFERROR(__xludf.DUMMYFUNCTION("""COMPUTED_VALUE"""),"Typhivac")</f>
        <v>Typhivac</v>
      </c>
      <c r="C90" s="7" t="str">
        <f>IFERROR(__xludf.DUMMYFUNCTION("""COMPUTED_VALUE"""),"https://grls.rosminzdrav.ru/Grls_View_v2.aspx?routingGuid=0544ac02-95bc-4db8-8c03-e56ad7882e51")</f>
        <v>https://grls.rosminzdrav.ru/Grls_View_v2.aspx?routingGuid=0544ac02-95bc-4db8-8c03-e56ad7882e51</v>
      </c>
      <c r="D90" s="8" t="str">
        <f>IFERROR(__xludf.DUMMYFUNCTION("""COMPUTED_VALUE"""),"Тифивак")</f>
        <v>Тифивак</v>
      </c>
      <c r="E90" s="8" t="str">
        <f>IFERROR(__xludf.DUMMYFUNCTION("""COMPUTED_VALUE"""),"Тифивак (Вакцина брюшнотифозная спиртовая)")</f>
        <v>Тифивак (Вакцина брюшнотифозная спиртовая)</v>
      </c>
      <c r="F90" s="8"/>
      <c r="G90" s="8" t="str">
        <f>IFERROR(__xludf.DUMMYFUNCTION("""COMPUTED_VALUE"""),"not in use")</f>
        <v>not in use</v>
      </c>
      <c r="H90" s="9"/>
      <c r="I90" s="9"/>
      <c r="J90" s="8"/>
      <c r="K90" s="10">
        <f>IFERROR(__xludf.DUMMYFUNCTION("""COMPUTED_VALUE"""),44712.0)</f>
        <v>44712</v>
      </c>
      <c r="L90" s="10">
        <f>IFERROR(__xludf.DUMMYFUNCTION("""COMPUTED_VALUE"""),45139.0)</f>
        <v>45139</v>
      </c>
      <c r="M90" s="8" t="str">
        <f>IFERROR(__xludf.DUMMYFUNCTION("""COMPUTED_VALUE"""),"нет")</f>
        <v>нет</v>
      </c>
    </row>
    <row r="91">
      <c r="A91" s="5">
        <f>IFERROR(__xludf.DUMMYFUNCTION("""COMPUTED_VALUE"""),90.0)</f>
        <v>90</v>
      </c>
      <c r="B91" s="6" t="str">
        <f>IFERROR(__xludf.DUMMYFUNCTION("""COMPUTED_VALUE"""),"Shigellvac")</f>
        <v>Shigellvac</v>
      </c>
      <c r="C91" s="7" t="str">
        <f>IFERROR(__xludf.DUMMYFUNCTION("""COMPUTED_VALUE"""),"https://grls.rosminzdrav.ru/Grls_View_v2.aspx?routingGuid=45faa55d-d1ab-4179-9b8d-7b152e30bfec")</f>
        <v>https://grls.rosminzdrav.ru/Grls_View_v2.aspx?routingGuid=45faa55d-d1ab-4179-9b8d-7b152e30bfec</v>
      </c>
      <c r="D91" s="8" t="str">
        <f>IFERROR(__xludf.DUMMYFUNCTION("""COMPUTED_VALUE"""),"Шигеллвак")</f>
        <v>Шигеллвак</v>
      </c>
      <c r="E91" s="8" t="str">
        <f>IFERROR(__xludf.DUMMYFUNCTION("""COMPUTED_VALUE"""),"Шигеллвак (Вакцина дизентерийная против шигелл Зонне полисахаридная)")</f>
        <v>Шигеллвак (Вакцина дизентерийная против шигелл Зонне полисахаридная)</v>
      </c>
      <c r="F91" s="8"/>
      <c r="G91" s="8" t="str">
        <f>IFERROR(__xludf.DUMMYFUNCTION("""COMPUTED_VALUE"""),"in use")</f>
        <v>in use</v>
      </c>
      <c r="H91" s="9"/>
      <c r="I91" s="9"/>
      <c r="J91" s="8"/>
      <c r="K91" s="10">
        <f>IFERROR(__xludf.DUMMYFUNCTION("""COMPUTED_VALUE"""),44712.0)</f>
        <v>44712</v>
      </c>
      <c r="L91" s="10">
        <f>IFERROR(__xludf.DUMMYFUNCTION("""COMPUTED_VALUE"""),46130.0)</f>
        <v>46130</v>
      </c>
      <c r="M91" s="8" t="str">
        <f>IFERROR(__xludf.DUMMYFUNCTION("""COMPUTED_VALUE"""),"есть")</f>
        <v>есть</v>
      </c>
    </row>
    <row r="92">
      <c r="A92" s="5">
        <f>IFERROR(__xludf.DUMMYFUNCTION("""COMPUTED_VALUE"""),91.0)</f>
        <v>91</v>
      </c>
      <c r="B92" s="6" t="str">
        <f>IFERROR(__xludf.DUMMYFUNCTION("""COMPUTED_VALUE"""),"CoviVac")</f>
        <v>CoviVac</v>
      </c>
      <c r="C92" s="7" t="str">
        <f>IFERROR(__xludf.DUMMYFUNCTION("""COMPUTED_VALUE"""),"https://grls.rosminzdrav.ru/Grls_View_v2.aspx?routingGuid=dd8bb917-0073-4bc0-809b-587e89c9a8b0")</f>
        <v>https://grls.rosminzdrav.ru/Grls_View_v2.aspx?routingGuid=dd8bb917-0073-4bc0-809b-587e89c9a8b0</v>
      </c>
      <c r="D92" s="8" t="str">
        <f>IFERROR(__xludf.DUMMYFUNCTION("""COMPUTED_VALUE"""),"КовиВак")</f>
        <v>КовиВак</v>
      </c>
      <c r="E92" s="8" t="str">
        <f>IFERROR(__xludf.DUMMYFUNCTION("""COMPUTED_VALUE"""),"КовиВак (Вакцина коронавирусная инактивированная цельновирионная концентрированная очищенная)")</f>
        <v>КовиВак (Вакцина коронавирусная инактивированная цельновирионная концентрированная очищенная)</v>
      </c>
      <c r="F92" s="8"/>
      <c r="G92" s="8" t="str">
        <f>IFERROR(__xludf.DUMMYFUNCTION("""COMPUTED_VALUE"""),"in use")</f>
        <v>in use</v>
      </c>
      <c r="H92" s="9"/>
      <c r="I92" s="9"/>
      <c r="J92" s="8"/>
      <c r="K92" s="10">
        <f>IFERROR(__xludf.DUMMYFUNCTION("""COMPUTED_VALUE"""),44712.0)</f>
        <v>44712</v>
      </c>
      <c r="L92" s="10">
        <f>IFERROR(__xludf.DUMMYFUNCTION("""COMPUTED_VALUE"""),44903.0)</f>
        <v>44903</v>
      </c>
      <c r="M92" s="8" t="str">
        <f>IFERROR(__xludf.DUMMYFUNCTION("""COMPUTED_VALUE"""),"нет")</f>
        <v>нет</v>
      </c>
    </row>
    <row r="93">
      <c r="A93" s="5">
        <f>IFERROR(__xludf.DUMMYFUNCTION("""COMPUTED_VALUE"""),92.0)</f>
        <v>92</v>
      </c>
      <c r="B93" s="6" t="str">
        <f>IFERROR(__xludf.DUMMYFUNCTION("""COMPUTED_VALUE"""),"Sputnik_light")</f>
        <v>Sputnik_light</v>
      </c>
      <c r="C93" s="7" t="str">
        <f>IFERROR(__xludf.DUMMYFUNCTION("""COMPUTED_VALUE"""),"https://grls.rosminzdrav.ru/Grls_View_v2.aspx?routingGuid=e231ed27-8f9b-48e2-9c90-6d4b5edb2693")</f>
        <v>https://grls.rosminzdrav.ru/Grls_View_v2.aspx?routingGuid=e231ed27-8f9b-48e2-9c90-6d4b5edb2693</v>
      </c>
      <c r="D93" s="8" t="str">
        <f>IFERROR(__xludf.DUMMYFUNCTION("""COMPUTED_VALUE"""),"Спутник Лайт")</f>
        <v>Спутник Лайт</v>
      </c>
      <c r="E93" s="8" t="str">
        <f>IFERROR(__xludf.DUMMYFUNCTION("""COMPUTED_VALUE"""),"Спутник Лайт Векторная вакцина для профилактики коронавирусной инфекции, вызываемой вирусом SARS-CoV-2")</f>
        <v>Спутник Лайт Векторная вакцина для профилактики коронавирусной инфекции, вызываемой вирусом SARS-CoV-2</v>
      </c>
      <c r="F93" s="8"/>
      <c r="G93" s="8" t="str">
        <f>IFERROR(__xludf.DUMMYFUNCTION("""COMPUTED_VALUE"""),"in use")</f>
        <v>in use</v>
      </c>
      <c r="H93" s="9"/>
      <c r="I93" s="9"/>
      <c r="J93" s="8"/>
      <c r="K93" s="10">
        <f>IFERROR(__xludf.DUMMYFUNCTION("""COMPUTED_VALUE"""),44712.0)</f>
        <v>44712</v>
      </c>
      <c r="L93" s="10">
        <f>IFERROR(__xludf.DUMMYFUNCTION("""COMPUTED_VALUE"""),45830.0)</f>
        <v>45830</v>
      </c>
      <c r="M93" s="7" t="str">
        <f>IFERROR(__xludf.DUMMYFUNCTION("""COMPUTED_VALUE"""),"https://lk.regmed.ru/Register/GetPDFfromDAToken?Token=50f49d83-55c5-4c3f-95fd-eb87ceb7bbc1")</f>
        <v>https://lk.regmed.ru/Register/GetPDFfromDAToken?Token=50f49d83-55c5-4c3f-95fd-eb87ceb7bbc1</v>
      </c>
    </row>
    <row r="94">
      <c r="A94" s="5">
        <f>IFERROR(__xludf.DUMMYFUNCTION("""COMPUTED_VALUE"""),93.0)</f>
        <v>93</v>
      </c>
      <c r="B94" s="6" t="str">
        <f>IFERROR(__xludf.DUMMYFUNCTION("""COMPUTED_VALUE"""),"Sputnik_M")</f>
        <v>Sputnik_M</v>
      </c>
      <c r="C94" s="7" t="str">
        <f>IFERROR(__xludf.DUMMYFUNCTION("""COMPUTED_VALUE"""),"https://grls.rosminzdrav.ru/Grls_View_v2.aspx?routingGuid=3f429426-417a-42af-8212-54d0f9b4f48a")</f>
        <v>https://grls.rosminzdrav.ru/Grls_View_v2.aspx?routingGuid=3f429426-417a-42af-8212-54d0f9b4f48a</v>
      </c>
      <c r="D94" s="8" t="str">
        <f>IFERROR(__xludf.DUMMYFUNCTION("""COMPUTED_VALUE"""),"Спутник М")</f>
        <v>Спутник М</v>
      </c>
      <c r="E94" s="8" t="str">
        <f>IFERROR(__xludf.DUMMYFUNCTION("""COMPUTED_VALUE"""),"Гам-КОВИД-Вак-М Комбинированная векторная вакцина для профилактики коронавирусной инфекции, вызываемой вирусом SARS-CoV-2")</f>
        <v>Гам-КОВИД-Вак-М Комбинированная векторная вакцина для профилактики коронавирусной инфекции, вызываемой вирусом SARS-CoV-2</v>
      </c>
      <c r="F94" s="8"/>
      <c r="G94" s="8" t="str">
        <f>IFERROR(__xludf.DUMMYFUNCTION("""COMPUTED_VALUE"""),"in use")</f>
        <v>in use</v>
      </c>
      <c r="H94" s="9"/>
      <c r="I94" s="9"/>
      <c r="J94" s="8"/>
      <c r="K94" s="10">
        <f>IFERROR(__xludf.DUMMYFUNCTION("""COMPUTED_VALUE"""),44712.0)</f>
        <v>44712</v>
      </c>
      <c r="L94" s="10">
        <f>IFERROR(__xludf.DUMMYFUNCTION("""COMPUTED_VALUE"""),45715.0)</f>
        <v>45715</v>
      </c>
      <c r="M94" s="8" t="str">
        <f>IFERROR(__xludf.DUMMYFUNCTION("""COMPUTED_VALUE"""),"нет")</f>
        <v>нет</v>
      </c>
    </row>
    <row r="95">
      <c r="A95" s="5">
        <f>IFERROR(__xludf.DUMMYFUNCTION("""COMPUTED_VALUE"""),94.0)</f>
        <v>94</v>
      </c>
      <c r="B95" s="6" t="str">
        <f>IFERROR(__xludf.DUMMYFUNCTION("""COMPUTED_VALUE"""),"Convacel")</f>
        <v>Convacel</v>
      </c>
      <c r="C95" s="7" t="str">
        <f>IFERROR(__xludf.DUMMYFUNCTION("""COMPUTED_VALUE"""),"https://grls.rosminzdrav.ru/Grls_View_v2.aspx?routingGuid=f6747520-46db-401c-ac99-b006cfc89abf")</f>
        <v>https://grls.rosminzdrav.ru/Grls_View_v2.aspx?routingGuid=f6747520-46db-401c-ac99-b006cfc89abf</v>
      </c>
      <c r="D95" s="8" t="str">
        <f>IFERROR(__xludf.DUMMYFUNCTION("""COMPUTED_VALUE"""),"Конвасэл")</f>
        <v>Конвасэл</v>
      </c>
      <c r="E95" s="8" t="str">
        <f>IFERROR(__xludf.DUMMYFUNCTION("""COMPUTED_VALUE"""),"Конвасэл® Вакцина субъединичная рекомбинантная для профилактики коронавирусной инфекции, вызываемой вирусом SARS-CoV-2")</f>
        <v>Конвасэл® Вакцина субъединичная рекомбинантная для профилактики коронавирусной инфекции, вызываемой вирусом SARS-CoV-2</v>
      </c>
      <c r="F95" s="8"/>
      <c r="G95" s="8" t="str">
        <f>IFERROR(__xludf.DUMMYFUNCTION("""COMPUTED_VALUE"""),"in use")</f>
        <v>in use</v>
      </c>
      <c r="H95" s="9"/>
      <c r="I95" s="9"/>
      <c r="J95" s="8"/>
      <c r="K95" s="10">
        <f>IFERROR(__xludf.DUMMYFUNCTION("""COMPUTED_VALUE"""),44712.0)</f>
        <v>44712</v>
      </c>
      <c r="L95" s="10">
        <f>IFERROR(__xludf.DUMMYFUNCTION("""COMPUTED_VALUE"""),46053.0)</f>
        <v>46053</v>
      </c>
      <c r="M95" s="8" t="str">
        <f>IFERROR(__xludf.DUMMYFUNCTION("""COMPUTED_VALUE"""),"есть")</f>
        <v>есть</v>
      </c>
    </row>
    <row r="96">
      <c r="A96" s="5">
        <f>IFERROR(__xludf.DUMMYFUNCTION("""COMPUTED_VALUE"""),95.0)</f>
        <v>95</v>
      </c>
      <c r="B96" s="6" t="str">
        <f>IFERROR(__xludf.DUMMYFUNCTION("""COMPUTED_VALUE"""),"Aurora")</f>
        <v>Aurora</v>
      </c>
      <c r="C96" s="7" t="str">
        <f>IFERROR(__xludf.DUMMYFUNCTION("""COMPUTED_VALUE"""),"https://grls.rosminzdrav.ru/Grls_View_v2.aspx?routingGuid=e674fd41-ea9d-4a0b-9f4b-7f728da76cf0")</f>
        <v>https://grls.rosminzdrav.ru/Grls_View_v2.aspx?routingGuid=e674fd41-ea9d-4a0b-9f4b-7f728da76cf0</v>
      </c>
      <c r="D96" s="8" t="str">
        <f>IFERROR(__xludf.DUMMYFUNCTION("""COMPUTED_VALUE"""),"АВРОРА-КоВ")</f>
        <v>АВРОРА-КоВ</v>
      </c>
      <c r="E96" s="8" t="str">
        <f>IFERROR(__xludf.DUMMYFUNCTION("""COMPUTED_VALUE"""),"АВРОРА-КоВ Вакцина на основе пептидных антигенов для профилактики COVID-19")</f>
        <v>АВРОРА-КоВ Вакцина на основе пептидных антигенов для профилактики COVID-19</v>
      </c>
      <c r="F96" s="8"/>
      <c r="G96" s="8" t="str">
        <f>IFERROR(__xludf.DUMMYFUNCTION("""COMPUTED_VALUE"""),"in use")</f>
        <v>in use</v>
      </c>
      <c r="H96" s="9"/>
      <c r="I96" s="9"/>
      <c r="J96" s="8"/>
      <c r="K96" s="10">
        <f>IFERROR(__xludf.DUMMYFUNCTION("""COMPUTED_VALUE"""),44712.0)</f>
        <v>44712</v>
      </c>
      <c r="L96" s="10">
        <f>IFERROR(__xludf.DUMMYFUNCTION("""COMPUTED_VALUE"""),44904.0)</f>
        <v>44904</v>
      </c>
      <c r="M96" s="8" t="str">
        <f>IFERROR(__xludf.DUMMYFUNCTION("""COMPUTED_VALUE"""),"нет")</f>
        <v>нет</v>
      </c>
    </row>
    <row r="97">
      <c r="A97" s="5">
        <f>IFERROR(__xludf.DUMMYFUNCTION("""COMPUTED_VALUE"""),96.0)</f>
        <v>96</v>
      </c>
      <c r="B97" s="6" t="str">
        <f>IFERROR(__xludf.DUMMYFUNCTION("""COMPUTED_VALUE"""),"Rota_V_Aid")</f>
        <v>Rota_V_Aid</v>
      </c>
      <c r="C97" s="7" t="str">
        <f>IFERROR(__xludf.DUMMYFUNCTION("""COMPUTED_VALUE"""),"https://grls.rosminzdrav.ru/Grls_View_v2.aspx?routingGuid=3e6a77c5-d2ae-4f34-b737-7803e65abe65")</f>
        <v>https://grls.rosminzdrav.ru/Grls_View_v2.aspx?routingGuid=3e6a77c5-d2ae-4f34-b737-7803e65abe65</v>
      </c>
      <c r="D97" s="8" t="str">
        <f>IFERROR(__xludf.DUMMYFUNCTION("""COMPUTED_VALUE"""),"Рота-V-Эйд")</f>
        <v>Рота-V-Эйд</v>
      </c>
      <c r="E97" s="8" t="str">
        <f>IFERROR(__xludf.DUMMYFUNCTION("""COMPUTED_VALUE"""),"Рота-V-Эйд® ")</f>
        <v>Рота-V-Эйд® </v>
      </c>
      <c r="F97" s="8" t="str">
        <f>IFERROR(__xludf.DUMMYFUNCTION("""COMPUTED_VALUE"""),"Серум Инститьют")</f>
        <v>Серум Инститьют</v>
      </c>
      <c r="G97" s="8" t="str">
        <f>IFERROR(__xludf.DUMMYFUNCTION("""COMPUTED_VALUE"""),"in use")</f>
        <v>in use</v>
      </c>
      <c r="H97" s="9"/>
      <c r="I97" s="9"/>
      <c r="J97" s="8"/>
      <c r="K97" s="10">
        <f>IFERROR(__xludf.DUMMYFUNCTION("""COMPUTED_VALUE"""),44712.0)</f>
        <v>44712</v>
      </c>
      <c r="L97" s="10">
        <f>IFERROR(__xludf.DUMMYFUNCTION("""COMPUTED_VALUE"""),45689.0)</f>
        <v>45689</v>
      </c>
      <c r="M97" s="7" t="str">
        <f>IFERROR(__xludf.DUMMYFUNCTION("""COMPUTED_VALUE"""),"https://lk.regmed.ru/Register/GetPDFfromDAToken?Token=0f30d250-b996-4595-b47d-8966e076423c")</f>
        <v>https://lk.regmed.ru/Register/GetPDFfromDAToken?Token=0f30d250-b996-4595-b47d-8966e076423c</v>
      </c>
    </row>
    <row r="98">
      <c r="A98" s="5">
        <f>IFERROR(__xludf.DUMMYFUNCTION("""COMPUTED_VALUE"""),97.0)</f>
        <v>97</v>
      </c>
      <c r="B98" s="6" t="str">
        <f>IFERROR(__xludf.DUMMYFUNCTION("""COMPUTED_VALUE"""),"Hib_Rostov")</f>
        <v>Hib_Rostov</v>
      </c>
      <c r="C98" s="7" t="str">
        <f>IFERROR(__xludf.DUMMYFUNCTION("""COMPUTED_VALUE"""),"https://grls.rosminzdrav.ru/Grls_View_v2.aspx?routingGuid=8790c6b6-9ab5-4df0-8084-075d18ec2595")</f>
        <v>https://grls.rosminzdrav.ru/Grls_View_v2.aspx?routingGuid=8790c6b6-9ab5-4df0-8084-075d18ec2595</v>
      </c>
      <c r="D98" s="8" t="str">
        <f>IFERROR(__xludf.DUMMYFUNCTION("""COMPUTED_VALUE"""),"гемофильная (ростовский НИИ)")</f>
        <v>гемофильная (ростовский НИИ)</v>
      </c>
      <c r="E98" s="8" t="str">
        <f>IFERROR(__xludf.DUMMYFUNCTION("""COMPUTED_VALUE"""),"Вакцина гемофильная тип b конъюгированная")</f>
        <v>Вакцина гемофильная тип b конъюгированная</v>
      </c>
      <c r="F98" s="8" t="str">
        <f>IFERROR(__xludf.DUMMYFUNCTION("""COMPUTED_VALUE"""),"ФБУН ""Ростовский научно-исследовательский институт микробиологии и паразитологии""")</f>
        <v>ФБУН "Ростовский научно-исследовательский институт микробиологии и паразитологии"</v>
      </c>
      <c r="G98" s="8" t="str">
        <f>IFERROR(__xludf.DUMMYFUNCTION("""COMPUTED_VALUE"""),"in use")</f>
        <v>in use</v>
      </c>
      <c r="H98" s="9"/>
      <c r="I98" s="9"/>
      <c r="J98" s="8"/>
      <c r="K98" s="10">
        <f>IFERROR(__xludf.DUMMYFUNCTION("""COMPUTED_VALUE"""),44712.0)</f>
        <v>44712</v>
      </c>
      <c r="L98" s="10">
        <f>IFERROR(__xludf.DUMMYFUNCTION("""COMPUTED_VALUE"""),44904.0)</f>
        <v>44904</v>
      </c>
      <c r="M98" s="8" t="str">
        <f>IFERROR(__xludf.DUMMYFUNCTION("""COMPUTED_VALUE"""),"нет")</f>
        <v>нет</v>
      </c>
    </row>
    <row r="99">
      <c r="A99" s="5">
        <f>IFERROR(__xludf.DUMMYFUNCTION("""COMPUTED_VALUE"""),98.0)</f>
        <v>98</v>
      </c>
      <c r="B99" s="6" t="str">
        <f>IFERROR(__xludf.DUMMYFUNCTION("""COMPUTED_VALUE"""),"HepB_Combiotech_1_0")</f>
        <v>HepB_Combiotech_1_0</v>
      </c>
      <c r="C99" s="7" t="str">
        <f>IFERROR(__xludf.DUMMYFUNCTION("""COMPUTED_VALUE"""),"https://grls.rosminzdrav.ru/Grls_View_v2.aspx?routingGuid=0cc60fe9-635e-4134-80d2-59a7787e33fb")</f>
        <v>https://grls.rosminzdrav.ru/Grls_View_v2.aspx?routingGuid=0cc60fe9-635e-4134-80d2-59a7787e33fb</v>
      </c>
      <c r="D99" s="8" t="str">
        <f>IFERROR(__xludf.DUMMYFUNCTION("""COMPUTED_VALUE"""),"гепатита B (Комбиотех) взрослая")</f>
        <v>гепатита B (Комбиотех) взрослая</v>
      </c>
      <c r="E99" s="8" t="str">
        <f>IFERROR(__xludf.DUMMYFUNCTION("""COMPUTED_VALUE"""),"Вакцина гепатита В рекомбинантная дрожжевая")</f>
        <v>Вакцина гепатита В рекомбинантная дрожжевая</v>
      </c>
      <c r="F99" s="8" t="str">
        <f>IFERROR(__xludf.DUMMYFUNCTION("""COMPUTED_VALUE"""),"Комбиотех")</f>
        <v>Комбиотех</v>
      </c>
      <c r="G99" s="8" t="str">
        <f>IFERROR(__xludf.DUMMYFUNCTION("""COMPUTED_VALUE"""),"in use")</f>
        <v>in use</v>
      </c>
      <c r="H99" s="9" t="str">
        <f>IFERROR(__xludf.DUMMYFUNCTION("""COMPUTED_VALUE"""),"&lt;p&gt;Препарат выпускается в виде «взрослой» и «детской» вакцины с консервантом и без консерванта.&lt;/p&gt;")</f>
        <v>&lt;p&gt;Препарат выпускается в виде «взрослой» и «детской» вакцины с консервантом и без консерванта.&lt;/p&gt;</v>
      </c>
      <c r="I99" s="9" t="str">
        <f>IFERROR(__xludf.DUMMYFUNCTION("""COMPUTED_VALUE"""),"Препарат выпускается в виде «взрослой» и «детской» вакцины с консервантом и без консерванта.")</f>
        <v>Препарат выпускается в виде «взрослой» и «детской» вакцины с консервантом и без консерванта.</v>
      </c>
      <c r="J99" s="8"/>
      <c r="K99" s="10">
        <f>IFERROR(__xludf.DUMMYFUNCTION("""COMPUTED_VALUE"""),44712.0)</f>
        <v>44712</v>
      </c>
      <c r="L99" s="10">
        <f>IFERROR(__xludf.DUMMYFUNCTION("""COMPUTED_VALUE"""),46130.0)</f>
        <v>46130</v>
      </c>
      <c r="M99" s="8" t="str">
        <f>IFERROR(__xludf.DUMMYFUNCTION("""COMPUTED_VALUE"""),"есть")</f>
        <v>есть</v>
      </c>
    </row>
    <row r="100">
      <c r="A100" s="5">
        <f>IFERROR(__xludf.DUMMYFUNCTION("""COMPUTED_VALUE"""),99.0)</f>
        <v>99</v>
      </c>
      <c r="B100" s="6" t="str">
        <f>IFERROR(__xludf.DUMMYFUNCTION("""COMPUTED_VALUE"""),"Regevac_1_0")</f>
        <v>Regevac_1_0</v>
      </c>
      <c r="C100" s="7" t="str">
        <f>IFERROR(__xludf.DUMMYFUNCTION("""COMPUTED_VALUE"""),"https://grls.rosminzdrav.ru/Grls_View_v2.aspx?routingGuid=ec6e3b51-e76b-4abf-99cf-7c02bab06091")</f>
        <v>https://grls.rosminzdrav.ru/Grls_View_v2.aspx?routingGuid=ec6e3b51-e76b-4abf-99cf-7c02bab06091</v>
      </c>
      <c r="D100" s="8" t="str">
        <f>IFERROR(__xludf.DUMMYFUNCTION("""COMPUTED_VALUE"""),"Регевак взрослый")</f>
        <v>Регевак взрослый</v>
      </c>
      <c r="E100" s="8" t="str">
        <f>IFERROR(__xludf.DUMMYFUNCTION("""COMPUTED_VALUE"""),"Регевак® В (Вакцина против гепатита В, рекомбинантная дрожжевая жидкая)")</f>
        <v>Регевак® В (Вакцина против гепатита В, рекомбинантная дрожжевая жидкая)</v>
      </c>
      <c r="F100" s="8"/>
      <c r="G100" s="8" t="str">
        <f>IFERROR(__xludf.DUMMYFUNCTION("""COMPUTED_VALUE"""),"in use")</f>
        <v>in use</v>
      </c>
      <c r="H100" s="9"/>
      <c r="I100" s="9"/>
      <c r="J100" s="8"/>
      <c r="K100" s="10">
        <f>IFERROR(__xludf.DUMMYFUNCTION("""COMPUTED_VALUE"""),44712.0)</f>
        <v>44712</v>
      </c>
      <c r="L100" s="10">
        <f>IFERROR(__xludf.DUMMYFUNCTION("""COMPUTED_VALUE"""),45988.0)</f>
        <v>45988</v>
      </c>
      <c r="M100" s="8" t="str">
        <f>IFERROR(__xludf.DUMMYFUNCTION("""COMPUTED_VALUE"""),"есть")</f>
        <v>есть</v>
      </c>
    </row>
    <row r="101">
      <c r="A101" s="5">
        <f>IFERROR(__xludf.DUMMYFUNCTION("""COMPUTED_VALUE"""),100.0)</f>
        <v>100</v>
      </c>
      <c r="B101" s="6" t="str">
        <f>IFERROR(__xludf.DUMMYFUNCTION("""COMPUTED_VALUE"""),"Priorix_Tetra")</f>
        <v>Priorix_Tetra</v>
      </c>
      <c r="C101" s="7" t="str">
        <f>IFERROR(__xludf.DUMMYFUNCTION("""COMPUTED_VALUE"""),"https://grls.rosminzdrav.ru/Grls_View_v2.aspx?routingGuid=c925a572-ac44-4311-b506-0b50d1d43cf7")</f>
        <v>https://grls.rosminzdrav.ru/Grls_View_v2.aspx?routingGuid=c925a572-ac44-4311-b506-0b50d1d43cf7</v>
      </c>
      <c r="D101" s="8" t="str">
        <f>IFERROR(__xludf.DUMMYFUNCTION("""COMPUTED_VALUE"""),"Приорикс Тетра")</f>
        <v>Приорикс Тетра</v>
      </c>
      <c r="E101" s="8" t="str">
        <f>IFERROR(__xludf.DUMMYFUNCTION("""COMPUTED_VALUE"""),"Приорикс-Тетра® (Вакцина против кори, эпидемического паротита, краснухи и ветряной оспы живая аттенуированная)")</f>
        <v>Приорикс-Тетра® (Вакцина против кори, эпидемического паротита, краснухи и ветряной оспы живая аттенуированная)</v>
      </c>
      <c r="F101" s="8"/>
      <c r="G101" s="8" t="str">
        <f>IFERROR(__xludf.DUMMYFUNCTION("""COMPUTED_VALUE"""),"in use")</f>
        <v>in use</v>
      </c>
      <c r="H101" s="9"/>
      <c r="I101" s="9"/>
      <c r="J101" s="8"/>
      <c r="K101" s="10">
        <f>IFERROR(__xludf.DUMMYFUNCTION("""COMPUTED_VALUE"""),44712.0)</f>
        <v>44712</v>
      </c>
      <c r="L101" s="10">
        <f>IFERROR(__xludf.DUMMYFUNCTION("""COMPUTED_VALUE"""),45689.0)</f>
        <v>45689</v>
      </c>
      <c r="M101" s="7" t="str">
        <f>IFERROR(__xludf.DUMMYFUNCTION("""COMPUTED_VALUE"""),"https://lk.regmed.ru/Register/GetPDFfromDAToken?Token=7037708a-d472-4a50-890a-76944cf29ef7")</f>
        <v>https://lk.regmed.ru/Register/GetPDFfromDAToken?Token=7037708a-d472-4a50-890a-76944cf29ef7</v>
      </c>
    </row>
    <row r="102">
      <c r="A102" s="5">
        <f>IFERROR(__xludf.DUMMYFUNCTION("""COMPUTED_VALUE"""),101.0)</f>
        <v>101</v>
      </c>
      <c r="B102" s="6" t="str">
        <f>IFERROR(__xludf.DUMMYFUNCTION("""COMPUTED_VALUE"""),"Menveo")</f>
        <v>Menveo</v>
      </c>
      <c r="C102" s="7" t="str">
        <f>IFERROR(__xludf.DUMMYFUNCTION("""COMPUTED_VALUE"""),"https://grls.rosminzdrav.ru/Grls_View_v2.aspx?routingGuid=5e4345d6-7ca0-45c7-8f39-928c497b5e6e")</f>
        <v>https://grls.rosminzdrav.ru/Grls_View_v2.aspx?routingGuid=5e4345d6-7ca0-45c7-8f39-928c497b5e6e</v>
      </c>
      <c r="D102" s="8" t="str">
        <f>IFERROR(__xludf.DUMMYFUNCTION("""COMPUTED_VALUE"""),"Менвео")</f>
        <v>Менвео</v>
      </c>
      <c r="E102" s="8" t="str">
        <f>IFERROR(__xludf.DUMMYFUNCTION("""COMPUTED_VALUE"""),"МЕНВЕО (Вакцина менингококковая олигосахаридная конъюгированная серогрупп ACW135Y)")</f>
        <v>МЕНВЕО (Вакцина менингококковая олигосахаридная конъюгированная серогрупп ACW135Y)</v>
      </c>
      <c r="F102" s="8"/>
      <c r="G102" s="8" t="str">
        <f>IFERROR(__xludf.DUMMYFUNCTION("""COMPUTED_VALUE"""),"not in use")</f>
        <v>not in use</v>
      </c>
      <c r="H102" s="9"/>
      <c r="I102" s="9"/>
      <c r="J102" s="8"/>
      <c r="K102" s="10">
        <f>IFERROR(__xludf.DUMMYFUNCTION("""COMPUTED_VALUE"""),44712.0)</f>
        <v>44712</v>
      </c>
      <c r="L102" s="10">
        <f>IFERROR(__xludf.DUMMYFUNCTION("""COMPUTED_VALUE"""),45079.0)</f>
        <v>45079</v>
      </c>
      <c r="M102" s="8" t="str">
        <f>IFERROR(__xludf.DUMMYFUNCTION("""COMPUTED_VALUE"""),"нет")</f>
        <v>нет</v>
      </c>
    </row>
    <row r="103">
      <c r="A103" s="5">
        <f>IFERROR(__xludf.DUMMYFUNCTION("""COMPUTED_VALUE"""),102.0)</f>
        <v>102</v>
      </c>
      <c r="B103" s="6" t="str">
        <f>IFERROR(__xludf.DUMMYFUNCTION("""COMPUTED_VALUE"""),"Sputnik_intranasal")</f>
        <v>Sputnik_intranasal</v>
      </c>
      <c r="C103" s="7" t="str">
        <f>IFERROR(__xludf.DUMMYFUNCTION("""COMPUTED_VALUE"""),"https://grls.rosminzdrav.ru/Grls_View_v2.aspx?routingGuid=256ea028-eb19-4200-8221-512438fbd5ef")</f>
        <v>https://grls.rosminzdrav.ru/Grls_View_v2.aspx?routingGuid=256ea028-eb19-4200-8221-512438fbd5ef</v>
      </c>
      <c r="D103" s="8" t="str">
        <f>IFERROR(__xludf.DUMMYFUNCTION("""COMPUTED_VALUE"""),"Спутник V (назальные капли)")</f>
        <v>Спутник V (назальные капли)</v>
      </c>
      <c r="E103" s="8" t="str">
        <f>IFERROR(__xludf.DUMMYFUNCTION("""COMPUTED_VALUE"""),"Гам-КОВИД-Вак Комбинированная векторная вакцина для профилактики коронавирусной инфекции, вызываемой вирусом SARS-CoV-2")</f>
        <v>Гам-КОВИД-Вак Комбинированная векторная вакцина для профилактики коронавирусной инфекции, вызываемой вирусом SARS-CoV-2</v>
      </c>
      <c r="F103" s="8"/>
      <c r="G103" s="8" t="str">
        <f>IFERROR(__xludf.DUMMYFUNCTION("""COMPUTED_VALUE"""),"in use")</f>
        <v>in use</v>
      </c>
      <c r="H103" s="9"/>
      <c r="I103" s="9"/>
      <c r="J103" s="8"/>
      <c r="K103" s="10">
        <f>IFERROR(__xludf.DUMMYFUNCTION("""COMPUTED_VALUE"""),44712.0)</f>
        <v>44712</v>
      </c>
      <c r="L103" s="10">
        <f>IFERROR(__xludf.DUMMYFUNCTION("""COMPUTED_VALUE"""),44904.0)</f>
        <v>44904</v>
      </c>
      <c r="M103" s="8" t="str">
        <f>IFERROR(__xludf.DUMMYFUNCTION("""COMPUTED_VALUE"""),"нет")</f>
        <v>нет</v>
      </c>
    </row>
    <row r="104">
      <c r="A104" s="5">
        <f>IFERROR(__xludf.DUMMYFUNCTION("""COMPUTED_VALUE"""),103.0)</f>
        <v>103</v>
      </c>
      <c r="B104" s="6" t="str">
        <f>IFERROR(__xludf.DUMMYFUNCTION("""COMPUTED_VALUE"""),"Grippol_plus_0_25")</f>
        <v>Grippol_plus_0_25</v>
      </c>
      <c r="C104" s="7" t="str">
        <f>IFERROR(__xludf.DUMMYFUNCTION("""COMPUTED_VALUE"""),"https://grls.rosminzdrav.ru/Grls_View_v2.aspx?routingGuid=907b510e-7f7f-46df-b43a-f6541b9871fc")</f>
        <v>https://grls.rosminzdrav.ru/Grls_View_v2.aspx?routingGuid=907b510e-7f7f-46df-b43a-f6541b9871fc</v>
      </c>
      <c r="D104" s="8" t="str">
        <f>IFERROR(__xludf.DUMMYFUNCTION("""COMPUTED_VALUE"""),"Гриппол плюс 0,25 мл")</f>
        <v>Гриппол плюс 0,25 мл</v>
      </c>
      <c r="E104" s="8" t="str">
        <f>IFERROR(__xludf.DUMMYFUNCTION("""COMPUTED_VALUE"""),"Гриппол® плюс Вакцина гриппозная тривалентная инактивированная полимер-субъединичная")</f>
        <v>Гриппол® плюс Вакцина гриппозная тривалентная инактивированная полимер-субъединичная</v>
      </c>
      <c r="F104" s="8"/>
      <c r="G104" s="8" t="str">
        <f>IFERROR(__xludf.DUMMYFUNCTION("""COMPUTED_VALUE"""),"in use")</f>
        <v>in use</v>
      </c>
      <c r="H104" s="9"/>
      <c r="I104" s="9"/>
      <c r="J104" s="8"/>
      <c r="K104" s="10">
        <f>IFERROR(__xludf.DUMMYFUNCTION("""COMPUTED_VALUE"""),44712.0)</f>
        <v>44712</v>
      </c>
      <c r="L104" s="10">
        <f>IFERROR(__xludf.DUMMYFUNCTION("""COMPUTED_VALUE"""),45689.0)</f>
        <v>45689</v>
      </c>
      <c r="M104" s="7" t="str">
        <f>IFERROR(__xludf.DUMMYFUNCTION("""COMPUTED_VALUE"""),"https://lk.regmed.ru/Register/GetPDFfromDAToken?Token=8cc54647-279e-4b2f-82d7-b1ed3161d86a")</f>
        <v>https://lk.regmed.ru/Register/GetPDFfromDAToken?Token=8cc54647-279e-4b2f-82d7-b1ed3161d86a</v>
      </c>
    </row>
    <row r="105">
      <c r="A105" s="5">
        <f>IFERROR(__xludf.DUMMYFUNCTION("""COMPUTED_VALUE"""),104.0)</f>
        <v>104</v>
      </c>
      <c r="B105" s="6" t="str">
        <f>IFERROR(__xludf.DUMMYFUNCTION("""COMPUTED_VALUE"""),"Flu_M_Tetra")</f>
        <v>Flu_M_Tetra</v>
      </c>
      <c r="C105" s="7" t="str">
        <f>IFERROR(__xludf.DUMMYFUNCTION("""COMPUTED_VALUE"""),"https://grls.rosminzdrav.ru/Grls_View_v2.aspx?routingGuid=0fef3b4e-c5a8-46f5-86d9-dbb6b3ea7f69")</f>
        <v>https://grls.rosminzdrav.ru/Grls_View_v2.aspx?routingGuid=0fef3b4e-c5a8-46f5-86d9-dbb6b3ea7f69</v>
      </c>
      <c r="D105" s="8" t="str">
        <f>IFERROR(__xludf.DUMMYFUNCTION("""COMPUTED_VALUE"""),"Флю-М Тетра")</f>
        <v>Флю-М Тетра</v>
      </c>
      <c r="E105" s="8" t="str">
        <f>IFERROR(__xludf.DUMMYFUNCTION("""COMPUTED_VALUE"""),"Флю-М Тетра Вакцина гриппозная четырехвалентная инактивированная расщепленная")</f>
        <v>Флю-М Тетра Вакцина гриппозная четырехвалентная инактивированная расщепленная</v>
      </c>
      <c r="F105" s="8"/>
      <c r="G105" s="8" t="str">
        <f>IFERROR(__xludf.DUMMYFUNCTION("""COMPUTED_VALUE"""),"in use")</f>
        <v>in use</v>
      </c>
      <c r="H105" s="9"/>
      <c r="I105" s="9"/>
      <c r="J105" s="8"/>
      <c r="K105" s="10">
        <f>IFERROR(__xludf.DUMMYFUNCTION("""COMPUTED_VALUE"""),44712.0)</f>
        <v>44712</v>
      </c>
      <c r="L105" s="10">
        <f>IFERROR(__xludf.DUMMYFUNCTION("""COMPUTED_VALUE"""),45798.0)</f>
        <v>45798</v>
      </c>
      <c r="M105" s="7" t="str">
        <f>IFERROR(__xludf.DUMMYFUNCTION("""COMPUTED_VALUE"""),"https://lk.regmed.ru/Register/GetPDFfromDAToken?Token=562428d8-f0bf-4357-ab6b-cd21651ff559")</f>
        <v>https://lk.regmed.ru/Register/GetPDFfromDAToken?Token=562428d8-f0bf-4357-ab6b-cd21651ff559</v>
      </c>
    </row>
    <row r="106">
      <c r="A106" s="5">
        <f>IFERROR(__xludf.DUMMYFUNCTION("""COMPUTED_VALUE"""),105.0)</f>
        <v>105</v>
      </c>
      <c r="B106" s="6" t="str">
        <f>IFERROR(__xludf.DUMMYFUNCTION("""COMPUTED_VALUE"""),"Vaxigrip_Tetra")</f>
        <v>Vaxigrip_Tetra</v>
      </c>
      <c r="C106" s="7" t="str">
        <f>IFERROR(__xludf.DUMMYFUNCTION("""COMPUTED_VALUE"""),"https://grls.rosminzdrav.ru/Grls_View_v2.aspx?routingGuid=9a09ed84-2913-4e23-a93a-ace308eab1dc")</f>
        <v>https://grls.rosminzdrav.ru/Grls_View_v2.aspx?routingGuid=9a09ed84-2913-4e23-a93a-ace308eab1dc</v>
      </c>
      <c r="D106" s="8" t="str">
        <f>IFERROR(__xludf.DUMMYFUNCTION("""COMPUTED_VALUE"""),"Ваксигрип Тетра")</f>
        <v>Ваксигрип Тетра</v>
      </c>
      <c r="E106" s="8" t="str">
        <f>IFERROR(__xludf.DUMMYFUNCTION("""COMPUTED_VALUE"""),"ВаксигрипТетра®")</f>
        <v>ВаксигрипТетра®</v>
      </c>
      <c r="F106" s="8"/>
      <c r="G106" s="8" t="str">
        <f>IFERROR(__xludf.DUMMYFUNCTION("""COMPUTED_VALUE"""),"not in use")</f>
        <v>not in use</v>
      </c>
      <c r="H106" s="9"/>
      <c r="I106" s="9"/>
      <c r="J106" s="8"/>
      <c r="K106" s="10">
        <f>IFERROR(__xludf.DUMMYFUNCTION("""COMPUTED_VALUE"""),44712.0)</f>
        <v>44712</v>
      </c>
      <c r="L106" s="10">
        <f>IFERROR(__xludf.DUMMYFUNCTION("""COMPUTED_VALUE"""),45689.0)</f>
        <v>45689</v>
      </c>
      <c r="M106" s="7" t="str">
        <f>IFERROR(__xludf.DUMMYFUNCTION("""COMPUTED_VALUE"""),"https://lk.regmed.ru/Register/GetPDFfromDAToken?Token=2a1a1d19-5cc8-420a-9c43-043ac5ec5115")</f>
        <v>https://lk.regmed.ru/Register/GetPDFfromDAToken?Token=2a1a1d19-5cc8-420a-9c43-043ac5ec5115</v>
      </c>
    </row>
    <row r="107">
      <c r="A107" s="5">
        <f>IFERROR(__xludf.DUMMYFUNCTION("""COMPUTED_VALUE"""),106.0)</f>
        <v>106</v>
      </c>
      <c r="B107" s="6" t="str">
        <f>IFERROR(__xludf.DUMMYFUNCTION("""COMPUTED_VALUE"""),"Ocavax")</f>
        <v>Ocavax</v>
      </c>
      <c r="C107" s="7" t="str">
        <f>IFERROR(__xludf.DUMMYFUNCTION("""COMPUTED_VALUE"""),"https://grls.rosminzdrav.ru/Grls_View_v2.aspx?routingGuid=19de591c-4a02-4e30-9742-fda39270f0da")</f>
        <v>https://grls.rosminzdrav.ru/Grls_View_v2.aspx?routingGuid=19de591c-4a02-4e30-9742-fda39270f0da</v>
      </c>
      <c r="D107" s="8" t="str">
        <f>IFERROR(__xludf.DUMMYFUNCTION("""COMPUTED_VALUE"""),"Окавакс")</f>
        <v>Окавакс</v>
      </c>
      <c r="E107" s="8" t="str">
        <f>IFERROR(__xludf.DUMMYFUNCTION("""COMPUTED_VALUE"""),"Окавакс")</f>
        <v>Окавакс</v>
      </c>
      <c r="F107" s="8"/>
      <c r="G107" s="8" t="str">
        <f>IFERROR(__xludf.DUMMYFUNCTION("""COMPUTED_VALUE"""),"not in use")</f>
        <v>not in use</v>
      </c>
      <c r="H107" s="9"/>
      <c r="I107" s="9"/>
      <c r="J107" s="8"/>
      <c r="K107" s="10">
        <f>IFERROR(__xludf.DUMMYFUNCTION("""COMPUTED_VALUE"""),44715.0)</f>
        <v>44715</v>
      </c>
      <c r="L107" s="10">
        <f>IFERROR(__xludf.DUMMYFUNCTION("""COMPUTED_VALUE"""),44715.0)</f>
        <v>44715</v>
      </c>
      <c r="M107" s="8" t="str">
        <f>IFERROR(__xludf.DUMMYFUNCTION("""COMPUTED_VALUE"""),"нет")</f>
        <v>нет</v>
      </c>
    </row>
    <row r="108">
      <c r="A108" s="5">
        <f>IFERROR(__xludf.DUMMYFUNCTION("""COMPUTED_VALUE"""),107.0)</f>
        <v>107</v>
      </c>
      <c r="B108" s="6" t="str">
        <f>IFERROR(__xludf.DUMMYFUNCTION("""COMPUTED_VALUE"""),"Pneumo_23")</f>
        <v>Pneumo_23</v>
      </c>
      <c r="C108" s="7" t="str">
        <f>IFERROR(__xludf.DUMMYFUNCTION("""COMPUTED_VALUE"""),"https://grls.rosminzdrav.ru/Grls_View_v2.aspx?routingGuid=da452e8e-dbe3 – 44cd-9f81-03e8f724da4d")</f>
        <v>https://grls.rosminzdrav.ru/Grls_View_v2.aspx?routingGuid=da452e8e-dbe3 – 44cd-9f81-03e8f724da4d</v>
      </c>
      <c r="D108" s="8" t="str">
        <f>IFERROR(__xludf.DUMMYFUNCTION("""COMPUTED_VALUE"""),"Пневмо 23")</f>
        <v>Пневмо 23</v>
      </c>
      <c r="E108" s="8" t="str">
        <f>IFERROR(__xludf.DUMMYFUNCTION("""COMPUTED_VALUE"""),"Пневмо 23 (вакцина пневмококковая поливалентная полисахаридная)")</f>
        <v>Пневмо 23 (вакцина пневмококковая поливалентная полисахаридная)</v>
      </c>
      <c r="F108" s="8"/>
      <c r="G108" s="8" t="str">
        <f>IFERROR(__xludf.DUMMYFUNCTION("""COMPUTED_VALUE"""),"not in use")</f>
        <v>not in use</v>
      </c>
      <c r="H108" s="9"/>
      <c r="I108" s="9"/>
      <c r="J108" s="8"/>
      <c r="K108" s="10">
        <f>IFERROR(__xludf.DUMMYFUNCTION("""COMPUTED_VALUE"""),44715.0)</f>
        <v>44715</v>
      </c>
      <c r="L108" s="10">
        <f>IFERROR(__xludf.DUMMYFUNCTION("""COMPUTED_VALUE"""),44904.0)</f>
        <v>44904</v>
      </c>
      <c r="M108" s="8" t="str">
        <f>IFERROR(__xludf.DUMMYFUNCTION("""COMPUTED_VALUE"""),"нет")</f>
        <v>нет</v>
      </c>
    </row>
    <row r="109">
      <c r="A109" s="5">
        <f>IFERROR(__xludf.DUMMYFUNCTION("""COMPUTED_VALUE"""),108.0)</f>
        <v>108</v>
      </c>
      <c r="B109" s="6" t="str">
        <f>IFERROR(__xludf.DUMMYFUNCTION("""COMPUTED_VALUE"""),"Varivax")</f>
        <v>Varivax</v>
      </c>
      <c r="C109" s="7" t="str">
        <f>IFERROR(__xludf.DUMMYFUNCTION("""COMPUTED_VALUE"""),"https://grls.rosminzdrav.ru/Grls_View_v2.aspx?routingGuid=171865ce-48a4-4d02-8392-f65717356121")</f>
        <v>https://grls.rosminzdrav.ru/Grls_View_v2.aspx?routingGuid=171865ce-48a4-4d02-8392-f65717356121</v>
      </c>
      <c r="D109" s="8" t="str">
        <f>IFERROR(__xludf.DUMMYFUNCTION("""COMPUTED_VALUE"""),"Варивакс")</f>
        <v>Варивакс</v>
      </c>
      <c r="E109" s="8" t="str">
        <f>IFERROR(__xludf.DUMMYFUNCTION("""COMPUTED_VALUE"""),"Варивакс®")</f>
        <v>Варивакс®</v>
      </c>
      <c r="F109" s="8"/>
      <c r="G109" s="8" t="str">
        <f>IFERROR(__xludf.DUMMYFUNCTION("""COMPUTED_VALUE"""),"not in use")</f>
        <v>not in use</v>
      </c>
      <c r="H109" s="9"/>
      <c r="I109" s="9"/>
      <c r="J109" s="8"/>
      <c r="K109" s="10">
        <f>IFERROR(__xludf.DUMMYFUNCTION("""COMPUTED_VALUE"""),44902.0)</f>
        <v>44902</v>
      </c>
      <c r="L109" s="10">
        <f>IFERROR(__xludf.DUMMYFUNCTION("""COMPUTED_VALUE"""),45689.0)</f>
        <v>45689</v>
      </c>
      <c r="M109" s="7" t="str">
        <f>IFERROR(__xludf.DUMMYFUNCTION("""COMPUTED_VALUE"""),"https://lk.regmed.ru/Register/GetPDFfromDAToken?Token=1a7b0dc3-0d55-4995-9e0a-3a9bc58544df")</f>
        <v>https://lk.regmed.ru/Register/GetPDFfromDAToken?Token=1a7b0dc3-0d55-4995-9e0a-3a9bc58544df</v>
      </c>
    </row>
    <row r="110">
      <c r="A110" s="5">
        <f>IFERROR(__xludf.DUMMYFUNCTION("""COMPUTED_VALUE"""),109.0)</f>
        <v>109</v>
      </c>
      <c r="B110" s="6" t="str">
        <f>IFERROR(__xludf.DUMMYFUNCTION("""COMPUTED_VALUE"""),"Pneumotex")</f>
        <v>Pneumotex</v>
      </c>
      <c r="C110" s="7" t="str">
        <f>IFERROR(__xludf.DUMMYFUNCTION("""COMPUTED_VALUE"""),"https://grls.rosminzdrav.ru/Grls_View_v2.aspx?routingGuid=04423b6b-72c2-40be-8c6c-6114c38d6f55")</f>
        <v>https://grls.rosminzdrav.ru/Grls_View_v2.aspx?routingGuid=04423b6b-72c2-40be-8c6c-6114c38d6f55</v>
      </c>
      <c r="D110" s="8" t="str">
        <f>IFERROR(__xludf.DUMMYFUNCTION("""COMPUTED_VALUE"""),"Пнемотекс")</f>
        <v>Пнемотекс</v>
      </c>
      <c r="E110" s="8" t="str">
        <f>IFERROR(__xludf.DUMMYFUNCTION("""COMPUTED_VALUE"""),"ПНЕМОТЕКС® (вакцина пневмококковая полисахаридная конъюгированная адсорбированная тринадцативалентная)")</f>
        <v>ПНЕМОТЕКС® (вакцина пневмококковая полисахаридная конъюгированная адсорбированная тринадцативалентная)</v>
      </c>
      <c r="F110" s="8"/>
      <c r="G110" s="8" t="str">
        <f>IFERROR(__xludf.DUMMYFUNCTION("""COMPUTED_VALUE"""),"in use")</f>
        <v>in use</v>
      </c>
      <c r="H110" s="9"/>
      <c r="I110" s="9"/>
      <c r="J110" s="8"/>
      <c r="K110" s="10">
        <f>IFERROR(__xludf.DUMMYFUNCTION("""COMPUTED_VALUE"""),45063.0)</f>
        <v>45063</v>
      </c>
      <c r="L110" s="10">
        <f>IFERROR(__xludf.DUMMYFUNCTION("""COMPUTED_VALUE"""),45818.0)</f>
        <v>45818</v>
      </c>
      <c r="M110" s="7" t="str">
        <f>IFERROR(__xludf.DUMMYFUNCTION("""COMPUTED_VALUE"""),"https://lk.regmed.ru/Register/GetPDFfromDAToken?Token=875d9b63-d6c1-43e7-8c6c-921afc6c274b")</f>
        <v>https://lk.regmed.ru/Register/GetPDFfromDAToken?Token=875d9b63-d6c1-43e7-8c6c-921afc6c274b</v>
      </c>
    </row>
    <row r="111">
      <c r="A111" s="5">
        <f>IFERROR(__xludf.DUMMYFUNCTION("""COMPUTED_VALUE"""),110.0)</f>
        <v>110</v>
      </c>
      <c r="B111" s="6" t="str">
        <f>IFERROR(__xludf.DUMMYFUNCTION("""COMPUTED_VALUE"""),"Priorix")</f>
        <v>Priorix</v>
      </c>
      <c r="C111" s="7" t="str">
        <f>IFERROR(__xludf.DUMMYFUNCTION("""COMPUTED_VALUE"""),"https://grls.rosminzdrav.ru/Grls_View_v2.aspx?routingGuid=823b5e3f-1e4d-4be9-b7c7-6acdc77fd788")</f>
        <v>https://grls.rosminzdrav.ru/Grls_View_v2.aspx?routingGuid=823b5e3f-1e4d-4be9-b7c7-6acdc77fd788</v>
      </c>
      <c r="D111" s="8" t="str">
        <f>IFERROR(__xludf.DUMMYFUNCTION("""COMPUTED_VALUE"""),"Приорикс")</f>
        <v>Приорикс</v>
      </c>
      <c r="E111" s="8" t="str">
        <f>IFERROR(__xludf.DUMMYFUNCTION("""COMPUTED_VALUE"""),"Приорикс® (Вакцина против кори, паротита и краснухи живая культуральная)")</f>
        <v>Приорикс® (Вакцина против кори, паротита и краснухи живая культуральная)</v>
      </c>
      <c r="F111" s="8"/>
      <c r="G111" s="8" t="str">
        <f>IFERROR(__xludf.DUMMYFUNCTION("""COMPUTED_VALUE"""),"not in use")</f>
        <v>not in use</v>
      </c>
      <c r="H111" s="9"/>
      <c r="I111" s="9"/>
      <c r="J111" s="8"/>
      <c r="K111" s="10">
        <f>IFERROR(__xludf.DUMMYFUNCTION("""COMPUTED_VALUE"""),45078.0)</f>
        <v>45078</v>
      </c>
      <c r="L111" s="10">
        <f>IFERROR(__xludf.DUMMYFUNCTION("""COMPUTED_VALUE"""),45139.0)</f>
        <v>45139</v>
      </c>
      <c r="M111" s="8" t="str">
        <f>IFERROR(__xludf.DUMMYFUNCTION("""COMPUTED_VALUE"""),"нет")</f>
        <v>нет</v>
      </c>
    </row>
    <row r="112">
      <c r="A112" s="5">
        <f>IFERROR(__xludf.DUMMYFUNCTION("""COMPUTED_VALUE"""),111.0)</f>
        <v>111</v>
      </c>
      <c r="B112" s="6" t="str">
        <f>IFERROR(__xludf.DUMMYFUNCTION("""COMPUTED_VALUE"""),"MenQuadfi")</f>
        <v>MenQuadfi</v>
      </c>
      <c r="C112" s="7" t="str">
        <f>IFERROR(__xludf.DUMMYFUNCTION("""COMPUTED_VALUE"""),"https://grls.rosminzdrav.ru/Grls_View_v2.aspx?routingGuid=3cf40fcb-fe6b-4f3b-aac2-300e5253d28f")</f>
        <v>https://grls.rosminzdrav.ru/Grls_View_v2.aspx?routingGuid=3cf40fcb-fe6b-4f3b-aac2-300e5253d28f</v>
      </c>
      <c r="D112" s="8" t="str">
        <f>IFERROR(__xludf.DUMMYFUNCTION("""COMPUTED_VALUE"""),"Менквадфи")</f>
        <v>Менквадфи</v>
      </c>
      <c r="E112" s="8" t="str">
        <f>IFERROR(__xludf.DUMMYFUNCTION("""COMPUTED_VALUE"""),"МенКвадфи®")</f>
        <v>МенКвадфи®</v>
      </c>
      <c r="F112" s="8"/>
      <c r="G112" s="8" t="str">
        <f>IFERROR(__xludf.DUMMYFUNCTION("""COMPUTED_VALUE"""),"in use")</f>
        <v>in use</v>
      </c>
      <c r="H112" s="9" t="str">
        <f>IFERROR(__xludf.DUMMYFUNCTION("""COMPUTED_VALUE"""),"&lt;p&gt;менингококки группы&amp;nbsp;A, C, W, Y&lt;/p&gt;")</f>
        <v>&lt;p&gt;менингококки группы&amp;nbsp;A, C, W, Y&lt;/p&gt;</v>
      </c>
      <c r="I112" s="9" t="str">
        <f>IFERROR(__xludf.DUMMYFUNCTION("""COMPUTED_VALUE"""),"менингококки группы A, C, W, Y")</f>
        <v>менингококки группы A, C, W, Y</v>
      </c>
      <c r="J112" s="8"/>
      <c r="K112" s="10">
        <f>IFERROR(__xludf.DUMMYFUNCTION("""COMPUTED_VALUE"""),45083.0)</f>
        <v>45083</v>
      </c>
      <c r="L112" s="10">
        <f>IFERROR(__xludf.DUMMYFUNCTION("""COMPUTED_VALUE"""),46072.0)</f>
        <v>46072</v>
      </c>
      <c r="M112" s="8" t="str">
        <f>IFERROR(__xludf.DUMMYFUNCTION("""COMPUTED_VALUE"""),"есть")</f>
        <v>есть</v>
      </c>
    </row>
    <row r="113">
      <c r="A113" s="5">
        <f>IFERROR(__xludf.DUMMYFUNCTION("""COMPUTED_VALUE"""),112.0)</f>
        <v>112</v>
      </c>
      <c r="B113" s="6" t="str">
        <f>IFERROR(__xludf.DUMMYFUNCTION("""COMPUTED_VALUE"""),"Bexsero")</f>
        <v>Bexsero</v>
      </c>
      <c r="C113" s="7" t="str">
        <f>IFERROR(__xludf.DUMMYFUNCTION("""COMPUTED_VALUE"""),"https://grls.rosminzdrav.ru/Grls_View_v2.aspx?routingGuid=bba91e7b-b9d4-4f7b-bf4d-6fde2e9956ea")</f>
        <v>https://grls.rosminzdrav.ru/Grls_View_v2.aspx?routingGuid=bba91e7b-b9d4-4f7b-bf4d-6fde2e9956ea</v>
      </c>
      <c r="D113" s="8" t="str">
        <f>IFERROR(__xludf.DUMMYFUNCTION("""COMPUTED_VALUE"""),"Бексеро")</f>
        <v>Бексеро</v>
      </c>
      <c r="E113" s="8" t="str">
        <f>IFERROR(__xludf.DUMMYFUNCTION("""COMPUTED_VALUE"""),"Бексеро")</f>
        <v>Бексеро</v>
      </c>
      <c r="F113" s="8"/>
      <c r="G113" s="8" t="str">
        <f>IFERROR(__xludf.DUMMYFUNCTION("""COMPUTED_VALUE"""),"in use")</f>
        <v>in use</v>
      </c>
      <c r="H113" s="9" t="str">
        <f>IFERROR(__xludf.DUMMYFUNCTION("""COMPUTED_VALUE"""),"&lt;p&gt;менингококки группы&amp;nbsp;B&lt;/p&gt;")</f>
        <v>&lt;p&gt;менингококки группы&amp;nbsp;B&lt;/p&gt;</v>
      </c>
      <c r="I113" s="9" t="str">
        <f>IFERROR(__xludf.DUMMYFUNCTION("""COMPUTED_VALUE"""),"менингококки группы B")</f>
        <v>менингококки группы B</v>
      </c>
      <c r="J113" s="8"/>
      <c r="K113" s="10">
        <f>IFERROR(__xludf.DUMMYFUNCTION("""COMPUTED_VALUE"""),45083.0)</f>
        <v>45083</v>
      </c>
      <c r="L113" s="10">
        <f>IFERROR(__xludf.DUMMYFUNCTION("""COMPUTED_VALUE"""),45689.0)</f>
        <v>45689</v>
      </c>
      <c r="M113" s="7" t="str">
        <f>IFERROR(__xludf.DUMMYFUNCTION("""COMPUTED_VALUE"""),"https://lk.regmed.ru/Register/GetPDFfromDAToken?Token=a5551ce2-9a90-4746-bdaa-77d891c76946")</f>
        <v>https://lk.regmed.ru/Register/GetPDFfromDAToken?Token=a5551ce2-9a90-4746-bdaa-77d891c76946</v>
      </c>
    </row>
    <row r="114">
      <c r="A114" s="5">
        <f>IFERROR(__xludf.DUMMYFUNCTION("""COMPUTED_VALUE"""),113.0)</f>
        <v>113</v>
      </c>
      <c r="B114" s="6" t="str">
        <f>IFERROR(__xludf.DUMMYFUNCTION("""COMPUTED_VALUE"""),"Sputnik_D")</f>
        <v>Sputnik_D</v>
      </c>
      <c r="C114" s="7" t="str">
        <f>IFERROR(__xludf.DUMMYFUNCTION("""COMPUTED_VALUE"""),"https://grls.rosminzdrav.ru/Grls_View_v2.aspx?routingGuid=831c5a30-1b96-43a6-bf67-a6dc879f33ed")</f>
        <v>https://grls.rosminzdrav.ru/Grls_View_v2.aspx?routingGuid=831c5a30-1b96-43a6-bf67-a6dc879f33ed</v>
      </c>
      <c r="D114" s="8" t="str">
        <f>IFERROR(__xludf.DUMMYFUNCTION("""COMPUTED_VALUE"""),"Спутник Д")</f>
        <v>Спутник Д</v>
      </c>
      <c r="E114" s="8" t="str">
        <f>IFERROR(__xludf.DUMMYFUNCTION("""COMPUTED_VALUE"""),"Гам-КОВИД-Вак-Д Комбинированная векторная вакцина для профилактики коронавирусной инфекции, вызываемой вирусом SARS-CoV-2")</f>
        <v>Гам-КОВИД-Вак-Д Комбинированная векторная вакцина для профилактики коронавирусной инфекции, вызываемой вирусом SARS-CoV-2</v>
      </c>
      <c r="F114" s="8"/>
      <c r="G114" s="8" t="str">
        <f>IFERROR(__xludf.DUMMYFUNCTION("""COMPUTED_VALUE"""),"not in use")</f>
        <v>not in use</v>
      </c>
      <c r="H114" s="9"/>
      <c r="I114" s="9"/>
      <c r="J114" s="8"/>
      <c r="K114" s="10">
        <f>IFERROR(__xludf.DUMMYFUNCTION("""COMPUTED_VALUE"""),45083.0)</f>
        <v>45083</v>
      </c>
      <c r="L114" s="10">
        <f>IFERROR(__xludf.DUMMYFUNCTION("""COMPUTED_VALUE"""),45139.0)</f>
        <v>45139</v>
      </c>
      <c r="M114" s="8" t="str">
        <f>IFERROR(__xludf.DUMMYFUNCTION("""COMPUTED_VALUE"""),"нет")</f>
        <v>нет</v>
      </c>
    </row>
    <row r="115">
      <c r="A115" s="5">
        <f>IFERROR(__xludf.DUMMYFUNCTION("""COMPUTED_VALUE"""),114.0)</f>
        <v>114</v>
      </c>
      <c r="B115" s="6" t="str">
        <f>IFERROR(__xludf.DUMMYFUNCTION("""COMPUTED_VALUE"""),"Encepur_0_25")</f>
        <v>Encepur_0_25</v>
      </c>
      <c r="C115" s="7" t="str">
        <f>IFERROR(__xludf.DUMMYFUNCTION("""COMPUTED_VALUE"""),"https://grls.rosminzdrav.ru/Grls_View_v2.aspx?routingGuid=4c557b4f-d993-4256-84b8-be1a3067c76b")</f>
        <v>https://grls.rosminzdrav.ru/Grls_View_v2.aspx?routingGuid=4c557b4f-d993-4256-84b8-be1a3067c76b</v>
      </c>
      <c r="D115" s="8" t="str">
        <f>IFERROR(__xludf.DUMMYFUNCTION("""COMPUTED_VALUE"""),"Энцепур детский")</f>
        <v>Энцепур детский</v>
      </c>
      <c r="E115" s="8" t="str">
        <f>IFERROR(__xludf.DUMMYFUNCTION("""COMPUTED_VALUE"""),"Энцепур® детский (Вакцина против клещевого энцефалита культуральная инактивированная очищенная жидкая с адъювантом)")</f>
        <v>Энцепур® детский (Вакцина против клещевого энцефалита культуральная инактивированная очищенная жидкая с адъювантом)</v>
      </c>
      <c r="F115" s="8"/>
      <c r="G115" s="8" t="str">
        <f>IFERROR(__xludf.DUMMYFUNCTION("""COMPUTED_VALUE"""),"not in use")</f>
        <v>not in use</v>
      </c>
      <c r="H115" s="9"/>
      <c r="I115" s="9"/>
      <c r="J115" s="8"/>
      <c r="K115" s="10">
        <f>IFERROR(__xludf.DUMMYFUNCTION("""COMPUTED_VALUE"""),45083.0)</f>
        <v>45083</v>
      </c>
      <c r="L115" s="10">
        <f>IFERROR(__xludf.DUMMYFUNCTION("""COMPUTED_VALUE"""),45083.0)</f>
        <v>45083</v>
      </c>
      <c r="M115" s="8" t="str">
        <f>IFERROR(__xludf.DUMMYFUNCTION("""COMPUTED_VALUE"""),"нет")</f>
        <v>нет</v>
      </c>
    </row>
    <row r="116">
      <c r="A116" s="5">
        <f>IFERROR(__xludf.DUMMYFUNCTION("""COMPUTED_VALUE"""),115.0)</f>
        <v>115</v>
      </c>
      <c r="B116" s="6" t="str">
        <f>IFERROR(__xludf.DUMMYFUNCTION("""COMPUTED_VALUE"""),"Encepur_0_5")</f>
        <v>Encepur_0_5</v>
      </c>
      <c r="C116" s="7" t="str">
        <f>IFERROR(__xludf.DUMMYFUNCTION("""COMPUTED_VALUE"""),"https://grls.rosminzdrav.ru/Grls_View_v2.aspx?routingGuid=03b79f0e-932b-4d1b-afcc-ed70f037b9ea")</f>
        <v>https://grls.rosminzdrav.ru/Grls_View_v2.aspx?routingGuid=03b79f0e-932b-4d1b-afcc-ed70f037b9ea</v>
      </c>
      <c r="D116" s="8" t="str">
        <f>IFERROR(__xludf.DUMMYFUNCTION("""COMPUTED_VALUE"""),"Энцепур взрослый")</f>
        <v>Энцепур взрослый</v>
      </c>
      <c r="E116" s="8" t="str">
        <f>IFERROR(__xludf.DUMMYFUNCTION("""COMPUTED_VALUE"""),"Энцепур взрослый (Вакцина против клещевого энцефалита инактивированная очищенная с адъювантом)")</f>
        <v>Энцепур взрослый (Вакцина против клещевого энцефалита инактивированная очищенная с адъювантом)</v>
      </c>
      <c r="F116" s="8"/>
      <c r="G116" s="8" t="str">
        <f>IFERROR(__xludf.DUMMYFUNCTION("""COMPUTED_VALUE"""),"not in use")</f>
        <v>not in use</v>
      </c>
      <c r="H116" s="9"/>
      <c r="I116" s="9"/>
      <c r="J116" s="8"/>
      <c r="K116" s="10">
        <f>IFERROR(__xludf.DUMMYFUNCTION("""COMPUTED_VALUE"""),45083.0)</f>
        <v>45083</v>
      </c>
      <c r="L116" s="10">
        <f>IFERROR(__xludf.DUMMYFUNCTION("""COMPUTED_VALUE"""),45083.0)</f>
        <v>45083</v>
      </c>
      <c r="M116" s="8" t="str">
        <f>IFERROR(__xludf.DUMMYFUNCTION("""COMPUTED_VALUE"""),"нет")</f>
        <v>нет</v>
      </c>
    </row>
    <row r="117">
      <c r="A117" s="5">
        <f>IFERROR(__xludf.DUMMYFUNCTION("""COMPUTED_VALUE"""),116.0)</f>
        <v>116</v>
      </c>
      <c r="B117" s="6" t="str">
        <f>IFERROR(__xludf.DUMMYFUNCTION("""COMPUTED_VALUE"""),"Poliovaccine")</f>
        <v>Poliovaccine</v>
      </c>
      <c r="C117" s="7" t="str">
        <f>IFERROR(__xludf.DUMMYFUNCTION("""COMPUTED_VALUE"""),"https://grls.rosminzdrav.ru/Grls_View_v2.aspx?routingGuid=3415eb53-da40-4647-b1bb-659792a9c18e")</f>
        <v>https://grls.rosminzdrav.ru/Grls_View_v2.aspx?routingGuid=3415eb53-da40-4647-b1bb-659792a9c18e</v>
      </c>
      <c r="D117" s="8" t="str">
        <f>IFERROR(__xludf.DUMMYFUNCTION("""COMPUTED_VALUE"""),"Полиоваксин")</f>
        <v>Полиоваксин</v>
      </c>
      <c r="E117" s="8" t="str">
        <f>IFERROR(__xludf.DUMMYFUNCTION("""COMPUTED_VALUE"""),"ПолиовакСин (Вакцина полиомиелитная культуральная очищенная концентрированная инактивированная жидкая из аттенуированных штаммов Сэбина)")</f>
        <v>ПолиовакСин (Вакцина полиомиелитная культуральная очищенная концентрированная инактивированная жидкая из аттенуированных штаммов Сэбина)</v>
      </c>
      <c r="F117" s="8"/>
      <c r="G117" s="8" t="str">
        <f>IFERROR(__xludf.DUMMYFUNCTION("""COMPUTED_VALUE"""),"in use")</f>
        <v>in use</v>
      </c>
      <c r="H117" s="9"/>
      <c r="I117" s="9"/>
      <c r="J117" s="8"/>
      <c r="K117" s="10">
        <f>IFERROR(__xludf.DUMMYFUNCTION("""COMPUTED_VALUE"""),45083.0)</f>
        <v>45083</v>
      </c>
      <c r="L117" s="10">
        <f>IFERROR(__xludf.DUMMYFUNCTION("""COMPUTED_VALUE"""),45139.0)</f>
        <v>45139</v>
      </c>
      <c r="M117" s="8" t="str">
        <f>IFERROR(__xludf.DUMMYFUNCTION("""COMPUTED_VALUE"""),"нет")</f>
        <v>нет</v>
      </c>
    </row>
    <row r="118">
      <c r="A118" s="5">
        <f>IFERROR(__xludf.DUMMYFUNCTION("""COMPUTED_VALUE"""),117.0)</f>
        <v>117</v>
      </c>
      <c r="B118" s="6" t="str">
        <f>IFERROR(__xludf.DUMMYFUNCTION("""COMPUTED_VALUE"""),"Act_Hib")</f>
        <v>Act_Hib</v>
      </c>
      <c r="C118" s="7" t="str">
        <f>IFERROR(__xludf.DUMMYFUNCTION("""COMPUTED_VALUE"""),"https://grls.rosminzdrav.ru/Grls_View_v2.aspx?routingGuid=09c1471e-ec8c-42ce-9ef9-0f1ded2db528")</f>
        <v>https://grls.rosminzdrav.ru/Grls_View_v2.aspx?routingGuid=09c1471e-ec8c-42ce-9ef9-0f1ded2db528</v>
      </c>
      <c r="D118" s="8" t="str">
        <f>IFERROR(__xludf.DUMMYFUNCTION("""COMPUTED_VALUE"""),"Акт-Хиб")</f>
        <v>Акт-Хиб</v>
      </c>
      <c r="E118" s="8" t="str">
        <f>IFERROR(__xludf.DUMMYFUNCTION("""COMPUTED_VALUE"""),"АКТ-ХИБ® (вакцина для профилактики инфекции, вызываемой Haemophilus influenzae тип b, конъюгированная)")</f>
        <v>АКТ-ХИБ® (вакцина для профилактики инфекции, вызываемой Haemophilus influenzae тип b, конъюгированная)</v>
      </c>
      <c r="F118" s="8"/>
      <c r="G118" s="8" t="str">
        <f>IFERROR(__xludf.DUMMYFUNCTION("""COMPUTED_VALUE"""),"not in use")</f>
        <v>not in use</v>
      </c>
      <c r="H118" s="9"/>
      <c r="I118" s="9"/>
      <c r="J118" s="8"/>
      <c r="K118" s="10">
        <f>IFERROR(__xludf.DUMMYFUNCTION("""COMPUTED_VALUE"""),45083.0)</f>
        <v>45083</v>
      </c>
      <c r="L118" s="10">
        <f>IFERROR(__xludf.DUMMYFUNCTION("""COMPUTED_VALUE"""),45083.0)</f>
        <v>45083</v>
      </c>
      <c r="M118" s="8" t="str">
        <f>IFERROR(__xludf.DUMMYFUNCTION("""COMPUTED_VALUE"""),"нет")</f>
        <v>нет</v>
      </c>
    </row>
    <row r="119">
      <c r="A119" s="5">
        <f>IFERROR(__xludf.DUMMYFUNCTION("""COMPUTED_VALUE"""),118.0)</f>
        <v>118</v>
      </c>
      <c r="B119" s="6" t="str">
        <f>IFERROR(__xludf.DUMMYFUNCTION("""COMPUTED_VALUE"""),"Hiberix")</f>
        <v>Hiberix</v>
      </c>
      <c r="C119" s="7" t="str">
        <f>IFERROR(__xludf.DUMMYFUNCTION("""COMPUTED_VALUE"""),"https://grls.rosminzdrav.ru/Grls_View_v2.aspx?routingGuid=5c6779c4-47b4-4c91-9642-933f4c3b11da")</f>
        <v>https://grls.rosminzdrav.ru/Grls_View_v2.aspx?routingGuid=5c6779c4-47b4-4c91-9642-933f4c3b11da</v>
      </c>
      <c r="D119" s="8" t="str">
        <f>IFERROR(__xludf.DUMMYFUNCTION("""COMPUTED_VALUE"""),"Хиберикс")</f>
        <v>Хиберикс</v>
      </c>
      <c r="E119" s="8" t="str">
        <f>IFERROR(__xludf.DUMMYFUNCTION("""COMPUTED_VALUE"""),"Хиберикс®")</f>
        <v>Хиберикс®</v>
      </c>
      <c r="F119" s="8"/>
      <c r="G119" s="8" t="str">
        <f>IFERROR(__xludf.DUMMYFUNCTION("""COMPUTED_VALUE"""),"not in use")</f>
        <v>not in use</v>
      </c>
      <c r="H119" s="9"/>
      <c r="I119" s="9"/>
      <c r="J119" s="8"/>
      <c r="K119" s="10">
        <f>IFERROR(__xludf.DUMMYFUNCTION("""COMPUTED_VALUE"""),45083.0)</f>
        <v>45083</v>
      </c>
      <c r="L119" s="10">
        <f>IFERROR(__xludf.DUMMYFUNCTION("""COMPUTED_VALUE"""),45083.0)</f>
        <v>45083</v>
      </c>
      <c r="M119" s="8" t="str">
        <f>IFERROR(__xludf.DUMMYFUNCTION("""COMPUTED_VALUE"""),"нет")</f>
        <v>нет</v>
      </c>
    </row>
    <row r="120">
      <c r="A120" s="5">
        <f>IFERROR(__xludf.DUMMYFUNCTION("""COMPUTED_VALUE"""),119.0)</f>
        <v>119</v>
      </c>
      <c r="B120" s="6" t="str">
        <f>IFERROR(__xludf.DUMMYFUNCTION("""COMPUTED_VALUE"""),"FSME_Immun_Junior")</f>
        <v>FSME_Immun_Junior</v>
      </c>
      <c r="C120" s="7" t="str">
        <f>IFERROR(__xludf.DUMMYFUNCTION("""COMPUTED_VALUE"""),"https://grls.rosminzdrav.ru/Grls_View_v2.aspx?routingGuid=e52e38b6-79d2-41fc-b6ed-2eb372023a81")</f>
        <v>https://grls.rosminzdrav.ru/Grls_View_v2.aspx?routingGuid=e52e38b6-79d2-41fc-b6ed-2eb372023a81</v>
      </c>
      <c r="D120" s="8" t="str">
        <f>IFERROR(__xludf.DUMMYFUNCTION("""COMPUTED_VALUE"""),"ФСМЕ-Иммун Джуниор")</f>
        <v>ФСМЕ-Иммун Джуниор</v>
      </c>
      <c r="E120" s="8" t="str">
        <f>IFERROR(__xludf.DUMMYFUNCTION("""COMPUTED_VALUE"""),"ФСМЕ-ИММУН® Джуниор (Вакцина клещевого энцефалита культуральная инактивированная очищенная сорбированная)")</f>
        <v>ФСМЕ-ИММУН® Джуниор (Вакцина клещевого энцефалита культуральная инактивированная очищенная сорбированная)</v>
      </c>
      <c r="F120" s="8"/>
      <c r="G120" s="8" t="str">
        <f>IFERROR(__xludf.DUMMYFUNCTION("""COMPUTED_VALUE"""),"not in use")</f>
        <v>not in use</v>
      </c>
      <c r="H120" s="9"/>
      <c r="I120" s="9"/>
      <c r="J120" s="8"/>
      <c r="K120" s="10">
        <f>IFERROR(__xludf.DUMMYFUNCTION("""COMPUTED_VALUE"""),45083.0)</f>
        <v>45083</v>
      </c>
      <c r="L120" s="10">
        <f>IFERROR(__xludf.DUMMYFUNCTION("""COMPUTED_VALUE"""),45083.0)</f>
        <v>45083</v>
      </c>
      <c r="M120" s="8" t="str">
        <f>IFERROR(__xludf.DUMMYFUNCTION("""COMPUTED_VALUE"""),"нет")</f>
        <v>нет</v>
      </c>
    </row>
    <row r="121">
      <c r="A121" s="5">
        <f>IFERROR(__xludf.DUMMYFUNCTION("""COMPUTED_VALUE"""),120.0)</f>
        <v>120</v>
      </c>
      <c r="B121" s="6" t="str">
        <f>IFERROR(__xludf.DUMMYFUNCTION("""COMPUTED_VALUE"""),"FSME_Immun")</f>
        <v>FSME_Immun</v>
      </c>
      <c r="C121" s="7" t="str">
        <f>IFERROR(__xludf.DUMMYFUNCTION("""COMPUTED_VALUE"""),"https://grls.rosminzdrav.ru/Grls_View_v2.aspx?routingGuid=dd508633-c49f-470d-8160-f9f0307f5c2a")</f>
        <v>https://grls.rosminzdrav.ru/Grls_View_v2.aspx?routingGuid=dd508633-c49f-470d-8160-f9f0307f5c2a</v>
      </c>
      <c r="D121" s="8" t="str">
        <f>IFERROR(__xludf.DUMMYFUNCTION("""COMPUTED_VALUE"""),"ФСМЕ-Иммун")</f>
        <v>ФСМЕ-Иммун</v>
      </c>
      <c r="E121" s="8" t="str">
        <f>IFERROR(__xludf.DUMMYFUNCTION("""COMPUTED_VALUE"""),"ФСМЕ-ИММУН® (Вакцина клещевого энцефалита культуральная инактивированная очищенная сорбированная)")</f>
        <v>ФСМЕ-ИММУН® (Вакцина клещевого энцефалита культуральная инактивированная очищенная сорбированная)</v>
      </c>
      <c r="F121" s="8"/>
      <c r="G121" s="8" t="str">
        <f>IFERROR(__xludf.DUMMYFUNCTION("""COMPUTED_VALUE"""),"not in use")</f>
        <v>not in use</v>
      </c>
      <c r="H121" s="9"/>
      <c r="I121" s="9"/>
      <c r="J121" s="8"/>
      <c r="K121" s="10">
        <f>IFERROR(__xludf.DUMMYFUNCTION("""COMPUTED_VALUE"""),45083.0)</f>
        <v>45083</v>
      </c>
      <c r="L121" s="10">
        <f>IFERROR(__xludf.DUMMYFUNCTION("""COMPUTED_VALUE"""),45083.0)</f>
        <v>45083</v>
      </c>
      <c r="M121" s="8" t="str">
        <f>IFERROR(__xludf.DUMMYFUNCTION("""COMPUTED_VALUE"""),"нет")</f>
        <v>нет</v>
      </c>
    </row>
    <row r="122">
      <c r="A122" s="5">
        <f>IFERROR(__xludf.DUMMYFUNCTION("""COMPUTED_VALUE"""),121.0)</f>
        <v>121</v>
      </c>
      <c r="B122" s="6" t="str">
        <f>IFERROR(__xludf.DUMMYFUNCTION("""COMPUTED_VALUE"""),"SciBiVac")</f>
        <v>SciBiVac</v>
      </c>
      <c r="C122" s="7" t="str">
        <f>IFERROR(__xludf.DUMMYFUNCTION("""COMPUTED_VALUE"""),"https://grls.rosminzdrav.ru/Grls_View_v2.aspx?routingGuid=3d3b451d-8d08-4645-a5ad-1ec5b9dbee4a")</f>
        <v>https://grls.rosminzdrav.ru/Grls_View_v2.aspx?routingGuid=3d3b451d-8d08-4645-a5ad-1ec5b9dbee4a</v>
      </c>
      <c r="D122" s="8" t="str">
        <f>IFERROR(__xludf.DUMMYFUNCTION("""COMPUTED_VALUE"""),"Сай-Би-Вак")</f>
        <v>Сай-Би-Вак</v>
      </c>
      <c r="E122" s="8" t="str">
        <f>IFERROR(__xludf.DUMMYFUNCTION("""COMPUTED_VALUE"""),"Сай-Би-Вак")</f>
        <v>Сай-Би-Вак</v>
      </c>
      <c r="F122" s="8"/>
      <c r="G122" s="8" t="str">
        <f>IFERROR(__xludf.DUMMYFUNCTION("""COMPUTED_VALUE"""),"not in use")</f>
        <v>not in use</v>
      </c>
      <c r="H122" s="9"/>
      <c r="I122" s="9"/>
      <c r="J122" s="8"/>
      <c r="K122" s="10">
        <f>IFERROR(__xludf.DUMMYFUNCTION("""COMPUTED_VALUE"""),45085.0)</f>
        <v>45085</v>
      </c>
      <c r="L122" s="10">
        <f>IFERROR(__xludf.DUMMYFUNCTION("""COMPUTED_VALUE"""),45085.0)</f>
        <v>45085</v>
      </c>
      <c r="M122" s="8" t="str">
        <f>IFERROR(__xludf.DUMMYFUNCTION("""COMPUTED_VALUE"""),"нет")</f>
        <v>нет</v>
      </c>
    </row>
    <row r="123">
      <c r="A123" s="5">
        <f>IFERROR(__xludf.DUMMYFUNCTION("""COMPUTED_VALUE"""),122.0)</f>
        <v>122</v>
      </c>
      <c r="B123" s="6" t="str">
        <f>IFERROR(__xludf.DUMMYFUNCTION("""COMPUTED_VALUE"""),"Pentavaccina")</f>
        <v>Pentavaccina</v>
      </c>
      <c r="C123" s="7" t="str">
        <f>IFERROR(__xludf.DUMMYFUNCTION("""COMPUTED_VALUE"""),"https://grls.rosminzdrav.ru/Grls_View_v2.aspx?routingGuid=831b739d-0598-4fef-adaf-7038c119d3f3")</f>
        <v>https://grls.rosminzdrav.ru/Grls_View_v2.aspx?routingGuid=831b739d-0598-4fef-adaf-7038c119d3f3</v>
      </c>
      <c r="D123" s="8" t="str">
        <f>IFERROR(__xludf.DUMMYFUNCTION("""COMPUTED_VALUE"""),"Пентавакцина")</f>
        <v>Пентавакцина</v>
      </c>
      <c r="E123" s="8" t="str">
        <f>IFERROR(__xludf.DUMMYFUNCTION("""COMPUTED_VALUE"""),"аАКДС-Геп B+Hib (Вакцина против дифтерии, столбняка, гепатита B, коклюша бесклеточная адсорбированная, инфекции, вызываемой Haemophilus influenzae тип b, конъюгированная синтетическая)")</f>
        <v>аАКДС-Геп B+Hib (Вакцина против дифтерии, столбняка, гепатита B, коклюша бесклеточная адсорбированная, инфекции, вызываемой Haemophilus influenzae тип b, конъюгированная синтетическая)</v>
      </c>
      <c r="F123" s="8" t="str">
        <f>IFERROR(__xludf.DUMMYFUNCTION("""COMPUTED_VALUE"""),"Микроген")</f>
        <v>Микроген</v>
      </c>
      <c r="G123" s="8" t="str">
        <f>IFERROR(__xludf.DUMMYFUNCTION("""COMPUTED_VALUE"""),"not in use")</f>
        <v>not in use</v>
      </c>
      <c r="H123" s="9" t="str">
        <f>IFERROR(__xludf.DUMMYFUNCTION("""COMPUTED_VALUE"""),"&lt;p&gt;DTaP-HepB-Hib&lt;/p&gt;")</f>
        <v>&lt;p&gt;DTaP-HepB-Hib&lt;/p&gt;</v>
      </c>
      <c r="I123" s="9" t="str">
        <f>IFERROR(__xludf.DUMMYFUNCTION("""COMPUTED_VALUE"""),"DTaP-HepB-Hib")</f>
        <v>DTaP-HepB-Hib</v>
      </c>
      <c r="J123" s="8"/>
      <c r="K123" s="10">
        <f>IFERROR(__xludf.DUMMYFUNCTION("""COMPUTED_VALUE"""),45105.0)</f>
        <v>45105</v>
      </c>
      <c r="L123" s="10">
        <f>IFERROR(__xludf.DUMMYFUNCTION("""COMPUTED_VALUE"""),45689.0)</f>
        <v>45689</v>
      </c>
      <c r="M123" s="7" t="str">
        <f>IFERROR(__xludf.DUMMYFUNCTION("""COMPUTED_VALUE"""),"https://lk.regmed.ru/Register/GetPDFfromDAToken?Token=e29e3046-2780-4b38-98d4-6db2916b84dd")</f>
        <v>https://lk.regmed.ru/Register/GetPDFfromDAToken?Token=e29e3046-2780-4b38-98d4-6db2916b84dd</v>
      </c>
    </row>
    <row r="124">
      <c r="A124" s="6">
        <f>IFERROR(__xludf.DUMMYFUNCTION("""COMPUTED_VALUE"""),123.0)</f>
        <v>123</v>
      </c>
      <c r="B124" s="6" t="str">
        <f>IFERROR(__xludf.DUMMYFUNCTION("""COMPUTED_VALUE"""),"Vitagerpavac")</f>
        <v>Vitagerpavac</v>
      </c>
      <c r="C124" s="7" t="str">
        <f>IFERROR(__xludf.DUMMYFUNCTION("""COMPUTED_VALUE"""),"https://grls.rosminzdrav.ru/Grls_View_v2.aspx?routingGuid=d2ede1d8-e73f-4e5c-924d-b822f8f0e85a")</f>
        <v>https://grls.rosminzdrav.ru/Grls_View_v2.aspx?routingGuid=d2ede1d8-e73f-4e5c-924d-b822f8f0e85a</v>
      </c>
      <c r="D124" s="8" t="str">
        <f>IFERROR(__xludf.DUMMYFUNCTION("""COMPUTED_VALUE"""),"Витагерпавак")</f>
        <v>Витагерпавак</v>
      </c>
      <c r="E124" s="8" t="str">
        <f>IFERROR(__xludf.DUMMYFUNCTION("""COMPUTED_VALUE"""),"Витагерпавак Вакцина герпетическая культуральная инактивированная")</f>
        <v>Витагерпавак Вакцина герпетическая культуральная инактивированная</v>
      </c>
      <c r="F124" s="8"/>
      <c r="G124" s="8" t="str">
        <f>IFERROR(__xludf.DUMMYFUNCTION("""COMPUTED_VALUE"""),"in use")</f>
        <v>in use</v>
      </c>
      <c r="H124" s="9"/>
      <c r="I124" s="9"/>
      <c r="J124" s="8"/>
      <c r="K124" s="10">
        <f>IFERROR(__xludf.DUMMYFUNCTION("""COMPUTED_VALUE"""),45169.0)</f>
        <v>45169</v>
      </c>
      <c r="L124" s="10">
        <f>IFERROR(__xludf.DUMMYFUNCTION("""COMPUTED_VALUE"""),45169.0)</f>
        <v>45169</v>
      </c>
      <c r="M124" s="8" t="str">
        <f>IFERROR(__xludf.DUMMYFUNCTION("""COMPUTED_VALUE"""),"нет")</f>
        <v>нет</v>
      </c>
    </row>
    <row r="125">
      <c r="A125" s="6">
        <f>IFERROR(__xludf.DUMMYFUNCTION("""COMPUTED_VALUE"""),124.0)</f>
        <v>124</v>
      </c>
      <c r="B125" s="6" t="str">
        <f>IFERROR(__xludf.DUMMYFUNCTION("""COMPUTED_VALUE"""),"Shingrix")</f>
        <v>Shingrix</v>
      </c>
      <c r="C125" s="7" t="str">
        <f>IFERROR(__xludf.DUMMYFUNCTION("""COMPUTED_VALUE"""),"https://grls.rosminzdrav.ru/Grls_View_v2.aspx?routingGuid=31ac5c67-3971-408e-9f95-48f4368633f3")</f>
        <v>https://grls.rosminzdrav.ru/Grls_View_v2.aspx?routingGuid=31ac5c67-3971-408e-9f95-48f4368633f3</v>
      </c>
      <c r="D125" s="8" t="str">
        <f>IFERROR(__xludf.DUMMYFUNCTION("""COMPUTED_VALUE"""),"Шингрикс")</f>
        <v>Шингрикс</v>
      </c>
      <c r="E125" s="8" t="str">
        <f>IFERROR(__xludf.DUMMYFUNCTION("""COMPUTED_VALUE"""),"Шингрикс (вакцина для профилактики опоясывающего герпеса рекомбинантная, адъювантная)")</f>
        <v>Шингрикс (вакцина для профилактики опоясывающего герпеса рекомбинантная, адъювантная)</v>
      </c>
      <c r="F125" s="8" t="str">
        <f>IFERROR(__xludf.DUMMYFUNCTION("""COMPUTED_VALUE"""),"GSK")</f>
        <v>GSK</v>
      </c>
      <c r="G125" s="8" t="str">
        <f>IFERROR(__xludf.DUMMYFUNCTION("""COMPUTED_VALUE"""),"not in use")</f>
        <v>not in use</v>
      </c>
      <c r="H125" s="9"/>
      <c r="I125" s="9"/>
      <c r="J125" s="8"/>
      <c r="K125" s="10">
        <f>IFERROR(__xludf.DUMMYFUNCTION("""COMPUTED_VALUE"""),45348.0)</f>
        <v>45348</v>
      </c>
      <c r="L125" s="10">
        <f>IFERROR(__xludf.DUMMYFUNCTION("""COMPUTED_VALUE"""),45689.0)</f>
        <v>45689</v>
      </c>
      <c r="M125" s="7" t="str">
        <f>IFERROR(__xludf.DUMMYFUNCTION("""COMPUTED_VALUE"""),"https://lk.regmed.ru/Register/GetPDFfromDAToken?Token=464df451-dc26-492d-829a-c416d1e140e2")</f>
        <v>https://lk.regmed.ru/Register/GetPDFfromDAToken?Token=464df451-dc26-492d-829a-c416d1e140e2</v>
      </c>
    </row>
    <row r="126">
      <c r="A126" s="6">
        <f>IFERROR(__xludf.DUMMYFUNCTION("""COMPUTED_VALUE"""),125.0)</f>
        <v>125</v>
      </c>
      <c r="B126" s="6" t="str">
        <f>IFERROR(__xludf.DUMMYFUNCTION("""COMPUTED_VALUE"""),"Trivaid")</f>
        <v>Trivaid</v>
      </c>
      <c r="C126" s="7" t="str">
        <f>IFERROR(__xludf.DUMMYFUNCTION("""COMPUTED_VALUE"""),"https://grls.rosminzdrav.ru/Grls_View_v2.aspx?routingGuid=c4cf7e73-cdee-4bd7-ab58-00e2bb5e6958")</f>
        <v>https://grls.rosminzdrav.ru/Grls_View_v2.aspx?routingGuid=c4cf7e73-cdee-4bd7-ab58-00e2bb5e6958</v>
      </c>
      <c r="D126" s="8" t="str">
        <f>IFERROR(__xludf.DUMMYFUNCTION("""COMPUTED_VALUE"""),"Тривэйд")</f>
        <v>Тривэйд</v>
      </c>
      <c r="E126" s="8" t="str">
        <f>IFERROR(__xludf.DUMMYFUNCTION("""COMPUTED_VALUE"""),"ТРИВЭЙД (Вакцина против кори, паротита и краснухи живая аттенуированная)")</f>
        <v>ТРИВЭЙД (Вакцина против кори, паротита и краснухи живая аттенуированная)</v>
      </c>
      <c r="F126" s="8"/>
      <c r="G126" s="8" t="str">
        <f>IFERROR(__xludf.DUMMYFUNCTION("""COMPUTED_VALUE"""),"in use")</f>
        <v>in use</v>
      </c>
      <c r="H126" s="9"/>
      <c r="I126" s="9"/>
      <c r="J126" s="8"/>
      <c r="K126" s="10">
        <f>IFERROR(__xludf.DUMMYFUNCTION("""COMPUTED_VALUE"""),45520.0)</f>
        <v>45520</v>
      </c>
      <c r="L126" s="10">
        <f>IFERROR(__xludf.DUMMYFUNCTION("""COMPUTED_VALUE"""),46053.0)</f>
        <v>46053</v>
      </c>
      <c r="M126" s="8" t="str">
        <f>IFERROR(__xludf.DUMMYFUNCTION("""COMPUTED_VALUE"""),"есть")</f>
        <v>есть</v>
      </c>
    </row>
    <row r="127">
      <c r="A127" s="6">
        <f>IFERROR(__xludf.DUMMYFUNCTION("""COMPUTED_VALUE"""),126.0)</f>
        <v>126</v>
      </c>
      <c r="B127" s="6" t="str">
        <f>IFERROR(__xludf.DUMMYFUNCTION("""COMPUTED_VALUE"""),"BabyHib")</f>
        <v>BabyHib</v>
      </c>
      <c r="C127" s="7" t="str">
        <f>IFERROR(__xludf.DUMMYFUNCTION("""COMPUTED_VALUE"""),"https://grls.rosminzdrav.ru/Grls_View_v2.aspx?routingGuid=09eddf8c-cba4-4468-9262-3c582b28ca1b")</f>
        <v>https://grls.rosminzdrav.ru/Grls_View_v2.aspx?routingGuid=09eddf8c-cba4-4468-9262-3c582b28ca1b</v>
      </c>
      <c r="D127" s="8" t="str">
        <f>IFERROR(__xludf.DUMMYFUNCTION("""COMPUTED_VALUE"""),"Бэби-Хиб")</f>
        <v>Бэби-Хиб</v>
      </c>
      <c r="E127" s="8" t="str">
        <f>IFERROR(__xludf.DUMMYFUNCTION("""COMPUTED_VALUE"""),"Вакцина для профилактики инфекции, вызываемой Haemophilus influenzae тип b конъюгированная")</f>
        <v>Вакцина для профилактики инфекции, вызываемой Haemophilus influenzae тип b конъюгированная</v>
      </c>
      <c r="F127" s="8"/>
      <c r="G127" s="8" t="str">
        <f>IFERROR(__xludf.DUMMYFUNCTION("""COMPUTED_VALUE"""),"in use")</f>
        <v>in use</v>
      </c>
      <c r="H127" s="9"/>
      <c r="I127" s="9"/>
      <c r="J127" s="8"/>
      <c r="K127" s="10">
        <f>IFERROR(__xludf.DUMMYFUNCTION("""COMPUTED_VALUE"""),45436.0)</f>
        <v>45436</v>
      </c>
      <c r="L127" s="10">
        <f>IFERROR(__xludf.DUMMYFUNCTION("""COMPUTED_VALUE"""),45988.0)</f>
        <v>45988</v>
      </c>
      <c r="M127" s="8" t="str">
        <f>IFERROR(__xludf.DUMMYFUNCTION("""COMPUTED_VALUE"""),"есть")</f>
        <v>есть</v>
      </c>
    </row>
    <row r="128">
      <c r="A128" s="6">
        <f>IFERROR(__xludf.DUMMYFUNCTION("""COMPUTED_VALUE"""),127.0)</f>
        <v>127</v>
      </c>
      <c r="B128" s="6" t="str">
        <f>IFERROR(__xludf.DUMMYFUNCTION("""COMPUTED_VALUE"""),"AD_M_Biomed")</f>
        <v>AD_M_Biomed</v>
      </c>
      <c r="C128" s="7" t="str">
        <f>IFERROR(__xludf.DUMMYFUNCTION("""COMPUTED_VALUE"""),"https://grls.rosminzdrav.ru/Grls_View_v2.aspx?routingGuid=1ec467a3-99d4-4109-a1e5-089702b7c177")</f>
        <v>https://grls.rosminzdrav.ru/Grls_View_v2.aspx?routingGuid=1ec467a3-99d4-4109-a1e5-089702b7c177</v>
      </c>
      <c r="D128" s="8" t="str">
        <f>IFERROR(__xludf.DUMMYFUNCTION("""COMPUTED_VALUE"""),"АД-М (Биомед)")</f>
        <v>АД-М (Биомед)</v>
      </c>
      <c r="E128" s="8" t="str">
        <f>IFERROR(__xludf.DUMMYFUNCTION("""COMPUTED_VALUE"""),"Анатоксин дифтерийный очищенный адсорбированный с уменьшенным содержанием антигена жидкий (АД-М анатоксин)")</f>
        <v>Анатоксин дифтерийный очищенный адсорбированный с уменьшенным содержанием антигена жидкий (АД-М анатоксин)</v>
      </c>
      <c r="F128" s="8" t="str">
        <f>IFERROR(__xludf.DUMMYFUNCTION("""COMPUTED_VALUE"""),"Биомед")</f>
        <v>Биомед</v>
      </c>
      <c r="G128" s="8" t="str">
        <f>IFERROR(__xludf.DUMMYFUNCTION("""COMPUTED_VALUE"""),"not in use")</f>
        <v>not in use</v>
      </c>
      <c r="H128" s="9"/>
      <c r="I128" s="9"/>
      <c r="J128" s="8"/>
      <c r="K128" s="10">
        <f>IFERROR(__xludf.DUMMYFUNCTION("""COMPUTED_VALUE"""),45459.0)</f>
        <v>45459</v>
      </c>
      <c r="L128" s="8"/>
      <c r="M128" s="8" t="str">
        <f>IFERROR(__xludf.DUMMYFUNCTION("""COMPUTED_VALUE"""),"нет")</f>
        <v>нет</v>
      </c>
    </row>
    <row r="129">
      <c r="A129" s="6">
        <f>IFERROR(__xludf.DUMMYFUNCTION("""COMPUTED_VALUE"""),128.0)</f>
        <v>128</v>
      </c>
      <c r="B129" s="6" t="str">
        <f>IFERROR(__xludf.DUMMYFUNCTION("""COMPUTED_VALUE"""),"AS_D_Microgen")</f>
        <v>AS_D_Microgen</v>
      </c>
      <c r="C129" s="7" t="str">
        <f>IFERROR(__xludf.DUMMYFUNCTION("""COMPUTED_VALUE"""),"https://grls.rosminzdrav.ru/Grls_View_v2.aspx?routingGuid=e0de1bec-a881-4f57-9b47-a6152b3b9902")</f>
        <v>https://grls.rosminzdrav.ru/Grls_View_v2.aspx?routingGuid=e0de1bec-a881-4f57-9b47-a6152b3b9902</v>
      </c>
      <c r="D129" s="8" t="str">
        <f>IFERROR(__xludf.DUMMYFUNCTION("""COMPUTED_VALUE"""),"АС-анатоксин для доноров")</f>
        <v>АС-анатоксин для доноров</v>
      </c>
      <c r="E129" s="8" t="str">
        <f>IFERROR(__xludf.DUMMYFUNCTION("""COMPUTED_VALUE"""),"Анатоксин столбнячный очищенный адсорбированный жидкий для доноров (АС-анатоксин для доноров)")</f>
        <v>Анатоксин столбнячный очищенный адсорбированный жидкий для доноров (АС-анатоксин для доноров)</v>
      </c>
      <c r="F129" s="8" t="str">
        <f>IFERROR(__xludf.DUMMYFUNCTION("""COMPUTED_VALUE"""),"Микроген")</f>
        <v>Микроген</v>
      </c>
      <c r="G129" s="8" t="str">
        <f>IFERROR(__xludf.DUMMYFUNCTION("""COMPUTED_VALUE"""),"in use")</f>
        <v>in use</v>
      </c>
      <c r="H129" s="9"/>
      <c r="I129" s="9"/>
      <c r="J129" s="8"/>
      <c r="K129" s="10">
        <f>IFERROR(__xludf.DUMMYFUNCTION("""COMPUTED_VALUE"""),45459.0)</f>
        <v>45459</v>
      </c>
      <c r="L129" s="10">
        <f>IFERROR(__xludf.DUMMYFUNCTION("""COMPUTED_VALUE"""),45689.0)</f>
        <v>45689</v>
      </c>
      <c r="M129" s="7" t="str">
        <f>IFERROR(__xludf.DUMMYFUNCTION("""COMPUTED_VALUE"""),"https://lk.regmed.ru/Register/GetPDFfromDAToken?Token=f465d04c-878b-470d-bdc4-80fe697e5668")</f>
        <v>https://lk.regmed.ru/Register/GetPDFfromDAToken?Token=f465d04c-878b-470d-bdc4-80fe697e5668</v>
      </c>
    </row>
    <row r="130">
      <c r="A130" s="6">
        <f>IFERROR(__xludf.DUMMYFUNCTION("""COMPUTED_VALUE"""),129.0)</f>
        <v>129</v>
      </c>
      <c r="B130" s="6" t="str">
        <f>IFERROR(__xludf.DUMMYFUNCTION("""COMPUTED_VALUE"""),"Variola")</f>
        <v>Variola</v>
      </c>
      <c r="C130" s="7" t="str">
        <f>IFERROR(__xludf.DUMMYFUNCTION("""COMPUTED_VALUE"""),"https://grls.rosminzdrav.ru/Grls_View_v2.aspx?routingGuid=497b8580-5439-4e70-aad4-2dd853dcf4ee")</f>
        <v>https://grls.rosminzdrav.ru/Grls_View_v2.aspx?routingGuid=497b8580-5439-4e70-aad4-2dd853dcf4ee</v>
      </c>
      <c r="D130" s="8" t="str">
        <f>IFERROR(__xludf.DUMMYFUNCTION("""COMPUTED_VALUE"""),"оспенная живая")</f>
        <v>оспенная живая</v>
      </c>
      <c r="E130" s="8" t="str">
        <f>IFERROR(__xludf.DUMMYFUNCTION("""COMPUTED_VALUE"""),"Вакцина оспенная живая (Вакцина оспенная)")</f>
        <v>Вакцина оспенная живая (Вакцина оспенная)</v>
      </c>
      <c r="F130" s="8" t="str">
        <f>IFERROR(__xludf.DUMMYFUNCTION("""COMPUTED_VALUE"""),"Микроген")</f>
        <v>Микроген</v>
      </c>
      <c r="G130" s="8" t="str">
        <f>IFERROR(__xludf.DUMMYFUNCTION("""COMPUTED_VALUE"""),"in use")</f>
        <v>in use</v>
      </c>
      <c r="H130" s="9"/>
      <c r="I130" s="9"/>
      <c r="J130" s="8"/>
      <c r="K130" s="10">
        <f>IFERROR(__xludf.DUMMYFUNCTION("""COMPUTED_VALUE"""),45459.0)</f>
        <v>45459</v>
      </c>
      <c r="L130" s="10">
        <f>IFERROR(__xludf.DUMMYFUNCTION("""COMPUTED_VALUE"""),45689.0)</f>
        <v>45689</v>
      </c>
      <c r="M130" s="7" t="str">
        <f>IFERROR(__xludf.DUMMYFUNCTION("""COMPUTED_VALUE"""),"https://lk.regmed.ru/Register/GetPDFfromDAToken?Token=0c88c29e-5431-4ce5-87c0-c05c88e9e994")</f>
        <v>https://lk.regmed.ru/Register/GetPDFfromDAToken?Token=0c88c29e-5431-4ce5-87c0-c05c88e9e994</v>
      </c>
    </row>
    <row r="131">
      <c r="A131" s="6">
        <f>IFERROR(__xludf.DUMMYFUNCTION("""COMPUTED_VALUE"""),130.0)</f>
        <v>130</v>
      </c>
      <c r="B131" s="6" t="str">
        <f>IFERROR(__xludf.DUMMYFUNCTION("""COMPUTED_VALUE"""),"AKDS_HepB_Microgen")</f>
        <v>AKDS_HepB_Microgen</v>
      </c>
      <c r="C131" s="7" t="str">
        <f>IFERROR(__xludf.DUMMYFUNCTION("""COMPUTED_VALUE"""),"https://grls.rosminzdrav.ru/Grls_View_v2.aspx?routingGuid=85903bfa-570c-432d-aa6a-9e0d5be6ae6e")</f>
        <v>https://grls.rosminzdrav.ru/Grls_View_v2.aspx?routingGuid=85903bfa-570c-432d-aa6a-9e0d5be6ae6e</v>
      </c>
      <c r="D131" s="8" t="str">
        <f>IFERROR(__xludf.DUMMYFUNCTION("""COMPUTED_VALUE"""),"АКДС-Геп В")</f>
        <v>АКДС-Геп В</v>
      </c>
      <c r="E131" s="8" t="str">
        <f>IFERROR(__xludf.DUMMYFUNCTION("""COMPUTED_VALUE"""),"Вакцина против коклюша, дифтерии, столбняка и гепатита В адсорбированная (Вакцина АКДС-Геп В)")</f>
        <v>Вакцина против коклюша, дифтерии, столбняка и гепатита В адсорбированная (Вакцина АКДС-Геп В)</v>
      </c>
      <c r="F131" s="8" t="str">
        <f>IFERROR(__xludf.DUMMYFUNCTION("""COMPUTED_VALUE"""),"Микроген")</f>
        <v>Микроген</v>
      </c>
      <c r="G131" s="8" t="str">
        <f>IFERROR(__xludf.DUMMYFUNCTION("""COMPUTED_VALUE"""),"in use")</f>
        <v>in use</v>
      </c>
      <c r="H131" s="9"/>
      <c r="I131" s="9"/>
      <c r="J131" s="8"/>
      <c r="K131" s="10">
        <f>IFERROR(__xludf.DUMMYFUNCTION("""COMPUTED_VALUE"""),45459.0)</f>
        <v>45459</v>
      </c>
      <c r="L131" s="10">
        <f>IFERROR(__xludf.DUMMYFUNCTION("""COMPUTED_VALUE"""),45716.0)</f>
        <v>45716</v>
      </c>
      <c r="M131" s="7" t="str">
        <f>IFERROR(__xludf.DUMMYFUNCTION("""COMPUTED_VALUE"""),"https://lk.regmed.ru/Register/GetPDFfromDAToken?Token=58f1b7dc-8dab-4377-aa9c-e3b963a41705")</f>
        <v>https://lk.regmed.ru/Register/GetPDFfromDAToken?Token=58f1b7dc-8dab-4377-aa9c-e3b963a41705</v>
      </c>
    </row>
    <row r="132">
      <c r="A132" s="6">
        <f>IFERROR(__xludf.DUMMYFUNCTION("""COMPUTED_VALUE"""),131.0)</f>
        <v>131</v>
      </c>
      <c r="B132" s="6" t="str">
        <f>IFERROR(__xludf.DUMMYFUNCTION("""COMPUTED_VALUE"""),"Rickettsia")</f>
        <v>Rickettsia</v>
      </c>
      <c r="C132" s="7" t="str">
        <f>IFERROR(__xludf.DUMMYFUNCTION("""COMPUTED_VALUE"""),"https://grls.rosminzdrav.ru/Grls_View_v2.aspx?routingGuid=e7abb5e6-5845-4837-a7b4-3b8bbb694d86")</f>
        <v>https://grls.rosminzdrav.ru/Grls_View_v2.aspx?routingGuid=e7abb5e6-5845-4837-a7b4-3b8bbb694d86</v>
      </c>
      <c r="D132" s="8" t="str">
        <f>IFERROR(__xludf.DUMMYFUNCTION("""COMPUTED_VALUE"""),"сыпнотифозная")</f>
        <v>сыпнотифозная</v>
      </c>
      <c r="E132" s="8" t="str">
        <f>IFERROR(__xludf.DUMMYFUNCTION("""COMPUTED_VALUE"""),"Вакцина Е сыпнотифозная комбинированная живая (ЖКСВ-Е)")</f>
        <v>Вакцина Е сыпнотифозная комбинированная живая (ЖКСВ-Е)</v>
      </c>
      <c r="F132" s="8" t="str">
        <f>IFERROR(__xludf.DUMMYFUNCTION("""COMPUTED_VALUE"""),"Микроген")</f>
        <v>Микроген</v>
      </c>
      <c r="G132" s="8" t="str">
        <f>IFERROR(__xludf.DUMMYFUNCTION("""COMPUTED_VALUE"""),"in use")</f>
        <v>in use</v>
      </c>
      <c r="H132" s="9"/>
      <c r="I132" s="9"/>
      <c r="J132" s="8"/>
      <c r="K132" s="10">
        <f>IFERROR(__xludf.DUMMYFUNCTION("""COMPUTED_VALUE"""),45459.0)</f>
        <v>45459</v>
      </c>
      <c r="L132" s="10">
        <f>IFERROR(__xludf.DUMMYFUNCTION("""COMPUTED_VALUE"""),45689.0)</f>
        <v>45689</v>
      </c>
      <c r="M132" s="7" t="str">
        <f>IFERROR(__xludf.DUMMYFUNCTION("""COMPUTED_VALUE"""),"https://lk.regmed.ru/Register/GetPDFfromDAToken?Token=abaeab64-440f-46c4-8436-933583d1369f")</f>
        <v>https://lk.regmed.ru/Register/GetPDFfromDAToken?Token=abaeab64-440f-46c4-8436-933583d1369f</v>
      </c>
    </row>
    <row r="133">
      <c r="A133" s="6">
        <f>IFERROR(__xludf.DUMMYFUNCTION("""COMPUTED_VALUE"""),132.0)</f>
        <v>132</v>
      </c>
      <c r="B133" s="6" t="str">
        <f>IFERROR(__xludf.DUMMYFUNCTION("""COMPUTED_VALUE"""),"OspaVir")</f>
        <v>OspaVir</v>
      </c>
      <c r="C133" s="7" t="str">
        <f>IFERROR(__xludf.DUMMYFUNCTION("""COMPUTED_VALUE"""),"https://grls.rosminzdrav.ru/Grls_View_v2.aspx?routingGuid=ac3504e5-0456-448c-9f1c-487b6658df60")</f>
        <v>https://grls.rosminzdrav.ru/Grls_View_v2.aspx?routingGuid=ac3504e5-0456-448c-9f1c-487b6658df60</v>
      </c>
      <c r="D133" s="8" t="str">
        <f>IFERROR(__xludf.DUMMYFUNCTION("""COMPUTED_VALUE"""),"ОспаВир")</f>
        <v>ОспаВир</v>
      </c>
      <c r="E133" s="8" t="str">
        <f>IFERROR(__xludf.DUMMYFUNCTION("""COMPUTED_VALUE"""),"ОспаВир® Вакцина оспенная инактивированная")</f>
        <v>ОспаВир® Вакцина оспенная инактивированная</v>
      </c>
      <c r="F133" s="8" t="str">
        <f>IFERROR(__xludf.DUMMYFUNCTION("""COMPUTED_VALUE"""),"Микроген")</f>
        <v>Микроген</v>
      </c>
      <c r="G133" s="8" t="str">
        <f>IFERROR(__xludf.DUMMYFUNCTION("""COMPUTED_VALUE"""),"in use")</f>
        <v>in use</v>
      </c>
      <c r="H133" s="9"/>
      <c r="I133" s="9"/>
      <c r="J133" s="8"/>
      <c r="K133" s="10">
        <f>IFERROR(__xludf.DUMMYFUNCTION("""COMPUTED_VALUE"""),45459.0)</f>
        <v>45459</v>
      </c>
      <c r="L133" s="10">
        <f>IFERROR(__xludf.DUMMYFUNCTION("""COMPUTED_VALUE"""),45689.0)</f>
        <v>45689</v>
      </c>
      <c r="M133" s="7" t="str">
        <f>IFERROR(__xludf.DUMMYFUNCTION("""COMPUTED_VALUE"""),"https://lk.regmed.ru/Register/GetPDFfromDAToken?Token=5038bc46-b8c9-4ef3-8fc2-5e00da6487f4")</f>
        <v>https://lk.regmed.ru/Register/GetPDFfromDAToken?Token=5038bc46-b8c9-4ef3-8fc2-5e00da6487f4</v>
      </c>
    </row>
    <row r="134">
      <c r="A134" s="6">
        <f>IFERROR(__xludf.DUMMYFUNCTION("""COMPUTED_VALUE"""),133.0)</f>
        <v>133</v>
      </c>
      <c r="B134" s="6" t="str">
        <f>IFERROR(__xludf.DUMMYFUNCTION("""COMPUTED_VALUE"""),"Gonovaccina_therapeutic")</f>
        <v>Gonovaccina_therapeutic</v>
      </c>
      <c r="C134" s="7" t="str">
        <f>IFERROR(__xludf.DUMMYFUNCTION("""COMPUTED_VALUE"""),"https://grls.rosminzdrav.ru/Grls_View_v2.aspx?routingGuid=1bbc81c1-2d8e-4e68-9b86-93278f4e989c")</f>
        <v>https://grls.rosminzdrav.ru/Grls_View_v2.aspx?routingGuid=1bbc81c1-2d8e-4e68-9b86-93278f4e989c</v>
      </c>
      <c r="D134" s="8" t="str">
        <f>IFERROR(__xludf.DUMMYFUNCTION("""COMPUTED_VALUE"""),"Гоновакцина")</f>
        <v>Гоновакцина</v>
      </c>
      <c r="E134" s="8" t="str">
        <f>IFERROR(__xludf.DUMMYFUNCTION("""COMPUTED_VALUE"""),"Вакцина гонококковая инактивированная (Гоновакцина)")</f>
        <v>Вакцина гонококковая инактивированная (Гоновакцина)</v>
      </c>
      <c r="F134" s="8" t="str">
        <f>IFERROR(__xludf.DUMMYFUNCTION("""COMPUTED_VALUE"""),"Микроген")</f>
        <v>Микроген</v>
      </c>
      <c r="G134" s="8" t="str">
        <f>IFERROR(__xludf.DUMMYFUNCTION("""COMPUTED_VALUE"""),"in use")</f>
        <v>in use</v>
      </c>
      <c r="H134" s="9"/>
      <c r="I134" s="9"/>
      <c r="J134" s="8"/>
      <c r="K134" s="10">
        <f>IFERROR(__xludf.DUMMYFUNCTION("""COMPUTED_VALUE"""),45459.0)</f>
        <v>45459</v>
      </c>
      <c r="L134" s="10">
        <f>IFERROR(__xludf.DUMMYFUNCTION("""COMPUTED_VALUE"""),45689.0)</f>
        <v>45689</v>
      </c>
      <c r="M134" s="7" t="str">
        <f>IFERROR(__xludf.DUMMYFUNCTION("""COMPUTED_VALUE"""),"https://lk.regmed.ru/Register/GetPDFfromDAToken?Token=f66b51aa-040f-4b90-9f4e-cd2805b4b2ae")</f>
        <v>https://lk.regmed.ru/Register/GetPDFfromDAToken?Token=f66b51aa-040f-4b90-9f4e-cd2805b4b2ae</v>
      </c>
    </row>
    <row r="135">
      <c r="A135" s="6">
        <f>IFERROR(__xludf.DUMMYFUNCTION("""COMPUTED_VALUE"""),134.0)</f>
        <v>134</v>
      </c>
      <c r="B135" s="6" t="str">
        <f>IFERROR(__xludf.DUMMYFUNCTION("""COMPUTED_VALUE"""),"OrtopoxVac")</f>
        <v>OrtopoxVac</v>
      </c>
      <c r="C135" s="7" t="str">
        <f>IFERROR(__xludf.DUMMYFUNCTION("""COMPUTED_VALUE"""),"https://grls.rosminzdrav.ru/Grls_View_v2.aspx?routingGuid=da624460-36a0-47be-bf46-850be407fc42")</f>
        <v>https://grls.rosminzdrav.ru/Grls_View_v2.aspx?routingGuid=da624460-36a0-47be-bf46-850be407fc42</v>
      </c>
      <c r="D135" s="8" t="str">
        <f>IFERROR(__xludf.DUMMYFUNCTION("""COMPUTED_VALUE"""),"ОртопоксВак")</f>
        <v>ОртопоксВак</v>
      </c>
      <c r="E135" s="8" t="str">
        <f>IFERROR(__xludf.DUMMYFUNCTION("""COMPUTED_VALUE"""),"ОртопоксВак Вакцина для профилактики натуральной оспы и других ортопоксвирусных инфекций на основе вируса осповакцины живая культуральная")</f>
        <v>ОртопоксВак Вакцина для профилактики натуральной оспы и других ортопоксвирусных инфекций на основе вируса осповакцины живая культуральная</v>
      </c>
      <c r="F135" s="8" t="str">
        <f>IFERROR(__xludf.DUMMYFUNCTION("""COMPUTED_VALUE"""),"Вектор")</f>
        <v>Вектор</v>
      </c>
      <c r="G135" s="8" t="str">
        <f>IFERROR(__xludf.DUMMYFUNCTION("""COMPUTED_VALUE"""),"in use")</f>
        <v>in use</v>
      </c>
      <c r="H135" s="9"/>
      <c r="I135" s="9"/>
      <c r="J135" s="8"/>
      <c r="K135" s="10">
        <f>IFERROR(__xludf.DUMMYFUNCTION("""COMPUTED_VALUE"""),45459.0)</f>
        <v>45459</v>
      </c>
      <c r="L135" s="10">
        <f>IFERROR(__xludf.DUMMYFUNCTION("""COMPUTED_VALUE"""),45689.0)</f>
        <v>45689</v>
      </c>
      <c r="M135" s="7" t="str">
        <f>IFERROR(__xludf.DUMMYFUNCTION("""COMPUTED_VALUE"""),"https://lk.regmed.ru/Register/GetPDFfromDAToken?Token=2ff88f9a-c44d-4bd1-9bf1-2e8f744c5c4d")</f>
        <v>https://lk.regmed.ru/Register/GetPDFfromDAToken?Token=2ff88f9a-c44d-4bd1-9bf1-2e8f744c5c4d</v>
      </c>
    </row>
    <row r="136">
      <c r="A136" s="6">
        <f>IFERROR(__xludf.DUMMYFUNCTION("""COMPUTED_VALUE"""),135.0)</f>
        <v>135</v>
      </c>
      <c r="B136" s="6" t="str">
        <f>IFERROR(__xludf.DUMMYFUNCTION("""COMPUTED_VALUE"""),"FlexVac")</f>
        <v>FlexVac</v>
      </c>
      <c r="C136" s="7" t="str">
        <f>IFERROR(__xludf.DUMMYFUNCTION("""COMPUTED_VALUE"""),"https://grls.rosminzdrav.ru/Grls_View_v2.aspx?routingGuid=fd2093f8-0c92-4172-bc6c-0c44d55adbfb")</f>
        <v>https://grls.rosminzdrav.ru/Grls_View_v2.aspx?routingGuid=fd2093f8-0c92-4172-bc6c-0c44d55adbfb</v>
      </c>
      <c r="D136" s="8" t="str">
        <f>IFERROR(__xludf.DUMMYFUNCTION("""COMPUTED_VALUE"""),"Флексвак")</f>
        <v>Флексвак</v>
      </c>
      <c r="E136" s="8" t="str">
        <f>IFERROR(__xludf.DUMMYFUNCTION("""COMPUTED_VALUE"""),"ФЛЕКСВАК (Вакцина дизентерийная против шигелл Флекснера липополисахаридная)")</f>
        <v>ФЛЕКСВАК (Вакцина дизентерийная против шигелл Флекснера липополисахаридная)</v>
      </c>
      <c r="F136" s="8" t="str">
        <f>IFERROR(__xludf.DUMMYFUNCTION("""COMPUTED_VALUE"""),"Гритвак")</f>
        <v>Гритвак</v>
      </c>
      <c r="G136" s="8" t="str">
        <f>IFERROR(__xludf.DUMMYFUNCTION("""COMPUTED_VALUE"""),"not in use")</f>
        <v>not in use</v>
      </c>
      <c r="H136" s="9"/>
      <c r="I136" s="9"/>
      <c r="J136" s="8"/>
      <c r="K136" s="10">
        <f>IFERROR(__xludf.DUMMYFUNCTION("""COMPUTED_VALUE"""),45459.0)</f>
        <v>45459</v>
      </c>
      <c r="L136" s="10">
        <f>IFERROR(__xludf.DUMMYFUNCTION("""COMPUTED_VALUE"""),46188.0)</f>
        <v>46188</v>
      </c>
      <c r="M136" s="8" t="str">
        <f>IFERROR(__xludf.DUMMYFUNCTION("""COMPUTED_VALUE"""),"есть")</f>
        <v>есть</v>
      </c>
    </row>
    <row r="137">
      <c r="A137" s="6">
        <f>IFERROR(__xludf.DUMMYFUNCTION("""COMPUTED_VALUE"""),136.0)</f>
        <v>136</v>
      </c>
      <c r="B137" s="6" t="str">
        <f>IFERROR(__xludf.DUMMYFUNCTION("""COMPUTED_VALUE"""),"SinSaVac")</f>
        <v>SinSaVac</v>
      </c>
      <c r="C137" s="7" t="str">
        <f>IFERROR(__xludf.DUMMYFUNCTION("""COMPUTED_VALUE"""),"https://grls.rosminzdrav.ru/Grls_View_v2.aspx?routingGuid=e79d768f-8d1c-4d6c-b0a9-78858b83791d")</f>
        <v>https://grls.rosminzdrav.ru/Grls_View_v2.aspx?routingGuid=e79d768f-8d1c-4d6c-b0a9-78858b83791d</v>
      </c>
      <c r="D137" s="8" t="str">
        <f>IFERROR(__xludf.DUMMYFUNCTION("""COMPUTED_VALUE"""),"СинСаВак")</f>
        <v>СинСаВак</v>
      </c>
      <c r="E137" s="8" t="str">
        <f>IFERROR(__xludf.DUMMYFUNCTION("""COMPUTED_VALUE"""),"СинСаВак™ (Вакцина для профилактики желтой лихорадки живая аттенуированная)")</f>
        <v>СинСаВак™ (Вакцина для профилактики желтой лихорадки живая аттенуированная)</v>
      </c>
      <c r="F137" s="8" t="str">
        <f>IFERROR(__xludf.DUMMYFUNCTION("""COMPUTED_VALUE"""),"Смартбиотех")</f>
        <v>Смартбиотех</v>
      </c>
      <c r="G137" s="8" t="str">
        <f>IFERROR(__xludf.DUMMYFUNCTION("""COMPUTED_VALUE"""),"in use")</f>
        <v>in use</v>
      </c>
      <c r="H137" s="9"/>
      <c r="I137" s="9"/>
      <c r="J137" s="8"/>
      <c r="K137" s="10">
        <f>IFERROR(__xludf.DUMMYFUNCTION("""COMPUTED_VALUE"""),45459.0)</f>
        <v>45459</v>
      </c>
      <c r="L137" s="8"/>
      <c r="M137" s="8" t="str">
        <f>IFERROR(__xludf.DUMMYFUNCTION("""COMPUTED_VALUE"""),"нет")</f>
        <v>нет</v>
      </c>
    </row>
    <row r="138">
      <c r="A138" s="6">
        <f>IFERROR(__xludf.DUMMYFUNCTION("""COMPUTED_VALUE"""),137.0)</f>
        <v>137</v>
      </c>
      <c r="B138" s="6" t="str">
        <f>IFERROR(__xludf.DUMMYFUNCTION("""COMPUTED_VALUE"""),"GamEvac_Lyo")</f>
        <v>GamEvac_Lyo</v>
      </c>
      <c r="C138" s="7" t="str">
        <f>IFERROR(__xludf.DUMMYFUNCTION("""COMPUTED_VALUE"""),"https://grls.rosminzdrav.ru/Grls_View_v2.aspx?routingGuid=a52736b8-b1ac-408c-a2c1-3fb82c941200")</f>
        <v>https://grls.rosminzdrav.ru/Grls_View_v2.aspx?routingGuid=a52736b8-b1ac-408c-a2c1-3fb82c941200</v>
      </c>
      <c r="D138" s="8" t="str">
        <f>IFERROR(__xludf.DUMMYFUNCTION("""COMPUTED_VALUE"""),"ГамЭвак-Лио")</f>
        <v>ГамЭвак-Лио</v>
      </c>
      <c r="E138" s="8" t="str">
        <f>IFERROR(__xludf.DUMMYFUNCTION("""COMPUTED_VALUE"""),"ГамЭвак-Лио комбинированная векторная вакцина против лихорадки Эбола")</f>
        <v>ГамЭвак-Лио комбинированная векторная вакцина против лихорадки Эбола</v>
      </c>
      <c r="F138" s="8" t="str">
        <f>IFERROR(__xludf.DUMMYFUNCTION("""COMPUTED_VALUE"""),"НИЦЭМ им. Н.Ф. Гамалеи")</f>
        <v>НИЦЭМ им. Н.Ф. Гамалеи</v>
      </c>
      <c r="G138" s="8" t="str">
        <f>IFERROR(__xludf.DUMMYFUNCTION("""COMPUTED_VALUE"""),"not in use")</f>
        <v>not in use</v>
      </c>
      <c r="H138" s="9"/>
      <c r="I138" s="9"/>
      <c r="J138" s="8"/>
      <c r="K138" s="10">
        <f>IFERROR(__xludf.DUMMYFUNCTION("""COMPUTED_VALUE"""),45459.0)</f>
        <v>45459</v>
      </c>
      <c r="L138" s="8"/>
      <c r="M138" s="8" t="str">
        <f>IFERROR(__xludf.DUMMYFUNCTION("""COMPUTED_VALUE"""),"нет")</f>
        <v>нет</v>
      </c>
    </row>
    <row r="139">
      <c r="A139" s="6">
        <f>IFERROR(__xludf.DUMMYFUNCTION("""COMPUTED_VALUE"""),138.0)</f>
        <v>138</v>
      </c>
      <c r="B139" s="6" t="str">
        <f>IFERROR(__xludf.DUMMYFUNCTION("""COMPUTED_VALUE"""),"EpiVacEbola")</f>
        <v>EpiVacEbola</v>
      </c>
      <c r="C139" s="7" t="str">
        <f>IFERROR(__xludf.DUMMYFUNCTION("""COMPUTED_VALUE"""),"https://grls.rosminzdrav.ru/Grls_View_v2.aspx?routingGuid=b6e70f7d-f42b-4e97-9f68-6baa0a75ffad")</f>
        <v>https://grls.rosminzdrav.ru/Grls_View_v2.aspx?routingGuid=b6e70f7d-f42b-4e97-9f68-6baa0a75ffad</v>
      </c>
      <c r="D139" s="8" t="str">
        <f>IFERROR(__xludf.DUMMYFUNCTION("""COMPUTED_VALUE"""),"ЭпиВакЭбола")</f>
        <v>ЭпиВакЭбола</v>
      </c>
      <c r="E139" s="8" t="str">
        <f>IFERROR(__xludf.DUMMYFUNCTION("""COMPUTED_VALUE"""),"Вакцина для профилактики лихорадки Эбола на основе пептидных антигенов ЭпиВакЭбола")</f>
        <v>Вакцина для профилактики лихорадки Эбола на основе пептидных антигенов ЭпиВакЭбола</v>
      </c>
      <c r="F139" s="8" t="str">
        <f>IFERROR(__xludf.DUMMYFUNCTION("""COMPUTED_VALUE"""),"Вектор")</f>
        <v>Вектор</v>
      </c>
      <c r="G139" s="8" t="str">
        <f>IFERROR(__xludf.DUMMYFUNCTION("""COMPUTED_VALUE"""),"not in use")</f>
        <v>not in use</v>
      </c>
      <c r="H139" s="9"/>
      <c r="I139" s="9"/>
      <c r="J139" s="8"/>
      <c r="K139" s="10">
        <f>IFERROR(__xludf.DUMMYFUNCTION("""COMPUTED_VALUE"""),45459.0)</f>
        <v>45459</v>
      </c>
      <c r="L139" s="8"/>
      <c r="M139" s="8" t="str">
        <f>IFERROR(__xludf.DUMMYFUNCTION("""COMPUTED_VALUE"""),"нет")</f>
        <v>нет</v>
      </c>
    </row>
    <row r="140">
      <c r="A140" s="6">
        <f>IFERROR(__xludf.DUMMYFUNCTION("""COMPUTED_VALUE"""),139.0)</f>
        <v>139</v>
      </c>
      <c r="B140" s="6" t="str">
        <f>IFERROR(__xludf.DUMMYFUNCTION("""COMPUTED_VALUE"""),"GamEvac_Combi")</f>
        <v>GamEvac_Combi</v>
      </c>
      <c r="C140" s="7" t="str">
        <f>IFERROR(__xludf.DUMMYFUNCTION("""COMPUTED_VALUE"""),"https://grls.rosminzdrav.ru/Grls_View_v2.aspx?routingGuid=9196861c-6233-45be-8241-186d3f051250")</f>
        <v>https://grls.rosminzdrav.ru/Grls_View_v2.aspx?routingGuid=9196861c-6233-45be-8241-186d3f051250</v>
      </c>
      <c r="D140" s="8" t="str">
        <f>IFERROR(__xludf.DUMMYFUNCTION("""COMPUTED_VALUE"""),"ГамЭвак-Комби")</f>
        <v>ГамЭвак-Комби</v>
      </c>
      <c r="E140" s="8" t="str">
        <f>IFERROR(__xludf.DUMMYFUNCTION("""COMPUTED_VALUE"""),"ГамЭвак-Комби Комбинированная векторная вакцина против лихорадки Эбола")</f>
        <v>ГамЭвак-Комби Комбинированная векторная вакцина против лихорадки Эбола</v>
      </c>
      <c r="F140" s="8" t="str">
        <f>IFERROR(__xludf.DUMMYFUNCTION("""COMPUTED_VALUE"""),"НИЦЭМ им. Н.Ф. Гамалеи")</f>
        <v>НИЦЭМ им. Н.Ф. Гамалеи</v>
      </c>
      <c r="G140" s="8" t="str">
        <f>IFERROR(__xludf.DUMMYFUNCTION("""COMPUTED_VALUE"""),"in use")</f>
        <v>in use</v>
      </c>
      <c r="H140" s="9"/>
      <c r="I140" s="9"/>
      <c r="J140" s="8"/>
      <c r="K140" s="10">
        <f>IFERROR(__xludf.DUMMYFUNCTION("""COMPUTED_VALUE"""),45459.0)</f>
        <v>45459</v>
      </c>
      <c r="L140" s="10">
        <f>IFERROR(__xludf.DUMMYFUNCTION("""COMPUTED_VALUE"""),46131.0)</f>
        <v>46131</v>
      </c>
      <c r="M140" s="8" t="str">
        <f>IFERROR(__xludf.DUMMYFUNCTION("""COMPUTED_VALUE"""),"есть")</f>
        <v>есть</v>
      </c>
    </row>
    <row r="141">
      <c r="A141" s="6">
        <f>IFERROR(__xludf.DUMMYFUNCTION("""COMPUTED_VALUE"""),140.0)</f>
        <v>140</v>
      </c>
      <c r="B141" s="6" t="str">
        <f>IFERROR(__xludf.DUMMYFUNCTION("""COMPUTED_VALUE"""),"GamEvac")</f>
        <v>GamEvac</v>
      </c>
      <c r="C141" s="7" t="str">
        <f>IFERROR(__xludf.DUMMYFUNCTION("""COMPUTED_VALUE"""),"https://grls.rosminzdrav.ru/Grls_View_v2.aspx?routingGuid=f1e09f65-6c2b-49ed-bd96-3ff58ef202d8")</f>
        <v>https://grls.rosminzdrav.ru/Grls_View_v2.aspx?routingGuid=f1e09f65-6c2b-49ed-bd96-3ff58ef202d8</v>
      </c>
      <c r="D141" s="8" t="str">
        <f>IFERROR(__xludf.DUMMYFUNCTION("""COMPUTED_VALUE"""),"ГамЭвак")</f>
        <v>ГамЭвак</v>
      </c>
      <c r="E141" s="8" t="str">
        <f>IFERROR(__xludf.DUMMYFUNCTION("""COMPUTED_VALUE"""),"ГамЭвак Вакцина векторная против лихорадки Эбола")</f>
        <v>ГамЭвак Вакцина векторная против лихорадки Эбола</v>
      </c>
      <c r="F141" s="8" t="str">
        <f>IFERROR(__xludf.DUMMYFUNCTION("""COMPUTED_VALUE"""),"НИЦЭМ им. Н.Ф. Гамалеи")</f>
        <v>НИЦЭМ им. Н.Ф. Гамалеи</v>
      </c>
      <c r="G141" s="8" t="str">
        <f>IFERROR(__xludf.DUMMYFUNCTION("""COMPUTED_VALUE"""),"not in use")</f>
        <v>not in use</v>
      </c>
      <c r="H141" s="9"/>
      <c r="I141" s="9"/>
      <c r="J141" s="8"/>
      <c r="K141" s="10">
        <f>IFERROR(__xludf.DUMMYFUNCTION("""COMPUTED_VALUE"""),45459.0)</f>
        <v>45459</v>
      </c>
      <c r="L141" s="8"/>
      <c r="M141" s="8" t="str">
        <f>IFERROR(__xludf.DUMMYFUNCTION("""COMPUTED_VALUE"""),"нет")</f>
        <v>нет</v>
      </c>
    </row>
    <row r="142">
      <c r="A142" s="6">
        <f>IFERROR(__xludf.DUMMYFUNCTION("""COMPUTED_VALUE"""),141.0)</f>
        <v>141</v>
      </c>
      <c r="B142" s="6" t="str">
        <f>IFERROR(__xludf.DUMMYFUNCTION("""COMPUTED_VALUE"""),"Staphylococcus_therapeutic_Biomed")</f>
        <v>Staphylococcus_therapeutic_Biomed</v>
      </c>
      <c r="C142" s="7" t="str">
        <f>IFERROR(__xludf.DUMMYFUNCTION("""COMPUTED_VALUE"""),"https://grls.rosminzdrav.ru/Grls_View_v2.aspx?routingGuid=730b8fe6-57a9-4211-85e5-684ae4ef328f")</f>
        <v>https://grls.rosminzdrav.ru/Grls_View_v2.aspx?routingGuid=730b8fe6-57a9-4211-85e5-684ae4ef328f</v>
      </c>
      <c r="D142" s="8" t="str">
        <f>IFERROR(__xludf.DUMMYFUNCTION("""COMPUTED_VALUE"""),"Антифагин стафилококковый")</f>
        <v>Антифагин стафилококковый</v>
      </c>
      <c r="E142" s="8" t="str">
        <f>IFERROR(__xludf.DUMMYFUNCTION("""COMPUTED_VALUE"""),"Вакцина стафилококковая лечебная (Антифагин стафилококковый)")</f>
        <v>Вакцина стафилококковая лечебная (Антифагин стафилококковый)</v>
      </c>
      <c r="F142" s="8" t="str">
        <f>IFERROR(__xludf.DUMMYFUNCTION("""COMPUTED_VALUE"""),"Биомед")</f>
        <v>Биомед</v>
      </c>
      <c r="G142" s="8" t="str">
        <f>IFERROR(__xludf.DUMMYFUNCTION("""COMPUTED_VALUE"""),"in use")</f>
        <v>in use</v>
      </c>
      <c r="H142" s="9"/>
      <c r="I142" s="9"/>
      <c r="J142" s="8"/>
      <c r="K142" s="10">
        <f>IFERROR(__xludf.DUMMYFUNCTION("""COMPUTED_VALUE"""),45459.0)</f>
        <v>45459</v>
      </c>
      <c r="L142" s="8"/>
      <c r="M142" s="8" t="str">
        <f>IFERROR(__xludf.DUMMYFUNCTION("""COMPUTED_VALUE"""),"нет")</f>
        <v>нет</v>
      </c>
    </row>
    <row r="143">
      <c r="A143" s="6">
        <f>IFERROR(__xludf.DUMMYFUNCTION("""COMPUTED_VALUE"""),142.0)</f>
        <v>142</v>
      </c>
      <c r="B143" s="6" t="str">
        <f>IFERROR(__xludf.DUMMYFUNCTION("""COMPUTED_VALUE"""),"Pseudovac")</f>
        <v>Pseudovac</v>
      </c>
      <c r="C143" s="7" t="str">
        <f>IFERROR(__xludf.DUMMYFUNCTION("""COMPUTED_VALUE"""),"https://grls.rosminzdrav.ru/Grls_View_v2.aspx?routingGuid=4621a0ab-0cff-40c7-afb8-63317fa41052")</f>
        <v>https://grls.rosminzdrav.ru/Grls_View_v2.aspx?routingGuid=4621a0ab-0cff-40c7-afb8-63317fa41052</v>
      </c>
      <c r="D143" s="8" t="str">
        <f>IFERROR(__xludf.DUMMYFUNCTION("""COMPUTED_VALUE"""),"Псевдовак")</f>
        <v>Псевдовак</v>
      </c>
      <c r="E143" s="8" t="str">
        <f>IFERROR(__xludf.DUMMYFUNCTION("""COMPUTED_VALUE"""),"Вакцина для профилактики синегнойной инфекции")</f>
        <v>Вакцина для профилактики синегнойной инфекции</v>
      </c>
      <c r="F143" s="8" t="str">
        <f>IFERROR(__xludf.DUMMYFUNCTION("""COMPUTED_VALUE"""),"Мединторг")</f>
        <v>Мединторг</v>
      </c>
      <c r="G143" s="8" t="str">
        <f>IFERROR(__xludf.DUMMYFUNCTION("""COMPUTED_VALUE"""),"not in use")</f>
        <v>not in use</v>
      </c>
      <c r="H143" s="9"/>
      <c r="I143" s="9"/>
      <c r="J143" s="8"/>
      <c r="K143" s="10">
        <f>IFERROR(__xludf.DUMMYFUNCTION("""COMPUTED_VALUE"""),45459.0)</f>
        <v>45459</v>
      </c>
      <c r="L143" s="8"/>
      <c r="M143" s="8" t="str">
        <f>IFERROR(__xludf.DUMMYFUNCTION("""COMPUTED_VALUE"""),"нет")</f>
        <v>нет</v>
      </c>
    </row>
    <row r="144">
      <c r="A144" s="6">
        <f>IFERROR(__xludf.DUMMYFUNCTION("""COMPUTED_VALUE"""),143.0)</f>
        <v>143</v>
      </c>
      <c r="B144" s="6" t="str">
        <f>IFERROR(__xludf.DUMMYFUNCTION("""COMPUTED_VALUE"""),"SPSA_therapeutic")</f>
        <v>SPSA_therapeutic</v>
      </c>
      <c r="C144" s="7" t="str">
        <f>IFERROR(__xludf.DUMMYFUNCTION("""COMPUTED_VALUE"""),"https://grls.rosminzdrav.ru/Grls_View_v2.aspx?routingGuid=9cf47038-4fe5-4f9a-a02a-9fbc22151700")</f>
        <v>https://grls.rosminzdrav.ru/Grls_View_v2.aspx?routingGuid=9cf47038-4fe5-4f9a-a02a-9fbc22151700</v>
      </c>
      <c r="D144" s="8" t="str">
        <f>IFERROR(__xludf.DUMMYFUNCTION("""COMPUTED_VALUE"""),"СПСА-вакцина")</f>
        <v>СПСА-вакцина</v>
      </c>
      <c r="E144" s="8" t="str">
        <f>IFERROR(__xludf.DUMMYFUNCTION("""COMPUTED_VALUE"""),"СПСА-вакцина® Вакцина стафило-протейно-синегнойная адсорбированная")</f>
        <v>СПСА-вакцина® Вакцина стафило-протейно-синегнойная адсорбированная</v>
      </c>
      <c r="F144" s="8" t="str">
        <f>IFERROR(__xludf.DUMMYFUNCTION("""COMPUTED_VALUE"""),"Микроген")</f>
        <v>Микроген</v>
      </c>
      <c r="G144" s="8" t="str">
        <f>IFERROR(__xludf.DUMMYFUNCTION("""COMPUTED_VALUE"""),"not in use")</f>
        <v>not in use</v>
      </c>
      <c r="H144" s="9"/>
      <c r="I144" s="9"/>
      <c r="J144" s="8"/>
      <c r="K144" s="10">
        <f>IFERROR(__xludf.DUMMYFUNCTION("""COMPUTED_VALUE"""),45459.0)</f>
        <v>45459</v>
      </c>
      <c r="L144" s="10">
        <f>IFERROR(__xludf.DUMMYFUNCTION("""COMPUTED_VALUE"""),45717.0)</f>
        <v>45717</v>
      </c>
      <c r="M144" s="8" t="str">
        <f>IFERROR(__xludf.DUMMYFUNCTION("""COMPUTED_VALUE"""),"нет")</f>
        <v>нет</v>
      </c>
    </row>
    <row r="145">
      <c r="A145" s="6">
        <f>IFERROR(__xludf.DUMMYFUNCTION("""COMPUTED_VALUE"""),144.0)</f>
        <v>144</v>
      </c>
      <c r="B145" s="6" t="str">
        <f>IFERROR(__xludf.DUMMYFUNCTION("""COMPUTED_VALUE"""),"HepB_Serum_India_0_5")</f>
        <v>HepB_Serum_India_0_5</v>
      </c>
      <c r="C145" s="7" t="str">
        <f>IFERROR(__xludf.DUMMYFUNCTION("""COMPUTED_VALUE"""),"https://grls.rosminzdrav.ru/Grls_View_v2.aspx?routingGuid=0fcbffbf-d247-4aa3-a4df-cccf3af59785")</f>
        <v>https://grls.rosminzdrav.ru/Grls_View_v2.aspx?routingGuid=0fcbffbf-d247-4aa3-a4df-cccf3af59785</v>
      </c>
      <c r="D145" s="8" t="str">
        <f>IFERROR(__xludf.DUMMYFUNCTION("""COMPUTED_VALUE"""),"гепатита B (Серум Инститьют) детская")</f>
        <v>гепатита B (Серум Инститьют) детская</v>
      </c>
      <c r="E145" s="8" t="str">
        <f>IFERROR(__xludf.DUMMYFUNCTION("""COMPUTED_VALUE"""),"Вакцина гепатита В рекомбинантная (рДНК)")</f>
        <v>Вакцина гепатита В рекомбинантная (рДНК)</v>
      </c>
      <c r="F145" s="8" t="str">
        <f>IFERROR(__xludf.DUMMYFUNCTION("""COMPUTED_VALUE"""),"Серум Инститьют")</f>
        <v>Серум Инститьют</v>
      </c>
      <c r="G145" s="8" t="str">
        <f>IFERROR(__xludf.DUMMYFUNCTION("""COMPUTED_VALUE"""),"not in use")</f>
        <v>not in use</v>
      </c>
      <c r="H145" s="9"/>
      <c r="I145" s="9"/>
      <c r="J145" s="8"/>
      <c r="K145" s="10">
        <f>IFERROR(__xludf.DUMMYFUNCTION("""COMPUTED_VALUE"""),45459.0)</f>
        <v>45459</v>
      </c>
      <c r="L145" s="10">
        <f>IFERROR(__xludf.DUMMYFUNCTION("""COMPUTED_VALUE"""),46053.0)</f>
        <v>46053</v>
      </c>
      <c r="M145" s="8" t="str">
        <f>IFERROR(__xludf.DUMMYFUNCTION("""COMPUTED_VALUE"""),"есть")</f>
        <v>есть</v>
      </c>
    </row>
    <row r="146">
      <c r="A146" s="6">
        <f>IFERROR(__xludf.DUMMYFUNCTION("""COMPUTED_VALUE"""),145.0)</f>
        <v>145</v>
      </c>
      <c r="B146" s="6" t="str">
        <f>IFERROR(__xludf.DUMMYFUNCTION("""COMPUTED_VALUE"""),"Polio_1_2_3")</f>
        <v>Polio_1_2_3</v>
      </c>
      <c r="C146" s="7" t="str">
        <f>IFERROR(__xludf.DUMMYFUNCTION("""COMPUTED_VALUE"""),"https://grls.rosminzdrav.ru/Grls_View_v2.aspx?routingGuid=099f97bf-1bee-4113-b6ba-1b81cb507783")</f>
        <v>https://grls.rosminzdrav.ru/Grls_View_v2.aspx?routingGuid=099f97bf-1bee-4113-b6ba-1b81cb507783</v>
      </c>
      <c r="D146" s="8" t="str">
        <f>IFERROR(__xludf.DUMMYFUNCTION("""COMPUTED_VALUE"""),"полиомиелитная 1, 2, 3 типов")</f>
        <v>полиомиелитная 1, 2, 3 типов</v>
      </c>
      <c r="E146" s="8" t="str">
        <f>IFERROR(__xludf.DUMMYFUNCTION("""COMPUTED_VALUE"""),"Вакцина полиомиелитная пероральная 1, 2, 3 типов")</f>
        <v>Вакцина полиомиелитная пероральная 1, 2, 3 типов</v>
      </c>
      <c r="F146" s="8" t="str">
        <f>IFERROR(__xludf.DUMMYFUNCTION("""COMPUTED_VALUE"""),"ФГАНУ ""ФНЦИРИП им. М.П. Чумакова РАН")</f>
        <v>ФГАНУ "ФНЦИРИП им. М.П. Чумакова РАН</v>
      </c>
      <c r="G146" s="8" t="str">
        <f>IFERROR(__xludf.DUMMYFUNCTION("""COMPUTED_VALUE"""),"not in use")</f>
        <v>not in use</v>
      </c>
      <c r="H146" s="9"/>
      <c r="I146" s="9"/>
      <c r="J146" s="8"/>
      <c r="K146" s="10">
        <f>IFERROR(__xludf.DUMMYFUNCTION("""COMPUTED_VALUE"""),45459.0)</f>
        <v>45459</v>
      </c>
      <c r="L146" s="8"/>
      <c r="M146" s="8" t="str">
        <f>IFERROR(__xludf.DUMMYFUNCTION("""COMPUTED_VALUE"""),"нет")</f>
        <v>нет</v>
      </c>
    </row>
    <row r="147">
      <c r="A147" s="6">
        <f>IFERROR(__xludf.DUMMYFUNCTION("""COMPUTED_VALUE"""),146.0)</f>
        <v>146</v>
      </c>
      <c r="B147" s="6" t="str">
        <f>IFERROR(__xludf.DUMMYFUNCTION("""COMPUTED_VALUE"""),"TEOVac_chew_tablets")</f>
        <v>TEOVac_chew_tablets</v>
      </c>
      <c r="C147" s="7" t="str">
        <f>IFERROR(__xludf.DUMMYFUNCTION("""COMPUTED_VALUE"""),"https://grls.rosminzdrav.ru/Grls_View_v2.aspx?routingGuid=440474e0-65a8-4b60-8c7b-12ac8d70b4a3")</f>
        <v>https://grls.rosminzdrav.ru/Grls_View_v2.aspx?routingGuid=440474e0-65a8-4b60-8c7b-12ac8d70b4a3</v>
      </c>
      <c r="D147" s="8" t="str">
        <f>IFERROR(__xludf.DUMMYFUNCTION("""COMPUTED_VALUE"""),"ТЭОВак (таблетки жевательные)")</f>
        <v>ТЭОВак (таблетки жевательные)</v>
      </c>
      <c r="E147" s="8" t="str">
        <f>IFERROR(__xludf.DUMMYFUNCTION("""COMPUTED_VALUE"""),"ТЭОВак (вакцина оспенная эмбриональная живая)")</f>
        <v>ТЭОВак (вакцина оспенная эмбриональная живая)</v>
      </c>
      <c r="F147" s="8" t="str">
        <f>IFERROR(__xludf.DUMMYFUNCTION("""COMPUTED_VALUE"""),"ФГБУ 48 ЦНИИ МО РФ")</f>
        <v>ФГБУ 48 ЦНИИ МО РФ</v>
      </c>
      <c r="G147" s="8" t="str">
        <f>IFERROR(__xludf.DUMMYFUNCTION("""COMPUTED_VALUE"""),"in use")</f>
        <v>in use</v>
      </c>
      <c r="H147" s="9"/>
      <c r="I147" s="9"/>
      <c r="J147" s="8"/>
      <c r="K147" s="10">
        <f>IFERROR(__xludf.DUMMYFUNCTION("""COMPUTED_VALUE"""),45459.0)</f>
        <v>45459</v>
      </c>
      <c r="L147" s="8"/>
      <c r="M147" s="8" t="str">
        <f>IFERROR(__xludf.DUMMYFUNCTION("""COMPUTED_VALUE"""),"нет")</f>
        <v>нет</v>
      </c>
    </row>
    <row r="148">
      <c r="A148" s="6">
        <f>IFERROR(__xludf.DUMMYFUNCTION("""COMPUTED_VALUE"""),147.0)</f>
        <v>147</v>
      </c>
      <c r="B148" s="6" t="str">
        <f>IFERROR(__xludf.DUMMYFUNCTION("""COMPUTED_VALUE"""),"TEOVac_tablets")</f>
        <v>TEOVac_tablets</v>
      </c>
      <c r="C148" s="7" t="str">
        <f>IFERROR(__xludf.DUMMYFUNCTION("""COMPUTED_VALUE"""),"https://grls.rosminzdrav.ru/Grls_View_v2.aspx?routingGuid=6315b2da-7738-4b6c-adb5-4d2afbfd6dcb")</f>
        <v>https://grls.rosminzdrav.ru/Grls_View_v2.aspx?routingGuid=6315b2da-7738-4b6c-adb5-4d2afbfd6dcb</v>
      </c>
      <c r="D148" s="8" t="str">
        <f>IFERROR(__xludf.DUMMYFUNCTION("""COMPUTED_VALUE"""),"ТЭОВак (таблетки п/о)")</f>
        <v>ТЭОВак (таблетки п/о)</v>
      </c>
      <c r="E148" s="8" t="str">
        <f>IFERROR(__xludf.DUMMYFUNCTION("""COMPUTED_VALUE"""),"Вакцина для профилактики оспы")</f>
        <v>Вакцина для профилактики оспы</v>
      </c>
      <c r="F148" s="8" t="str">
        <f>IFERROR(__xludf.DUMMYFUNCTION("""COMPUTED_VALUE"""),"ФГБУ 48 ЦНИИ МО РФ")</f>
        <v>ФГБУ 48 ЦНИИ МО РФ</v>
      </c>
      <c r="G148" s="8" t="str">
        <f>IFERROR(__xludf.DUMMYFUNCTION("""COMPUTED_VALUE"""),"in use")</f>
        <v>in use</v>
      </c>
      <c r="H148" s="9"/>
      <c r="I148" s="9"/>
      <c r="J148" s="8"/>
      <c r="K148" s="10">
        <f>IFERROR(__xludf.DUMMYFUNCTION("""COMPUTED_VALUE"""),45459.0)</f>
        <v>45459</v>
      </c>
      <c r="L148" s="8"/>
      <c r="M148" s="8" t="str">
        <f>IFERROR(__xludf.DUMMYFUNCTION("""COMPUTED_VALUE"""),"нет")</f>
        <v>нет</v>
      </c>
    </row>
    <row r="149">
      <c r="A149" s="6">
        <f>IFERROR(__xludf.DUMMYFUNCTION("""COMPUTED_VALUE"""),148.0)</f>
        <v>148</v>
      </c>
      <c r="B149" s="6" t="str">
        <f>IFERROR(__xludf.DUMMYFUNCTION("""COMPUTED_VALUE"""),"Uro_BCG_therapeutic")</f>
        <v>Uro_BCG_therapeutic</v>
      </c>
      <c r="C149" s="7" t="str">
        <f>IFERROR(__xludf.DUMMYFUNCTION("""COMPUTED_VALUE"""),"https://grls.rosminzdrav.ru/Grls_View_v2.aspx?routingGuid=5e6f4da3-3813-4f0a-a8b6-7abc41c4b3de")</f>
        <v>https://grls.rosminzdrav.ru/Grls_View_v2.aspx?routingGuid=5e6f4da3-3813-4f0a-a8b6-7abc41c4b3de</v>
      </c>
      <c r="D149" s="8" t="str">
        <f>IFERROR(__xludf.DUMMYFUNCTION("""COMPUTED_VALUE"""),"Уро-БЦЖ медак")</f>
        <v>Уро-БЦЖ медак</v>
      </c>
      <c r="E149" s="8" t="str">
        <f>IFERROR(__xludf.DUMMYFUNCTION("""COMPUTED_VALUE"""),"Вакцина для лечения рака мочевого пузыря БЦЖ")</f>
        <v>Вакцина для лечения рака мочевого пузыря БЦЖ</v>
      </c>
      <c r="F149" s="8" t="str">
        <f>IFERROR(__xludf.DUMMYFUNCTION("""COMPUTED_VALUE"""),"Медак")</f>
        <v>Медак</v>
      </c>
      <c r="G149" s="8" t="str">
        <f>IFERROR(__xludf.DUMMYFUNCTION("""COMPUTED_VALUE"""),"not in use")</f>
        <v>not in use</v>
      </c>
      <c r="H149" s="9"/>
      <c r="I149" s="9"/>
      <c r="J149" s="8"/>
      <c r="K149" s="10">
        <f>IFERROR(__xludf.DUMMYFUNCTION("""COMPUTED_VALUE"""),45459.0)</f>
        <v>45459</v>
      </c>
      <c r="L149" s="8"/>
      <c r="M149" s="8" t="str">
        <f>IFERROR(__xludf.DUMMYFUNCTION("""COMPUTED_VALUE"""),"нет")</f>
        <v>нет</v>
      </c>
    </row>
    <row r="150">
      <c r="A150" s="6">
        <f>IFERROR(__xludf.DUMMYFUNCTION("""COMPUTED_VALUE"""),149.0)</f>
        <v>149</v>
      </c>
      <c r="B150" s="6" t="str">
        <f>IFERROR(__xludf.DUMMYFUNCTION("""COMPUTED_VALUE"""),"Flu_Microgen")</f>
        <v>Flu_Microgen</v>
      </c>
      <c r="C150" s="7" t="str">
        <f>IFERROR(__xludf.DUMMYFUNCTION("""COMPUTED_VALUE"""),"https://grls.rosminzdrav.ru/Grls_View_v2.aspx?routingGuid=46a21252-b40d-407d-9129-d078a310a5b2")</f>
        <v>https://grls.rosminzdrav.ru/Grls_View_v2.aspx?routingGuid=46a21252-b40d-407d-9129-d078a310a5b2</v>
      </c>
      <c r="D150" s="8" t="str">
        <f>IFERROR(__xludf.DUMMYFUNCTION("""COMPUTED_VALUE"""),"гриппозная (Микроген)")</f>
        <v>гриппозная (Микроген)</v>
      </c>
      <c r="E150" s="8" t="str">
        <f>IFERROR(__xludf.DUMMYFUNCTION("""COMPUTED_VALUE"""),"Вакцина гриппозная инактивированная элюатно-центрифужная жидкая (Вакцина гриппозная)")</f>
        <v>Вакцина гриппозная инактивированная элюатно-центрифужная жидкая (Вакцина гриппозная)</v>
      </c>
      <c r="F150" s="8" t="str">
        <f>IFERROR(__xludf.DUMMYFUNCTION("""COMPUTED_VALUE"""),"Микроген")</f>
        <v>Микроген</v>
      </c>
      <c r="G150" s="8" t="str">
        <f>IFERROR(__xludf.DUMMYFUNCTION("""COMPUTED_VALUE"""),"not in use")</f>
        <v>not in use</v>
      </c>
      <c r="H150" s="9"/>
      <c r="I150" s="9"/>
      <c r="J150" s="8"/>
      <c r="K150" s="10">
        <f>IFERROR(__xludf.DUMMYFUNCTION("""COMPUTED_VALUE"""),45459.0)</f>
        <v>45459</v>
      </c>
      <c r="L150" s="8"/>
      <c r="M150" s="8" t="str">
        <f>IFERROR(__xludf.DUMMYFUNCTION("""COMPUTED_VALUE"""),"нет")</f>
        <v>нет</v>
      </c>
    </row>
    <row r="151">
      <c r="A151" s="6">
        <f>IFERROR(__xludf.DUMMYFUNCTION("""COMPUTED_VALUE"""),150.0)</f>
        <v>150</v>
      </c>
      <c r="B151" s="6" t="str">
        <f>IFERROR(__xludf.DUMMYFUNCTION("""COMPUTED_VALUE"""),"MonoGrippol_plus")</f>
        <v>MonoGrippol_plus</v>
      </c>
      <c r="C151" s="7" t="str">
        <f>IFERROR(__xludf.DUMMYFUNCTION("""COMPUTED_VALUE"""),"https://grls.rosminzdrav.ru/Grls_View_v2.aspx?routingGuid=ffbbd41c-3c7f-4e9c-a670-58300ad5f281")</f>
        <v>https://grls.rosminzdrav.ru/Grls_View_v2.aspx?routingGuid=ffbbd41c-3c7f-4e9c-a670-58300ad5f281</v>
      </c>
      <c r="D151" s="8" t="str">
        <f>IFERROR(__xludf.DUMMYFUNCTION("""COMPUTED_VALUE"""),"МоноГриппол плюс")</f>
        <v>МоноГриппол плюс</v>
      </c>
      <c r="E151" s="8" t="str">
        <f>IFERROR(__xludf.DUMMYFUNCTION("""COMPUTED_VALUE"""),"МоноГриппол плюс (Вакцина гриппозная моновалентная инактивированная субъединичная адъювантная)")</f>
        <v>МоноГриппол плюс (Вакцина гриппозная моновалентная инактивированная субъединичная адъювантная)</v>
      </c>
      <c r="F151" s="8" t="str">
        <f>IFERROR(__xludf.DUMMYFUNCTION("""COMPUTED_VALUE"""),"Петровакс")</f>
        <v>Петровакс</v>
      </c>
      <c r="G151" s="8" t="str">
        <f>IFERROR(__xludf.DUMMYFUNCTION("""COMPUTED_VALUE"""),"not in use")</f>
        <v>not in use</v>
      </c>
      <c r="H151" s="9"/>
      <c r="I151" s="9"/>
      <c r="J151" s="8"/>
      <c r="K151" s="10">
        <f>IFERROR(__xludf.DUMMYFUNCTION("""COMPUTED_VALUE"""),45459.0)</f>
        <v>45459</v>
      </c>
      <c r="L151" s="8"/>
      <c r="M151" s="8" t="str">
        <f>IFERROR(__xludf.DUMMYFUNCTION("""COMPUTED_VALUE"""),"нет")</f>
        <v>нет</v>
      </c>
    </row>
    <row r="152">
      <c r="A152" s="6">
        <f>IFERROR(__xludf.DUMMYFUNCTION("""COMPUTED_VALUE"""),151.0)</f>
        <v>151</v>
      </c>
      <c r="B152" s="6" t="str">
        <f>IFERROR(__xludf.DUMMYFUNCTION("""COMPUTED_VALUE"""),"MonoGrippol_Neo")</f>
        <v>MonoGrippol_Neo</v>
      </c>
      <c r="C152" s="7" t="str">
        <f>IFERROR(__xludf.DUMMYFUNCTION("""COMPUTED_VALUE"""),"https://grls.rosminzdrav.ru/Grls_View_v2.aspx?routingGuid=bb793945-6dfc-41a3-a8da-fdd3605314ef")</f>
        <v>https://grls.rosminzdrav.ru/Grls_View_v2.aspx?routingGuid=bb793945-6dfc-41a3-a8da-fdd3605314ef</v>
      </c>
      <c r="D152" s="8" t="str">
        <f>IFERROR(__xludf.DUMMYFUNCTION("""COMPUTED_VALUE"""),"МоноГриппол Нео")</f>
        <v>МоноГриппол Нео</v>
      </c>
      <c r="E152" s="8" t="str">
        <f>IFERROR(__xludf.DUMMYFUNCTION("""COMPUTED_VALUE"""),"МоноГриппол Нео (Вакцина гриппозная моновалентная инактивированная субъединичная адъювантная)")</f>
        <v>МоноГриппол Нео (Вакцина гриппозная моновалентная инактивированная субъединичная адъювантная)</v>
      </c>
      <c r="F152" s="8" t="str">
        <f>IFERROR(__xludf.DUMMYFUNCTION("""COMPUTED_VALUE"""),"Петровакс")</f>
        <v>Петровакс</v>
      </c>
      <c r="G152" s="8" t="str">
        <f>IFERROR(__xludf.DUMMYFUNCTION("""COMPUTED_VALUE"""),"not in use")</f>
        <v>not in use</v>
      </c>
      <c r="H152" s="9"/>
      <c r="I152" s="9"/>
      <c r="J152" s="8"/>
      <c r="K152" s="10">
        <f>IFERROR(__xludf.DUMMYFUNCTION("""COMPUTED_VALUE"""),45459.0)</f>
        <v>45459</v>
      </c>
      <c r="L152" s="8"/>
      <c r="M152" s="8" t="str">
        <f>IFERROR(__xludf.DUMMYFUNCTION("""COMPUTED_VALUE"""),"нет")</f>
        <v>нет</v>
      </c>
    </row>
    <row r="153">
      <c r="A153" s="6">
        <f>IFERROR(__xludf.DUMMYFUNCTION("""COMPUTED_VALUE"""),152.0)</f>
        <v>152</v>
      </c>
      <c r="B153" s="6" t="str">
        <f>IFERROR(__xludf.DUMMYFUNCTION("""COMPUTED_VALUE"""),"MonoGrippol")</f>
        <v>MonoGrippol</v>
      </c>
      <c r="C153" s="7" t="str">
        <f>IFERROR(__xludf.DUMMYFUNCTION("""COMPUTED_VALUE"""),"https://grls.rosminzdrav.ru/Grls_View_v2.aspx?routingGuid=633cdfdd-34a7-4e62-939f-d39c64bb2c24")</f>
        <v>https://grls.rosminzdrav.ru/Grls_View_v2.aspx?routingGuid=633cdfdd-34a7-4e62-939f-d39c64bb2c24</v>
      </c>
      <c r="D153" s="8" t="str">
        <f>IFERROR(__xludf.DUMMYFUNCTION("""COMPUTED_VALUE"""),"МоноГриппол")</f>
        <v>МоноГриппол</v>
      </c>
      <c r="E153" s="8" t="str">
        <f>IFERROR(__xludf.DUMMYFUNCTION("""COMPUTED_VALUE"""),"МоноГриппол (Вакцина гриппозная моновалентная инактивированная субъединичная адьювантная)")</f>
        <v>МоноГриппол (Вакцина гриппозная моновалентная инактивированная субъединичная адьювантная)</v>
      </c>
      <c r="F153" s="8" t="str">
        <f>IFERROR(__xludf.DUMMYFUNCTION("""COMPUTED_VALUE"""),"Петровакс")</f>
        <v>Петровакс</v>
      </c>
      <c r="G153" s="8" t="str">
        <f>IFERROR(__xludf.DUMMYFUNCTION("""COMPUTED_VALUE"""),"not in use")</f>
        <v>not in use</v>
      </c>
      <c r="H153" s="9"/>
      <c r="I153" s="9"/>
      <c r="J153" s="8"/>
      <c r="K153" s="10">
        <f>IFERROR(__xludf.DUMMYFUNCTION("""COMPUTED_VALUE"""),45459.0)</f>
        <v>45459</v>
      </c>
      <c r="L153" s="8"/>
      <c r="M153" s="8" t="str">
        <f>IFERROR(__xludf.DUMMYFUNCTION("""COMPUTED_VALUE"""),"нет")</f>
        <v>нет</v>
      </c>
    </row>
    <row r="154">
      <c r="A154" s="6">
        <f>IFERROR(__xludf.DUMMYFUNCTION("""COMPUTED_VALUE"""),153.0)</f>
        <v>153</v>
      </c>
      <c r="B154" s="6" t="str">
        <f>IFERROR(__xludf.DUMMYFUNCTION("""COMPUTED_VALUE"""),"Influvir")</f>
        <v>Influvir</v>
      </c>
      <c r="C154" s="7" t="str">
        <f>IFERROR(__xludf.DUMMYFUNCTION("""COMPUTED_VALUE"""),"https://grls.rosminzdrav.ru/Grls_View_v2.aspx?routingGuid=0ba24732-9dc8-464f-9334-1656fb2a15d4")</f>
        <v>https://grls.rosminzdrav.ru/Grls_View_v2.aspx?routingGuid=0ba24732-9dc8-464f-9334-1656fb2a15d4</v>
      </c>
      <c r="D154" s="8" t="str">
        <f>IFERROR(__xludf.DUMMYFUNCTION("""COMPUTED_VALUE"""),"Инфлювир")</f>
        <v>Инфлювир</v>
      </c>
      <c r="E154" s="8" t="str">
        <f>IFERROR(__xludf.DUMMYFUNCTION("""COMPUTED_VALUE"""),"ИНФЛЮВИР Вакцина гриппозная живая моновалентная")</f>
        <v>ИНФЛЮВИР Вакцина гриппозная живая моновалентная</v>
      </c>
      <c r="F154" s="8" t="str">
        <f>IFERROR(__xludf.DUMMYFUNCTION("""COMPUTED_VALUE"""),"Микроген")</f>
        <v>Микроген</v>
      </c>
      <c r="G154" s="8" t="str">
        <f>IFERROR(__xludf.DUMMYFUNCTION("""COMPUTED_VALUE"""),"in use")</f>
        <v>in use</v>
      </c>
      <c r="H154" s="9"/>
      <c r="I154" s="9"/>
      <c r="J154" s="8"/>
      <c r="K154" s="10">
        <f>IFERROR(__xludf.DUMMYFUNCTION("""COMPUTED_VALUE"""),45459.0)</f>
        <v>45459</v>
      </c>
      <c r="L154" s="10">
        <f>IFERROR(__xludf.DUMMYFUNCTION("""COMPUTED_VALUE"""),45717.0)</f>
        <v>45717</v>
      </c>
      <c r="M154" s="7" t="str">
        <f>IFERROR(__xludf.DUMMYFUNCTION("""COMPUTED_VALUE"""),"https://lk.regmed.ru/Register/GetPDFfromDAToken?Token=f106fac2-b184-4b96-ad68-6ac1fd1325da")</f>
        <v>https://lk.regmed.ru/Register/GetPDFfromDAToken?Token=f106fac2-b184-4b96-ad68-6ac1fd1325da</v>
      </c>
    </row>
    <row r="155">
      <c r="A155" s="6">
        <f>IFERROR(__xludf.DUMMYFUNCTION("""COMPUTED_VALUE"""),154.0)</f>
        <v>154</v>
      </c>
      <c r="B155" s="6" t="str">
        <f>IFERROR(__xludf.DUMMYFUNCTION("""COMPUTED_VALUE"""),"Pandeflu")</f>
        <v>Pandeflu</v>
      </c>
      <c r="C155" s="7" t="str">
        <f>IFERROR(__xludf.DUMMYFUNCTION("""COMPUTED_VALUE"""),"https://grls.rosminzdrav.ru/Grls_View_v2.aspx?routingGuid=e99e15ff-e349-466b-96fc-4a1c427ba9a8")</f>
        <v>https://grls.rosminzdrav.ru/Grls_View_v2.aspx?routingGuid=e99e15ff-e349-466b-96fc-4a1c427ba9a8</v>
      </c>
      <c r="D155" s="8" t="str">
        <f>IFERROR(__xludf.DUMMYFUNCTION("""COMPUTED_VALUE"""),"Пандефлю")</f>
        <v>Пандефлю</v>
      </c>
      <c r="E155" s="8" t="str">
        <f>IFERROR(__xludf.DUMMYFUNCTION("""COMPUTED_VALUE"""),"ПАНДЕФЛЮ Вакцина гриппозная инактивированная субъединичная адсорбированная моновалентная")</f>
        <v>ПАНДЕФЛЮ Вакцина гриппозная инактивированная субъединичная адсорбированная моновалентная</v>
      </c>
      <c r="F155" s="8" t="str">
        <f>IFERROR(__xludf.DUMMYFUNCTION("""COMPUTED_VALUE"""),"Микроген")</f>
        <v>Микроген</v>
      </c>
      <c r="G155" s="8" t="str">
        <f>IFERROR(__xludf.DUMMYFUNCTION("""COMPUTED_VALUE"""),"in use")</f>
        <v>in use</v>
      </c>
      <c r="H155" s="9"/>
      <c r="I155" s="9"/>
      <c r="J155" s="8"/>
      <c r="K155" s="10">
        <f>IFERROR(__xludf.DUMMYFUNCTION("""COMPUTED_VALUE"""),45459.0)</f>
        <v>45459</v>
      </c>
      <c r="L155" s="10">
        <f>IFERROR(__xludf.DUMMYFUNCTION("""COMPUTED_VALUE"""),45750.0)</f>
        <v>45750</v>
      </c>
      <c r="M155" s="7" t="str">
        <f>IFERROR(__xludf.DUMMYFUNCTION("""COMPUTED_VALUE"""),"https://lk.regmed.ru/Register/GetPDFfromDAToken?Token=ee5a28a1-b369-4606-bd0e-32a3981091d3")</f>
        <v>https://lk.regmed.ru/Register/GetPDFfromDAToken?Token=ee5a28a1-b369-4606-bd0e-32a3981091d3</v>
      </c>
    </row>
    <row r="156">
      <c r="A156" s="6">
        <f>IFERROR(__xludf.DUMMYFUNCTION("""COMPUTED_VALUE"""),155.0)</f>
        <v>155</v>
      </c>
      <c r="B156" s="6" t="str">
        <f>IFERROR(__xludf.DUMMYFUNCTION("""COMPUTED_VALUE"""),"Grippol_Neo")</f>
        <v>Grippol_Neo</v>
      </c>
      <c r="C156" s="7" t="str">
        <f>IFERROR(__xludf.DUMMYFUNCTION("""COMPUTED_VALUE"""),"https://grls.rosminzdrav.ru/Grls_View_v2.aspx?routingGuid=76a79bba-d7c4-42d4-8469-ef532bed36f7")</f>
        <v>https://grls.rosminzdrav.ru/Grls_View_v2.aspx?routingGuid=76a79bba-d7c4-42d4-8469-ef532bed36f7</v>
      </c>
      <c r="D156" s="8" t="str">
        <f>IFERROR(__xludf.DUMMYFUNCTION("""COMPUTED_VALUE"""),"Гриппол Нео")</f>
        <v>Гриппол Нео</v>
      </c>
      <c r="E156" s="8" t="str">
        <f>IFERROR(__xludf.DUMMYFUNCTION("""COMPUTED_VALUE"""),"Гриппол® Нео [Вакцина гриппозная тривалентная инактивированная субъединичная адъювантная]")</f>
        <v>Гриппол® Нео [Вакцина гриппозная тривалентная инактивированная субъединичная адъювантная]</v>
      </c>
      <c r="F156" s="8" t="str">
        <f>IFERROR(__xludf.DUMMYFUNCTION("""COMPUTED_VALUE"""),"Петровакс")</f>
        <v>Петровакс</v>
      </c>
      <c r="G156" s="8" t="str">
        <f>IFERROR(__xludf.DUMMYFUNCTION("""COMPUTED_VALUE"""),"not in use")</f>
        <v>not in use</v>
      </c>
      <c r="H156" s="9"/>
      <c r="I156" s="9"/>
      <c r="J156" s="8"/>
      <c r="K156" s="10">
        <f>IFERROR(__xludf.DUMMYFUNCTION("""COMPUTED_VALUE"""),45459.0)</f>
        <v>45459</v>
      </c>
      <c r="L156" s="8"/>
      <c r="M156" s="8" t="str">
        <f>IFERROR(__xludf.DUMMYFUNCTION("""COMPUTED_VALUE"""),"нет")</f>
        <v>нет</v>
      </c>
    </row>
    <row r="157">
      <c r="A157" s="6">
        <f>IFERROR(__xludf.DUMMYFUNCTION("""COMPUTED_VALUE"""),156.0)</f>
        <v>156</v>
      </c>
      <c r="B157" s="6" t="str">
        <f>IFERROR(__xludf.DUMMYFUNCTION("""COMPUTED_VALUE"""),"Ultravac")</f>
        <v>Ultravac</v>
      </c>
      <c r="C157" s="7" t="str">
        <f>IFERROR(__xludf.DUMMYFUNCTION("""COMPUTED_VALUE"""),"https://grls.rosminzdrav.ru/Grls_View_v2.aspx?routingGuid=d3714db8-cea4-461c-839c-1840024120c8")</f>
        <v>https://grls.rosminzdrav.ru/Grls_View_v2.aspx?routingGuid=d3714db8-cea4-461c-839c-1840024120c8</v>
      </c>
      <c r="D157" s="8" t="str">
        <f>IFERROR(__xludf.DUMMYFUNCTION("""COMPUTED_VALUE"""),"Ультравак")</f>
        <v>Ультравак</v>
      </c>
      <c r="E157" s="8" t="str">
        <f>IFERROR(__xludf.DUMMYFUNCTION("""COMPUTED_VALUE"""),"Ультравак® Вакцина гриппозная аллантоисная живая")</f>
        <v>Ультравак® Вакцина гриппозная аллантоисная живая</v>
      </c>
      <c r="F157" s="8" t="str">
        <f>IFERROR(__xludf.DUMMYFUNCTION("""COMPUTED_VALUE"""),"Микроген")</f>
        <v>Микроген</v>
      </c>
      <c r="G157" s="8" t="str">
        <f>IFERROR(__xludf.DUMMYFUNCTION("""COMPUTED_VALUE"""),"in use")</f>
        <v>in use</v>
      </c>
      <c r="H157" s="9"/>
      <c r="I157" s="9"/>
      <c r="J157" s="8"/>
      <c r="K157" s="10">
        <f>IFERROR(__xludf.DUMMYFUNCTION("""COMPUTED_VALUE"""),45459.0)</f>
        <v>45459</v>
      </c>
      <c r="L157" s="10">
        <f>IFERROR(__xludf.DUMMYFUNCTION("""COMPUTED_VALUE"""),45689.0)</f>
        <v>45689</v>
      </c>
      <c r="M157" s="7" t="str">
        <f>IFERROR(__xludf.DUMMYFUNCTION("""COMPUTED_VALUE"""),"https://lk.regmed.ru/Register/GetPDFfromDAToken?Token=52d43d70-7935-4398-9317-cc070e49481e")</f>
        <v>https://lk.regmed.ru/Register/GetPDFfromDAToken?Token=52d43d70-7935-4398-9317-cc070e49481e</v>
      </c>
    </row>
    <row r="158">
      <c r="A158" s="6">
        <f>IFERROR(__xludf.DUMMYFUNCTION("""COMPUTED_VALUE"""),157.0)</f>
        <v>157</v>
      </c>
      <c r="B158" s="6" t="str">
        <f>IFERROR(__xludf.DUMMYFUNCTION("""COMPUTED_VALUE"""),"Fluvaccin")</f>
        <v>Fluvaccin</v>
      </c>
      <c r="C158" s="7" t="str">
        <f>IFERROR(__xludf.DUMMYFUNCTION("""COMPUTED_VALUE"""),"https://grls.rosminzdrav.ru/Grls_View_v2.aspx?routingGuid=374366a8-e413-438e-a33f-8f627a5db513")</f>
        <v>https://grls.rosminzdrav.ru/Grls_View_v2.aspx?routingGuid=374366a8-e413-438e-a33f-8f627a5db513</v>
      </c>
      <c r="D158" s="8" t="str">
        <f>IFERROR(__xludf.DUMMYFUNCTION("""COMPUTED_VALUE"""),"Флюваксин")</f>
        <v>Флюваксин</v>
      </c>
      <c r="E158" s="8" t="str">
        <f>IFERROR(__xludf.DUMMYFUNCTION("""COMPUTED_VALUE"""),"Флюваксин")</f>
        <v>Флюваксин</v>
      </c>
      <c r="F158" s="8" t="str">
        <f>IFERROR(__xludf.DUMMYFUNCTION("""COMPUTED_VALUE"""),"Мединторг")</f>
        <v>Мединторг</v>
      </c>
      <c r="G158" s="8" t="str">
        <f>IFERROR(__xludf.DUMMYFUNCTION("""COMPUTED_VALUE"""),"not in use")</f>
        <v>not in use</v>
      </c>
      <c r="H158" s="9"/>
      <c r="I158" s="9"/>
      <c r="J158" s="8"/>
      <c r="K158" s="10">
        <f>IFERROR(__xludf.DUMMYFUNCTION("""COMPUTED_VALUE"""),45459.0)</f>
        <v>45459</v>
      </c>
      <c r="L158" s="8"/>
      <c r="M158" s="8" t="str">
        <f>IFERROR(__xludf.DUMMYFUNCTION("""COMPUTED_VALUE"""),"нет")</f>
        <v>нет</v>
      </c>
    </row>
    <row r="159">
      <c r="A159" s="6">
        <f>IFERROR(__xludf.DUMMYFUNCTION("""COMPUTED_VALUE"""),158.0)</f>
        <v>158</v>
      </c>
      <c r="B159" s="6" t="str">
        <f>IFERROR(__xludf.DUMMYFUNCTION("""COMPUTED_VALUE"""),"Gerpovax_therapeutic")</f>
        <v>Gerpovax_therapeutic</v>
      </c>
      <c r="C159" s="7" t="str">
        <f>IFERROR(__xludf.DUMMYFUNCTION("""COMPUTED_VALUE"""),"https://grls.rosminzdrav.ru/Grls_View_v2.aspx?routingGuid=e670abc1-a1f0-498f-88b0-5b59c2384ae8")</f>
        <v>https://grls.rosminzdrav.ru/Grls_View_v2.aspx?routingGuid=e670abc1-a1f0-498f-88b0-5b59c2384ae8</v>
      </c>
      <c r="D159" s="8" t="str">
        <f>IFERROR(__xludf.DUMMYFUNCTION("""COMPUTED_VALUE"""),"Герповакс")</f>
        <v>Герповакс</v>
      </c>
      <c r="E159" s="8" t="str">
        <f>IFERROR(__xludf.DUMMYFUNCTION("""COMPUTED_VALUE"""),"Герповакс® Вакцина герпетическая культуральная инактивированная")</f>
        <v>Герповакс® Вакцина герпетическая культуральная инактивированная</v>
      </c>
      <c r="F159" s="8" t="str">
        <f>IFERROR(__xludf.DUMMYFUNCTION("""COMPUTED_VALUE"""),"ФГУП СПБНИИВС ФМБА РОССИИ")</f>
        <v>ФГУП СПБНИИВС ФМБА РОССИИ</v>
      </c>
      <c r="G159" s="8" t="str">
        <f>IFERROR(__xludf.DUMMYFUNCTION("""COMPUTED_VALUE"""),"not in use")</f>
        <v>not in use</v>
      </c>
      <c r="H159" s="9"/>
      <c r="I159" s="9"/>
      <c r="J159" s="8"/>
      <c r="K159" s="10">
        <f>IFERROR(__xludf.DUMMYFUNCTION("""COMPUTED_VALUE"""),45459.0)</f>
        <v>45459</v>
      </c>
      <c r="L159" s="8"/>
      <c r="M159" s="8" t="str">
        <f>IFERROR(__xludf.DUMMYFUNCTION("""COMPUTED_VALUE"""),"нет")</f>
        <v>нет</v>
      </c>
    </row>
    <row r="160">
      <c r="A160" s="6">
        <f>IFERROR(__xludf.DUMMYFUNCTION("""COMPUTED_VALUE"""),159.0)</f>
        <v>159</v>
      </c>
      <c r="B160" s="6" t="str">
        <f>IFERROR(__xludf.DUMMYFUNCTION("""COMPUTED_VALUE"""),"Ultragrivac")</f>
        <v>Ultragrivac</v>
      </c>
      <c r="C160" s="7" t="str">
        <f>IFERROR(__xludf.DUMMYFUNCTION("""COMPUTED_VALUE"""),"https://grls.rosminzdrav.ru/Grls_View_v2.aspx?routingGuid=f94267d3-8c60-499a-9be7-5bde70d2d7ac")</f>
        <v>https://grls.rosminzdrav.ru/Grls_View_v2.aspx?routingGuid=f94267d3-8c60-499a-9be7-5bde70d2d7ac</v>
      </c>
      <c r="D160" s="8" t="str">
        <f>IFERROR(__xludf.DUMMYFUNCTION("""COMPUTED_VALUE"""),"Ультрагривак")</f>
        <v>Ультрагривак</v>
      </c>
      <c r="E160" s="8" t="str">
        <f>IFERROR(__xludf.DUMMYFUNCTION("""COMPUTED_VALUE"""),"Ультрагривак® Вакцина гриппозная живая")</f>
        <v>Ультрагривак® Вакцина гриппозная живая</v>
      </c>
      <c r="F160" s="8" t="str">
        <f>IFERROR(__xludf.DUMMYFUNCTION("""COMPUTED_VALUE"""),"Микроген")</f>
        <v>Микроген</v>
      </c>
      <c r="G160" s="8" t="str">
        <f>IFERROR(__xludf.DUMMYFUNCTION("""COMPUTED_VALUE"""),"in use")</f>
        <v>in use</v>
      </c>
      <c r="H160" s="9" t="str">
        <f>IFERROR(__xludf.DUMMYFUNCTION("""COMPUTED_VALUE"""),"&lt;p&gt;Вакцина для профилактики птичьего гриппа [живая]&lt;/p&gt;")</f>
        <v>&lt;p&gt;Вакцина для профилактики птичьего гриппа [живая]&lt;/p&gt;</v>
      </c>
      <c r="I160" s="9"/>
      <c r="J160" s="8"/>
      <c r="K160" s="10">
        <f>IFERROR(__xludf.DUMMYFUNCTION("""COMPUTED_VALUE"""),45459.0)</f>
        <v>45459</v>
      </c>
      <c r="L160" s="10">
        <f>IFERROR(__xludf.DUMMYFUNCTION("""COMPUTED_VALUE"""),45818.0)</f>
        <v>45818</v>
      </c>
      <c r="M160" s="7" t="str">
        <f>IFERROR(__xludf.DUMMYFUNCTION("""COMPUTED_VALUE"""),"https://lk.regmed.ru/Register/GetPDFfromDAToken?Token=750ab89f-ffeb-4e33-bf98-b18f486693be")</f>
        <v>https://lk.regmed.ru/Register/GetPDFfromDAToken?Token=750ab89f-ffeb-4e33-bf98-b18f486693be</v>
      </c>
    </row>
    <row r="161">
      <c r="A161" s="6">
        <f>IFERROR(__xludf.DUMMYFUNCTION("""COMPUTED_VALUE"""),160.0)</f>
        <v>160</v>
      </c>
      <c r="B161" s="6" t="str">
        <f>IFERROR(__xludf.DUMMYFUNCTION("""COMPUTED_VALUE"""),"OrniFlu")</f>
        <v>OrniFlu</v>
      </c>
      <c r="C161" s="7" t="str">
        <f>IFERROR(__xludf.DUMMYFUNCTION("""COMPUTED_VALUE"""),"https://grls.rosminzdrav.ru/Grls_View_v2.aspx?routingGuid=bb770bb9-3c59-44ac-9f5c-9ed0dbce6322")</f>
        <v>https://grls.rosminzdrav.ru/Grls_View_v2.aspx?routingGuid=bb770bb9-3c59-44ac-9f5c-9ed0dbce6322</v>
      </c>
      <c r="D161" s="8" t="str">
        <f>IFERROR(__xludf.DUMMYFUNCTION("""COMPUTED_VALUE"""),"ОрниФлю")</f>
        <v>ОрниФлю</v>
      </c>
      <c r="E161" s="8" t="str">
        <f>IFERROR(__xludf.DUMMYFUNCTION("""COMPUTED_VALUE"""),"ОрниФлю® Вакцина гриппозная инактивированная субъединичная адсорбированная")</f>
        <v>ОрниФлю® Вакцина гриппозная инактивированная субъединичная адсорбированная</v>
      </c>
      <c r="F161" s="8" t="str">
        <f>IFERROR(__xludf.DUMMYFUNCTION("""COMPUTED_VALUE"""),"Микроген")</f>
        <v>Микроген</v>
      </c>
      <c r="G161" s="8" t="str">
        <f>IFERROR(__xludf.DUMMYFUNCTION("""COMPUTED_VALUE"""),"in use")</f>
        <v>in use</v>
      </c>
      <c r="H161" s="9" t="str">
        <f>IFERROR(__xludf.DUMMYFUNCTION("""COMPUTED_VALUE"""),"&lt;p&gt;Вакцина для профилактики птичьего гриппа [инактивированная]&lt;/p&gt;")</f>
        <v>&lt;p&gt;Вакцина для профилактики птичьего гриппа [инактивированная]&lt;/p&gt;</v>
      </c>
      <c r="I161" s="9"/>
      <c r="J161" s="8"/>
      <c r="K161" s="10">
        <f>IFERROR(__xludf.DUMMYFUNCTION("""COMPUTED_VALUE"""),45459.0)</f>
        <v>45459</v>
      </c>
      <c r="L161" s="10">
        <f>IFERROR(__xludf.DUMMYFUNCTION("""COMPUTED_VALUE"""),45750.0)</f>
        <v>45750</v>
      </c>
      <c r="M161" s="7" t="str">
        <f>IFERROR(__xludf.DUMMYFUNCTION("""COMPUTED_VALUE"""),"https://lk.regmed.ru/Register/GetPDFfromDAToken?Token=7edf99f7-7979-438f-9170-b9e3c18fcc4d")</f>
        <v>https://lk.regmed.ru/Register/GetPDFfromDAToken?Token=7edf99f7-7979-438f-9170-b9e3c18fcc4d</v>
      </c>
    </row>
    <row r="162">
      <c r="A162" s="6">
        <f>IFERROR(__xludf.DUMMYFUNCTION("""COMPUTED_VALUE"""),161.0)</f>
        <v>161</v>
      </c>
      <c r="B162" s="6" t="str">
        <f>IFERROR(__xludf.DUMMYFUNCTION("""COMPUTED_VALUE"""),"rubella_Croatia")</f>
        <v>rubella_Croatia</v>
      </c>
      <c r="C162" s="7" t="str">
        <f>IFERROR(__xludf.DUMMYFUNCTION("""COMPUTED_VALUE"""),"https://grls.rosminzdrav.ru/Grls_View_v2.aspx?routingGuid=c878e337-f3b6-44d8-9ac7-c245862a4463")</f>
        <v>https://grls.rosminzdrav.ru/Grls_View_v2.aspx?routingGuid=c878e337-f3b6-44d8-9ac7-c245862a4463</v>
      </c>
      <c r="D162" s="8" t="str">
        <f>IFERROR(__xludf.DUMMYFUNCTION("""COMPUTED_VALUE"""),"краснушная (Институт оф иммунолоджи)")</f>
        <v>краснушная (Институт оф иммунолоджи)</v>
      </c>
      <c r="E162" s="8" t="str">
        <f>IFERROR(__xludf.DUMMYFUNCTION("""COMPUTED_VALUE"""),"Вакцина против краснухи живая аттенуированная")</f>
        <v>Вакцина против краснухи живая аттенуированная</v>
      </c>
      <c r="F162" s="8" t="str">
        <f>IFERROR(__xludf.DUMMYFUNCTION("""COMPUTED_VALUE"""),"Институт оф иммунолоджи")</f>
        <v>Институт оф иммунолоджи</v>
      </c>
      <c r="G162" s="8" t="str">
        <f>IFERROR(__xludf.DUMMYFUNCTION("""COMPUTED_VALUE"""),"not in use")</f>
        <v>not in use</v>
      </c>
      <c r="H162" s="9"/>
      <c r="I162" s="9"/>
      <c r="J162" s="8"/>
      <c r="K162" s="10">
        <f>IFERROR(__xludf.DUMMYFUNCTION("""COMPUTED_VALUE"""),45459.0)</f>
        <v>45459</v>
      </c>
      <c r="L162" s="8"/>
      <c r="M162" s="8" t="str">
        <f>IFERROR(__xludf.DUMMYFUNCTION("""COMPUTED_VALUE"""),"нет")</f>
        <v>нет</v>
      </c>
    </row>
    <row r="163">
      <c r="A163" s="6">
        <f>IFERROR(__xludf.DUMMYFUNCTION("""COMPUTED_VALUE"""),162.0)</f>
        <v>162</v>
      </c>
      <c r="B163" s="6" t="str">
        <f>IFERROR(__xludf.DUMMYFUNCTION("""COMPUTED_VALUE"""),"Tetraanatoxin")</f>
        <v>Tetraanatoxin</v>
      </c>
      <c r="C163" s="7" t="str">
        <f>IFERROR(__xludf.DUMMYFUNCTION("""COMPUTED_VALUE"""),"https://grls.rosminzdrav.ru/Grls_View_v2.aspx?routingGuid=67d47b58-44f8-467a-ac68-f50a5e27ec96")</f>
        <v>https://grls.rosminzdrav.ru/Grls_View_v2.aspx?routingGuid=67d47b58-44f8-467a-ac68-f50a5e27ec96</v>
      </c>
      <c r="D163" s="8" t="str">
        <f>IFERROR(__xludf.DUMMYFUNCTION("""COMPUTED_VALUE"""),"Тетраанатоксин")</f>
        <v>Тетраанатоксин</v>
      </c>
      <c r="E163" s="8" t="str">
        <f>IFERROR(__xludf.DUMMYFUNCTION("""COMPUTED_VALUE"""),"Тетраанатоксин очищенный адсорбированный")</f>
        <v>Тетраанатоксин очищенный адсорбированный</v>
      </c>
      <c r="F163" s="8" t="str">
        <f>IFERROR(__xludf.DUMMYFUNCTION("""COMPUTED_VALUE"""),"Микроген")</f>
        <v>Микроген</v>
      </c>
      <c r="G163" s="8" t="str">
        <f>IFERROR(__xludf.DUMMYFUNCTION("""COMPUTED_VALUE"""),"in use")</f>
        <v>in use</v>
      </c>
      <c r="H163" s="9"/>
      <c r="I163" s="9"/>
      <c r="J163" s="8"/>
      <c r="K163" s="10">
        <f>IFERROR(__xludf.DUMMYFUNCTION("""COMPUTED_VALUE"""),45459.0)</f>
        <v>45459</v>
      </c>
      <c r="L163" s="10">
        <f>IFERROR(__xludf.DUMMYFUNCTION("""COMPUTED_VALUE"""),45689.0)</f>
        <v>45689</v>
      </c>
      <c r="M163" s="7" t="str">
        <f>IFERROR(__xludf.DUMMYFUNCTION("""COMPUTED_VALUE"""),"https://lk.regmed.ru/Register/GetPDFfromDAToken?Token=7a5aa5a2-26ce-4b74-a18e-06cad4414c03")</f>
        <v>https://lk.regmed.ru/Register/GetPDFfromDAToken?Token=7a5aa5a2-26ce-4b74-a18e-06cad4414c03</v>
      </c>
    </row>
    <row r="164">
      <c r="A164" s="6">
        <f>IFERROR(__xludf.DUMMYFUNCTION("""COMPUTED_VALUE"""),163.0)</f>
        <v>163</v>
      </c>
      <c r="B164" s="6" t="str">
        <f>IFERROR(__xludf.DUMMYFUNCTION("""COMPUTED_VALUE"""),"Staphylococcus_Gamaleya")</f>
        <v>Staphylococcus_Gamaleya</v>
      </c>
      <c r="C164" s="7" t="str">
        <f>IFERROR(__xludf.DUMMYFUNCTION("""COMPUTED_VALUE"""),"https://grls.rosminzdrav.ru/Grls_View_v2.aspx?routingGuid=96e23044-21c2-4c98-bdd9-c703f58131cb")</f>
        <v>https://grls.rosminzdrav.ru/Grls_View_v2.aspx?routingGuid=96e23044-21c2-4c98-bdd9-c703f58131cb</v>
      </c>
      <c r="D164" s="8" t="str">
        <f>IFERROR(__xludf.DUMMYFUNCTION("""COMPUTED_VALUE"""),"Анатоксин стафилококковый (профилактический)")</f>
        <v>Анатоксин стафилококковый (профилактический)</v>
      </c>
      <c r="E164" s="8" t="str">
        <f>IFERROR(__xludf.DUMMYFUNCTION("""COMPUTED_VALUE"""),"Анатоксин стафилококковый очищенный адсорбированный")</f>
        <v>Анатоксин стафилококковый очищенный адсорбированный</v>
      </c>
      <c r="F164" s="8" t="str">
        <f>IFERROR(__xludf.DUMMYFUNCTION("""COMPUTED_VALUE"""),"ФГБУ ""НИЦЭМ им. Н.Ф. Гамалеи""")</f>
        <v>ФГБУ "НИЦЭМ им. Н.Ф. Гамалеи"</v>
      </c>
      <c r="G164" s="8" t="str">
        <f>IFERROR(__xludf.DUMMYFUNCTION("""COMPUTED_VALUE"""),"in use")</f>
        <v>in use</v>
      </c>
      <c r="H164" s="9"/>
      <c r="I164" s="9"/>
      <c r="J164" s="8"/>
      <c r="K164" s="10">
        <f>IFERROR(__xludf.DUMMYFUNCTION("""COMPUTED_VALUE"""),45459.0)</f>
        <v>45459</v>
      </c>
      <c r="L164" s="10">
        <f>IFERROR(__xludf.DUMMYFUNCTION("""COMPUTED_VALUE"""),45830.0)</f>
        <v>45830</v>
      </c>
      <c r="M164" s="7" t="str">
        <f>IFERROR(__xludf.DUMMYFUNCTION("""COMPUTED_VALUE"""),"https://lk.regmed.ru/Register/GetPDFfromDAToken?Token=15837a61-cde6-4017-ab21-aa0710335a9e")</f>
        <v>https://lk.regmed.ru/Register/GetPDFfromDAToken?Token=15837a61-cde6-4017-ab21-aa0710335a9e</v>
      </c>
    </row>
    <row r="165">
      <c r="A165" s="6">
        <f>IFERROR(__xludf.DUMMYFUNCTION("""COMPUTED_VALUE"""),164.0)</f>
        <v>164</v>
      </c>
      <c r="B165" s="6" t="str">
        <f>IFERROR(__xludf.DUMMYFUNCTION("""COMPUTED_VALUE"""),"Staphylococcus_therapeutic_Gamaleya")</f>
        <v>Staphylococcus_therapeutic_Gamaleya</v>
      </c>
      <c r="C165" s="7" t="str">
        <f>IFERROR(__xludf.DUMMYFUNCTION("""COMPUTED_VALUE"""),"https://grls.rosminzdrav.ru/Grls_View_v2.aspx?routingGuid=e7b7b94d-8b67-45ff-8bd0-b314a927cb05")</f>
        <v>https://grls.rosminzdrav.ru/Grls_View_v2.aspx?routingGuid=e7b7b94d-8b67-45ff-8bd0-b314a927cb05</v>
      </c>
      <c r="D165" s="8" t="str">
        <f>IFERROR(__xludf.DUMMYFUNCTION("""COMPUTED_VALUE"""),"Анатоксин стафилококковый (лечебный)")</f>
        <v>Анатоксин стафилококковый (лечебный)</v>
      </c>
      <c r="E165" s="8" t="str">
        <f>IFERROR(__xludf.DUMMYFUNCTION("""COMPUTED_VALUE"""),"Анатоксин стафилококковый очищенный")</f>
        <v>Анатоксин стафилококковый очищенный</v>
      </c>
      <c r="F165" s="8" t="str">
        <f>IFERROR(__xludf.DUMMYFUNCTION("""COMPUTED_VALUE"""),"ФГБУ ""НИЦЭМ им. Н.Ф. Гамалеи""")</f>
        <v>ФГБУ "НИЦЭМ им. Н.Ф. Гамалеи"</v>
      </c>
      <c r="G165" s="8" t="str">
        <f>IFERROR(__xludf.DUMMYFUNCTION("""COMPUTED_VALUE"""),"in use")</f>
        <v>in use</v>
      </c>
      <c r="H165" s="9"/>
      <c r="I165" s="9"/>
      <c r="J165" s="8"/>
      <c r="K165" s="10">
        <f>IFERROR(__xludf.DUMMYFUNCTION("""COMPUTED_VALUE"""),45459.0)</f>
        <v>45459</v>
      </c>
      <c r="L165" s="10">
        <f>IFERROR(__xludf.DUMMYFUNCTION("""COMPUTED_VALUE"""),45830.0)</f>
        <v>45830</v>
      </c>
      <c r="M165" s="7" t="str">
        <f>IFERROR(__xludf.DUMMYFUNCTION("""COMPUTED_VALUE"""),"https://lk.regmed.ru/Register/GetPDFfromDAToken?Token=ea20c32d-1656-4930-81f0-a2940083f505")</f>
        <v>https://lk.regmed.ru/Register/GetPDFfromDAToken?Token=ea20c32d-1656-4930-81f0-a2940083f505</v>
      </c>
    </row>
    <row r="166">
      <c r="A166" s="6">
        <f>IFERROR(__xludf.DUMMYFUNCTION("""COMPUTED_VALUE"""),165.0)</f>
        <v>165</v>
      </c>
      <c r="B166" s="6" t="str">
        <f>IFERROR(__xludf.DUMMYFUNCTION("""COMPUTED_VALUE"""),"Imuron_vac_therapeutic")</f>
        <v>Imuron_vac_therapeutic</v>
      </c>
      <c r="C166" s="7" t="str">
        <f>IFERROR(__xludf.DUMMYFUNCTION("""COMPUTED_VALUE"""),"https://grls.rosminzdrav.ru/Grls_View_v2.aspx?routingGuid=b974d161-6689-49b1-a6f6-a825ebf5a7f2")</f>
        <v>https://grls.rosminzdrav.ru/Grls_View_v2.aspx?routingGuid=b974d161-6689-49b1-a6f6-a825ebf5a7f2</v>
      </c>
      <c r="D166" s="8" t="str">
        <f>IFERROR(__xludf.DUMMYFUNCTION("""COMPUTED_VALUE"""),"Имурон-вак")</f>
        <v>Имурон-вак</v>
      </c>
      <c r="E166" s="8" t="str">
        <f>IFERROR(__xludf.DUMMYFUNCTION("""COMPUTED_VALUE"""),"Имурон-вак (Вакцина БЦЖ для иммунотерапии рака мочевого пузыря)")</f>
        <v>Имурон-вак (Вакцина БЦЖ для иммунотерапии рака мочевого пузыря)</v>
      </c>
      <c r="F166" s="8" t="str">
        <f>IFERROR(__xludf.DUMMYFUNCTION("""COMPUTED_VALUE"""),"ФГБУ ""НИЦЭМ им. Н.Ф. Гамалеи""")</f>
        <v>ФГБУ "НИЦЭМ им. Н.Ф. Гамалеи"</v>
      </c>
      <c r="G166" s="8" t="str">
        <f>IFERROR(__xludf.DUMMYFUNCTION("""COMPUTED_VALUE"""),"in use")</f>
        <v>in use</v>
      </c>
      <c r="H166" s="9"/>
      <c r="I166" s="9"/>
      <c r="J166" s="8"/>
      <c r="K166" s="10">
        <f>IFERROR(__xludf.DUMMYFUNCTION("""COMPUTED_VALUE"""),45459.0)</f>
        <v>45459</v>
      </c>
      <c r="L166" s="10">
        <f>IFERROR(__xludf.DUMMYFUNCTION("""COMPUTED_VALUE"""),45861.0)</f>
        <v>45861</v>
      </c>
      <c r="M166" s="7" t="str">
        <f>IFERROR(__xludf.DUMMYFUNCTION("""COMPUTED_VALUE"""),"https://lk.regmed.ru/Register/GetPDFfromDAToken?Token=7efc3fca-7110-41f0-adc2-f32077b43099")</f>
        <v>https://lk.regmed.ru/Register/GetPDFfromDAToken?Token=7efc3fca-7110-41f0-adc2-f32077b43099</v>
      </c>
    </row>
    <row r="167">
      <c r="A167" s="6">
        <f>IFERROR(__xludf.DUMMYFUNCTION("""COMPUTED_VALUE"""),166.0)</f>
        <v>166</v>
      </c>
      <c r="B167" s="6" t="str">
        <f>IFERROR(__xludf.DUMMYFUNCTION("""COMPUTED_VALUE"""),"HepB_Serum_India_1_0")</f>
        <v>HepB_Serum_India_1_0</v>
      </c>
      <c r="C167" s="7" t="str">
        <f>IFERROR(__xludf.DUMMYFUNCTION("""COMPUTED_VALUE"""),"https://grls.rosminzdrav.ru/Grls_View_v2.aspx?routingGuid=0fcbffbf-d247-4aa3-a4df-cccf3af59785")</f>
        <v>https://grls.rosminzdrav.ru/Grls_View_v2.aspx?routingGuid=0fcbffbf-d247-4aa3-a4df-cccf3af59785</v>
      </c>
      <c r="D167" s="8" t="str">
        <f>IFERROR(__xludf.DUMMYFUNCTION("""COMPUTED_VALUE"""),"гепатита B (Серум Инститьют) взрослая")</f>
        <v>гепатита B (Серум Инститьют) взрослая</v>
      </c>
      <c r="E167" s="8" t="str">
        <f>IFERROR(__xludf.DUMMYFUNCTION("""COMPUTED_VALUE"""),"Вакцина гепатита В рекомбинантная (рДНК)")</f>
        <v>Вакцина гепатита В рекомбинантная (рДНК)</v>
      </c>
      <c r="F167" s="8" t="str">
        <f>IFERROR(__xludf.DUMMYFUNCTION("""COMPUTED_VALUE"""),"Серум Инститьют")</f>
        <v>Серум Инститьют</v>
      </c>
      <c r="G167" s="8" t="str">
        <f>IFERROR(__xludf.DUMMYFUNCTION("""COMPUTED_VALUE"""),"not in use")</f>
        <v>not in use</v>
      </c>
      <c r="H167" s="9"/>
      <c r="I167" s="9"/>
      <c r="J167" s="8"/>
      <c r="K167" s="10">
        <f>IFERROR(__xludf.DUMMYFUNCTION("""COMPUTED_VALUE"""),45466.0)</f>
        <v>45466</v>
      </c>
      <c r="L167" s="10">
        <f>IFERROR(__xludf.DUMMYFUNCTION("""COMPUTED_VALUE"""),46053.0)</f>
        <v>46053</v>
      </c>
      <c r="M167" s="8" t="str">
        <f>IFERROR(__xludf.DUMMYFUNCTION("""COMPUTED_VALUE"""),"есть")</f>
        <v>есть</v>
      </c>
    </row>
    <row r="168">
      <c r="A168" s="6">
        <f>IFERROR(__xludf.DUMMYFUNCTION("""COMPUTED_VALUE"""),167.0)</f>
        <v>167</v>
      </c>
      <c r="B168" s="6" t="str">
        <f>IFERROR(__xludf.DUMMYFUNCTION("""COMPUTED_VALUE"""),"Hexaxim")</f>
        <v>Hexaxim</v>
      </c>
      <c r="C168" s="7" t="str">
        <f>IFERROR(__xludf.DUMMYFUNCTION("""COMPUTED_VALUE"""),"https://grls.rosminzdrav.ru/Grls_View_v2.aspx?routingGuid=6d1d9760-3bab-4d35-b454-a9539b9fd9e6")</f>
        <v>https://grls.rosminzdrav.ru/Grls_View_v2.aspx?routingGuid=6d1d9760-3bab-4d35-b454-a9539b9fd9e6</v>
      </c>
      <c r="D168" s="8" t="str">
        <f>IFERROR(__xludf.DUMMYFUNCTION("""COMPUTED_VALUE"""),"Гексаксим")</f>
        <v>Гексаксим</v>
      </c>
      <c r="E168" s="8" t="str">
        <f>IFERROR(__xludf.DUMMYFUNCTION("""COMPUTED_VALUE"""),"Вакцина для профилактики дифтерии, столбняка, коклюша (бесклеточная), гепатита B рекомбинантная, полиомиелита (инактивированная) и инфекций, вызываемых Haemophilus influenzae тип b, конъюгированная, адсорбированная")</f>
        <v>Вакцина для профилактики дифтерии, столбняка, коклюша (бесклеточная), гепатита B рекомбинантная, полиомиелита (инактивированная) и инфекций, вызываемых Haemophilus influenzae тип b, конъюгированная, адсорбированная</v>
      </c>
      <c r="F168" s="8" t="str">
        <f>IFERROR(__xludf.DUMMYFUNCTION("""COMPUTED_VALUE"""),"Санофи Пастер Лимитед")</f>
        <v>Санофи Пастер Лимитед</v>
      </c>
      <c r="G168" s="8" t="str">
        <f>IFERROR(__xludf.DUMMYFUNCTION("""COMPUTED_VALUE"""),"not in use")</f>
        <v>not in use</v>
      </c>
      <c r="H168" s="9"/>
      <c r="I168" s="9"/>
      <c r="J168" s="8"/>
      <c r="K168" s="10">
        <f>IFERROR(__xludf.DUMMYFUNCTION("""COMPUTED_VALUE"""),45558.0)</f>
        <v>45558</v>
      </c>
      <c r="L168" s="10">
        <f>IFERROR(__xludf.DUMMYFUNCTION("""COMPUTED_VALUE"""),45689.0)</f>
        <v>45689</v>
      </c>
      <c r="M168" s="7" t="str">
        <f>IFERROR(__xludf.DUMMYFUNCTION("""COMPUTED_VALUE"""),"https://lk.regmed.ru/Register/GetPDFfromDAToken?Token=fd521f05-a4c3-4eeb-95f5-ca5ab71cbf29")</f>
        <v>https://lk.regmed.ru/Register/GetPDFfromDAToken?Token=fd521f05-a4c3-4eeb-95f5-ca5ab71cbf29</v>
      </c>
    </row>
    <row r="169">
      <c r="A169" s="6">
        <f>IFERROR(__xludf.DUMMYFUNCTION("""COMPUTED_VALUE"""),168.0)</f>
        <v>168</v>
      </c>
      <c r="B169" s="6" t="str">
        <f>IFERROR(__xludf.DUMMYFUNCTION("""COMPUTED_VALUE"""),"Gam_VLP_multivac")</f>
        <v>Gam_VLP_multivac</v>
      </c>
      <c r="C169" s="7" t="str">
        <f>IFERROR(__xludf.DUMMYFUNCTION("""COMPUTED_VALUE"""),"https://grls.rosminzdrav.ru/Grls_View_v2.aspx?routingGuid=f035b599-e2f5-41c1-9ede-a7398483a6c4")</f>
        <v>https://grls.rosminzdrav.ru/Grls_View_v2.aspx?routingGuid=f035b599-e2f5-41c1-9ede-a7398483a6c4</v>
      </c>
      <c r="D169" s="8" t="str">
        <f>IFERROR(__xludf.DUMMYFUNCTION("""COMPUTED_VALUE"""),"Гам-VLP-мультивак")</f>
        <v>Гам-VLP-мультивак</v>
      </c>
      <c r="E169" s="8" t="str">
        <f>IFERROR(__xludf.DUMMYFUNCTION("""COMPUTED_VALUE"""),"Гам-VLP-мультивак Вакцина на основе вирусоподобных частиц для профилактики коронавирусной инфекции, вызываемой SARS-CoV-2")</f>
        <v>Гам-VLP-мультивак Вакцина на основе вирусоподобных частиц для профилактики коронавирусной инфекции, вызываемой SARS-CoV-2</v>
      </c>
      <c r="F169" s="8" t="str">
        <f>IFERROR(__xludf.DUMMYFUNCTION("""COMPUTED_VALUE"""),"НИЦЭМ им. Н.Ф. Гамалеи")</f>
        <v>НИЦЭМ им. Н.Ф. Гамалеи</v>
      </c>
      <c r="G169" s="8" t="str">
        <f>IFERROR(__xludf.DUMMYFUNCTION("""COMPUTED_VALUE"""),"in use")</f>
        <v>in use</v>
      </c>
      <c r="H169" s="9"/>
      <c r="I169" s="9"/>
      <c r="J169" s="8"/>
      <c r="K169" s="10">
        <f>IFERROR(__xludf.DUMMYFUNCTION("""COMPUTED_VALUE"""),45678.0)</f>
        <v>45678</v>
      </c>
      <c r="L169" s="8"/>
      <c r="M169" s="8" t="str">
        <f>IFERROR(__xludf.DUMMYFUNCTION("""COMPUTED_VALUE"""),"нет")</f>
        <v>нет</v>
      </c>
    </row>
    <row r="170">
      <c r="A170" s="6">
        <f>IFERROR(__xludf.DUMMYFUNCTION("""COMPUTED_VALUE"""),169.0)</f>
        <v>169</v>
      </c>
      <c r="B170" s="6" t="str">
        <f>IFERROR(__xludf.DUMMYFUNCTION("""COMPUTED_VALUE"""),"Gam_VLP_multivac_nasal")</f>
        <v>Gam_VLP_multivac_nasal</v>
      </c>
      <c r="C170" s="7" t="str">
        <f>IFERROR(__xludf.DUMMYFUNCTION("""COMPUTED_VALUE"""),"https://grls.rosminzdrav.ru/Grls_View_v2.aspx?routingGuid=3d207bf4-c6a2-49bf-aa53-76c242f79c31")</f>
        <v>https://grls.rosminzdrav.ru/Grls_View_v2.aspx?routingGuid=3d207bf4-c6a2-49bf-aa53-76c242f79c31</v>
      </c>
      <c r="D170" s="8" t="str">
        <f>IFERROR(__xludf.DUMMYFUNCTION("""COMPUTED_VALUE"""),"Гам-VLP-мультивак-н")</f>
        <v>Гам-VLP-мультивак-н</v>
      </c>
      <c r="E170" s="8" t="str">
        <f>IFERROR(__xludf.DUMMYFUNCTION("""COMPUTED_VALUE"""),"Гам-VLP-мультивак-н Вакцина на основе вирусоподобных частиц для профилактики коронавирусной инфекции, вызываемой SARS-CoV-2")</f>
        <v>Гам-VLP-мультивак-н Вакцина на основе вирусоподобных частиц для профилактики коронавирусной инфекции, вызываемой SARS-CoV-2</v>
      </c>
      <c r="F170" s="8" t="str">
        <f>IFERROR(__xludf.DUMMYFUNCTION("""COMPUTED_VALUE"""),"НИЦЭМ им. Н.Ф. Гамалеи")</f>
        <v>НИЦЭМ им. Н.Ф. Гамалеи</v>
      </c>
      <c r="G170" s="8" t="str">
        <f>IFERROR(__xludf.DUMMYFUNCTION("""COMPUTED_VALUE"""),"in use")</f>
        <v>in use</v>
      </c>
      <c r="H170" s="9"/>
      <c r="I170" s="9"/>
      <c r="J170" s="8"/>
      <c r="K170" s="10">
        <f>IFERROR(__xludf.DUMMYFUNCTION("""COMPUTED_VALUE"""),45742.0)</f>
        <v>45742</v>
      </c>
      <c r="L170" s="8"/>
      <c r="M170" s="8" t="str">
        <f>IFERROR(__xludf.DUMMYFUNCTION("""COMPUTED_VALUE"""),"нет")</f>
        <v>нет</v>
      </c>
    </row>
    <row r="171">
      <c r="A171" s="6">
        <f>IFERROR(__xludf.DUMMYFUNCTION("""COMPUTED_VALUE"""),170.0)</f>
        <v>170</v>
      </c>
      <c r="B171" s="6" t="str">
        <f>IFERROR(__xludf.DUMMYFUNCTION("""COMPUTED_VALUE"""),"Cegardex")</f>
        <v>Cegardex</v>
      </c>
      <c r="C171" s="7" t="str">
        <f>IFERROR(__xludf.DUMMYFUNCTION("""COMPUTED_VALUE"""),"https://grls.rosminzdrav.ru/Grls_View_v2.aspx?routingGuid=89ef1c8f-42a1-41e7-9675-ad685aa41438")</f>
        <v>https://grls.rosminzdrav.ru/Grls_View_v2.aspx?routingGuid=89ef1c8f-42a1-41e7-9675-ad685aa41438</v>
      </c>
      <c r="D171" s="8" t="str">
        <f>IFERROR(__xludf.DUMMYFUNCTION("""COMPUTED_VALUE"""),"Цегардекс")</f>
        <v>Цегардекс</v>
      </c>
      <c r="E171" s="8" t="str">
        <f>IFERROR(__xludf.DUMMYFUNCTION("""COMPUTED_VALUE"""),"Цегардекс® Вакцина против вируса папилломы человека [типов 6, 11, 16, 18], четырехвалентная (рекомбинантная, адсорбированная)")</f>
        <v>Цегардекс® Вакцина против вируса папилломы человека [типов 6, 11, 16, 18], четырехвалентная (рекомбинантная, адсорбированная)</v>
      </c>
      <c r="F171" s="8" t="str">
        <f>IFERROR(__xludf.DUMMYFUNCTION("""COMPUTED_VALUE"""),"Нанолек")</f>
        <v>Нанолек</v>
      </c>
      <c r="G171" s="8" t="str">
        <f>IFERROR(__xludf.DUMMYFUNCTION("""COMPUTED_VALUE"""),"in use")</f>
        <v>in use</v>
      </c>
      <c r="H171" s="9"/>
      <c r="I171" s="9"/>
      <c r="J171" s="8"/>
      <c r="K171" s="10">
        <f>IFERROR(__xludf.DUMMYFUNCTION("""COMPUTED_VALUE"""),45742.0)</f>
        <v>45742</v>
      </c>
      <c r="L171" s="8"/>
      <c r="M171" s="7" t="str">
        <f>IFERROR(__xludf.DUMMYFUNCTION("""COMPUTED_VALUE"""),"https://lk.regmed.ru/Register/GetPDFfromDAToken?Token=98aa6592-f3ff-4626-8956-8bb4c5db5255")</f>
        <v>https://lk.regmed.ru/Register/GetPDFfromDAToken?Token=98aa6592-f3ff-4626-8956-8bb4c5db5255</v>
      </c>
    </row>
    <row r="172">
      <c r="A172" s="6">
        <f>IFERROR(__xludf.DUMMYFUNCTION("""COMPUTED_VALUE"""),171.0)</f>
        <v>171</v>
      </c>
      <c r="B172" s="6" t="str">
        <f>IFERROR(__xludf.DUMMYFUNCTION("""COMPUTED_VALUE"""),"Menvaid")</f>
        <v>Menvaid</v>
      </c>
      <c r="C172" s="7" t="str">
        <f>IFERROR(__xludf.DUMMYFUNCTION("""COMPUTED_VALUE"""),"https://grls.rosminzdrav.ru/Grls_View_v2.aspx?routingGuid=1a4a48c3-a278-4283-9a32-aa920611ebe5")</f>
        <v>https://grls.rosminzdrav.ru/Grls_View_v2.aspx?routingGuid=1a4a48c3-a278-4283-9a32-aa920611ebe5</v>
      </c>
      <c r="D172" s="8" t="str">
        <f>IFERROR(__xludf.DUMMYFUNCTION("""COMPUTED_VALUE"""),"Менвэйд")</f>
        <v>Менвэйд</v>
      </c>
      <c r="E172" s="8" t="str">
        <f>IFERROR(__xludf.DUMMYFUNCTION("""COMPUTED_VALUE"""),"МЕНВЭЙД® Вакцина для профилактики менингококковой инфекции серогрупп A, C, W, Y, X, полисахаридная, конъюгированная")</f>
        <v>МЕНВЭЙД® Вакцина для профилактики менингококковой инфекции серогрупп A, C, W, Y, X, полисахаридная, конъюгированная</v>
      </c>
      <c r="F172" s="8" t="str">
        <f>IFERROR(__xludf.DUMMYFUNCTION("""COMPUTED_VALUE"""),"Серум Инститьют")</f>
        <v>Серум Инститьют</v>
      </c>
      <c r="G172" s="8" t="str">
        <f>IFERROR(__xludf.DUMMYFUNCTION("""COMPUTED_VALUE"""),"in use")</f>
        <v>in use</v>
      </c>
      <c r="H172" s="9" t="str">
        <f>IFERROR(__xludf.DUMMYFUNCTION("""COMPUTED_VALUE"""),"&lt;p&gt;менингококки группы&amp;nbsp;A, C, W, Y, X&lt;/p&gt;")</f>
        <v>&lt;p&gt;менингококки группы&amp;nbsp;A, C, W, Y, X&lt;/p&gt;</v>
      </c>
      <c r="I172" s="9" t="str">
        <f>IFERROR(__xludf.DUMMYFUNCTION("""COMPUTED_VALUE"""),"менингококки группы A, C, W, Y, X")</f>
        <v>менингококки группы A, C, W, Y, X</v>
      </c>
      <c r="J172" s="8"/>
      <c r="K172" s="10">
        <f>IFERROR(__xludf.DUMMYFUNCTION("""COMPUTED_VALUE"""),45755.0)</f>
        <v>45755</v>
      </c>
      <c r="L172" s="8"/>
      <c r="M172" s="7" t="str">
        <f>IFERROR(__xludf.DUMMYFUNCTION("""COMPUTED_VALUE"""),"https://lk.regmed.ru/Register/GetPDFfromDAToken?Token=278aa15b-73f4-4b0e-8168-69185b2b8947")</f>
        <v>https://lk.regmed.ru/Register/GetPDFfromDAToken?Token=278aa15b-73f4-4b0e-8168-69185b2b8947</v>
      </c>
    </row>
    <row r="173">
      <c r="A173" s="6">
        <f>IFERROR(__xludf.DUMMYFUNCTION("""COMPUTED_VALUE"""),172.0)</f>
        <v>172</v>
      </c>
      <c r="B173" s="6" t="str">
        <f>IFERROR(__xludf.DUMMYFUNCTION("""COMPUTED_VALUE"""),"ChiroRab")</f>
        <v>ChiroRab</v>
      </c>
      <c r="C173" s="7" t="str">
        <f>IFERROR(__xludf.DUMMYFUNCTION("""COMPUTED_VALUE"""),"https://grls.rosminzdrav.ru/Grls_View_v2.aspx?routingGuid=286b6f36-0609-4bfe-95f0-c61e64984e57")</f>
        <v>https://grls.rosminzdrav.ru/Grls_View_v2.aspx?routingGuid=286b6f36-0609-4bfe-95f0-c61e64984e57</v>
      </c>
      <c r="D173" s="8" t="str">
        <f>IFERROR(__xludf.DUMMYFUNCTION("""COMPUTED_VALUE"""),"Хирораб")</f>
        <v>Хирораб</v>
      </c>
      <c r="E173" s="8" t="str">
        <f>IFERROR(__xludf.DUMMYFUNCTION("""COMPUTED_VALUE"""),"Хирораб (Вакцина антирабическая культуральная очищенная инактивированная)")</f>
        <v>Хирораб (Вакцина антирабическая культуральная очищенная инактивированная)</v>
      </c>
      <c r="F173" s="8" t="str">
        <f>IFERROR(__xludf.DUMMYFUNCTION("""COMPUTED_VALUE"""),"Кайрон Беринг Вакцинс")</f>
        <v>Кайрон Беринг Вакцинс</v>
      </c>
      <c r="G173" s="8" t="str">
        <f>IFERROR(__xludf.DUMMYFUNCTION("""COMPUTED_VALUE"""),"not in use")</f>
        <v>not in use</v>
      </c>
      <c r="H173" s="9" t="str">
        <f>IFERROR(__xludf.DUMMYFUNCTION("""COMPUTED_VALUE"""),"&lt;p&gt;прежнее название — Рабипур&lt;/p&gt;")</f>
        <v>&lt;p&gt;прежнее название — Рабипур&lt;/p&gt;</v>
      </c>
      <c r="I173" s="9"/>
      <c r="J173" s="8"/>
      <c r="K173" s="10">
        <f>IFERROR(__xludf.DUMMYFUNCTION("""COMPUTED_VALUE"""),45818.0)</f>
        <v>45818</v>
      </c>
      <c r="L173" s="8"/>
      <c r="M173" s="8" t="str">
        <f>IFERROR(__xludf.DUMMYFUNCTION("""COMPUTED_VALUE"""),"нет")</f>
        <v>нет</v>
      </c>
    </row>
    <row r="174">
      <c r="A174" s="6">
        <f>IFERROR(__xludf.DUMMYFUNCTION("""COMPUTED_VALUE"""),173.0)</f>
        <v>173</v>
      </c>
      <c r="B174" s="6" t="str">
        <f>IFERROR(__xludf.DUMMYFUNCTION("""COMPUTED_VALUE"""),"Prevenar_20")</f>
        <v>Prevenar_20</v>
      </c>
      <c r="C174" s="7" t="str">
        <f>IFERROR(__xludf.DUMMYFUNCTION("""COMPUTED_VALUE"""),"https://grls.rosminzdrav.ru/Grls_View_v2.aspx?routingGuid=8dc63f11-354b-4d39-ae83-7db709b7e6a3")</f>
        <v>https://grls.rosminzdrav.ru/Grls_View_v2.aspx?routingGuid=8dc63f11-354b-4d39-ae83-7db709b7e6a3</v>
      </c>
      <c r="D174" s="8" t="str">
        <f>IFERROR(__xludf.DUMMYFUNCTION("""COMPUTED_VALUE"""),"Превенар 20")</f>
        <v>Превенар 20</v>
      </c>
      <c r="E174" s="8" t="str">
        <f>IFERROR(__xludf.DUMMYFUNCTION("""COMPUTED_VALUE"""),"Вакцина для профилактики пневмококковой инфекции полисахаридная, конъюгированная (адсорбированная, двадцативалентная)")</f>
        <v>Вакцина для профилактики пневмококковой инфекции полисахаридная, конъюгированная (адсорбированная, двадцативалентная)</v>
      </c>
      <c r="F174" s="8" t="str">
        <f>IFERROR(__xludf.DUMMYFUNCTION("""COMPUTED_VALUE"""),"Пфайзер")</f>
        <v>Пфайзер</v>
      </c>
      <c r="G174" s="8" t="str">
        <f>IFERROR(__xludf.DUMMYFUNCTION("""COMPUTED_VALUE"""),"in use")</f>
        <v>in use</v>
      </c>
      <c r="H174" s="9"/>
      <c r="I174" s="9"/>
      <c r="J174" s="8"/>
      <c r="K174" s="10">
        <f>IFERROR(__xludf.DUMMYFUNCTION("""COMPUTED_VALUE"""),45861.0)</f>
        <v>45861</v>
      </c>
      <c r="L174" s="8"/>
      <c r="M174" s="7" t="str">
        <f>IFERROR(__xludf.DUMMYFUNCTION("""COMPUTED_VALUE"""),"https://lk.regmed.ru/Register/GetPDFfromDAToken?Token=71281561-3c48-48b5-adce-60fba30d5683")</f>
        <v>https://lk.regmed.ru/Register/GetPDFfromDAToken?Token=71281561-3c48-48b5-adce-60fba30d5683</v>
      </c>
    </row>
    <row r="175">
      <c r="A175" s="6">
        <f>IFERROR(__xludf.DUMMYFUNCTION("""COMPUTED_VALUE"""),174.0)</f>
        <v>174</v>
      </c>
      <c r="B175" s="6" t="str">
        <f>IFERROR(__xludf.DUMMYFUNCTION("""COMPUTED_VALUE"""),"aAKDS_M")</f>
        <v>aAKDS_M</v>
      </c>
      <c r="C175" s="7" t="str">
        <f>IFERROR(__xludf.DUMMYFUNCTION("""COMPUTED_VALUE"""),"https://grls.rosminzdrav.ru/Grls_View_v2.aspx?routingGuid=28cf88b2-695f-4467-a36a-7ea401b5c0dd")</f>
        <v>https://grls.rosminzdrav.ru/Grls_View_v2.aspx?routingGuid=28cf88b2-695f-4467-a36a-7ea401b5c0dd</v>
      </c>
      <c r="D175" s="8" t="str">
        <f>IFERROR(__xludf.DUMMYFUNCTION("""COMPUTED_VALUE"""),"аАКДС-М")</f>
        <v>аАКДС-М</v>
      </c>
      <c r="E175" s="8" t="str">
        <f>IFERROR(__xludf.DUMMYFUNCTION("""COMPUTED_VALUE"""),"аАКДС-М (Вакцина против дифтерии, столбняка, коклюша бесклеточная адсорбированная с уменьшенным содержанием антигенов)")</f>
        <v>аАКДС-М (Вакцина против дифтерии, столбняка, коклюша бесклеточная адсорбированная с уменьшенным содержанием антигенов)</v>
      </c>
      <c r="F175" s="8" t="str">
        <f>IFERROR(__xludf.DUMMYFUNCTION("""COMPUTED_VALUE"""),"Микроген")</f>
        <v>Микроген</v>
      </c>
      <c r="G175" s="8" t="str">
        <f>IFERROR(__xludf.DUMMYFUNCTION("""COMPUTED_VALUE"""),"not in use")</f>
        <v>not in use</v>
      </c>
      <c r="H175" s="9"/>
      <c r="I175" s="9"/>
      <c r="J175" s="8"/>
      <c r="K175" s="10">
        <f>IFERROR(__xludf.DUMMYFUNCTION("""COMPUTED_VALUE"""),46131.0)</f>
        <v>46131</v>
      </c>
      <c r="L175" s="8"/>
      <c r="M175" s="8" t="str">
        <f>IFERROR(__xludf.DUMMYFUNCTION("""COMPUTED_VALUE"""),"есть")</f>
        <v>есть</v>
      </c>
    </row>
    <row r="176">
      <c r="A176" s="6">
        <f>IFERROR(__xludf.DUMMYFUNCTION("""COMPUTED_VALUE"""),175.0)</f>
        <v>175</v>
      </c>
      <c r="B176" s="6" t="str">
        <f>IFERROR(__xludf.DUMMYFUNCTION("""COMPUTED_VALUE"""),"Nimenrix")</f>
        <v>Nimenrix</v>
      </c>
      <c r="C176" s="7" t="str">
        <f>IFERROR(__xludf.DUMMYFUNCTION("""COMPUTED_VALUE"""),"https://grls.rosminzdrav.ru/Grls_View_v2.aspx?routingGuid=f226c735-914f-4562-8e0c-88a46da41b90")</f>
        <v>https://grls.rosminzdrav.ru/Grls_View_v2.aspx?routingGuid=f226c735-914f-4562-8e0c-88a46da41b90</v>
      </c>
      <c r="D176" s="8" t="str">
        <f>IFERROR(__xludf.DUMMYFUNCTION("""COMPUTED_VALUE"""),"Нименрикс")</f>
        <v>Нименрикс</v>
      </c>
      <c r="E176" s="8" t="str">
        <f>IFERROR(__xludf.DUMMYFUNCTION("""COMPUTED_VALUE"""),"Нименрикс® конъюгированная вакцина против менингококковой инфекции серогрупп A, C, W-135, Y")</f>
        <v>Нименрикс® конъюгированная вакцина против менингококковой инфекции серогрупп A, C, W-135, Y</v>
      </c>
      <c r="F176" s="8" t="str">
        <f>IFERROR(__xludf.DUMMYFUNCTION("""COMPUTED_VALUE"""),"Пфайзер")</f>
        <v>Пфайзер</v>
      </c>
      <c r="G176" s="8" t="str">
        <f>IFERROR(__xludf.DUMMYFUNCTION("""COMPUTED_VALUE"""),"not in use")</f>
        <v>not in use</v>
      </c>
      <c r="H176" s="9" t="str">
        <f>IFERROR(__xludf.DUMMYFUNCTION("""COMPUTED_VALUE"""),"&lt;p&gt;менингококки группы A, C, W-135, Y&lt;/p&gt;")</f>
        <v>&lt;p&gt;менингококки группы A, C, W-135, Y&lt;/p&gt;</v>
      </c>
      <c r="I176" s="9" t="str">
        <f>IFERROR(__xludf.DUMMYFUNCTION("""COMPUTED_VALUE"""),"менингококки группы A, C, W-135, Y")</f>
        <v>менингококки группы A, C, W-135, Y</v>
      </c>
      <c r="J176" s="8"/>
      <c r="K176" s="10">
        <f>IFERROR(__xludf.DUMMYFUNCTION("""COMPUTED_VALUE"""),46131.0)</f>
        <v>46131</v>
      </c>
      <c r="L176" s="8"/>
      <c r="M176" s="8" t="str">
        <f>IFERROR(__xludf.DUMMYFUNCTION("""COMPUTED_VALUE"""),"есть")</f>
        <v>есть</v>
      </c>
    </row>
    <row r="177">
      <c r="A177" s="6"/>
      <c r="B177" s="6"/>
      <c r="C177" s="8"/>
      <c r="D177" s="8"/>
      <c r="E177" s="8"/>
      <c r="F177" s="8"/>
      <c r="G177" s="8"/>
      <c r="H177" s="9"/>
      <c r="I177" s="9"/>
      <c r="J177" s="8"/>
      <c r="K177" s="8"/>
      <c r="L177" s="8"/>
      <c r="M177" s="8"/>
    </row>
    <row r="178">
      <c r="A178" s="6"/>
      <c r="B178" s="6"/>
      <c r="C178" s="8"/>
      <c r="D178" s="8"/>
      <c r="E178" s="8"/>
      <c r="F178" s="8"/>
      <c r="G178" s="8"/>
      <c r="H178" s="9"/>
      <c r="I178" s="9"/>
      <c r="J178" s="8"/>
      <c r="K178" s="8"/>
      <c r="L178" s="8"/>
      <c r="M178" s="8"/>
    </row>
    <row r="179">
      <c r="A179" s="6"/>
      <c r="B179" s="6"/>
      <c r="C179" s="8"/>
      <c r="D179" s="8"/>
      <c r="E179" s="8"/>
      <c r="F179" s="8"/>
      <c r="G179" s="8"/>
      <c r="H179" s="9"/>
      <c r="I179" s="9"/>
      <c r="J179" s="8"/>
      <c r="K179" s="8"/>
      <c r="L179" s="8"/>
      <c r="M179" s="8"/>
    </row>
    <row r="180">
      <c r="A180" s="6"/>
      <c r="B180" s="6"/>
      <c r="C180" s="8"/>
      <c r="D180" s="8"/>
      <c r="E180" s="8"/>
      <c r="F180" s="8"/>
      <c r="G180" s="8"/>
      <c r="H180" s="9"/>
      <c r="I180" s="9"/>
      <c r="J180" s="8"/>
      <c r="K180" s="8"/>
      <c r="L180" s="8"/>
      <c r="M180" s="8"/>
    </row>
    <row r="181">
      <c r="A181" s="6"/>
      <c r="B181" s="6"/>
      <c r="C181" s="8"/>
      <c r="D181" s="8"/>
      <c r="E181" s="8"/>
      <c r="F181" s="8"/>
      <c r="G181" s="8"/>
      <c r="H181" s="9"/>
      <c r="I181" s="9"/>
      <c r="J181" s="8"/>
      <c r="K181" s="8"/>
      <c r="L181" s="8"/>
      <c r="M181" s="8"/>
    </row>
    <row r="182">
      <c r="A182" s="6"/>
      <c r="B182" s="6"/>
      <c r="C182" s="8"/>
      <c r="D182" s="8"/>
      <c r="E182" s="8"/>
      <c r="F182" s="8"/>
      <c r="G182" s="8"/>
      <c r="H182" s="9"/>
      <c r="I182" s="9"/>
      <c r="J182" s="8"/>
      <c r="K182" s="8"/>
      <c r="L182" s="8"/>
      <c r="M182" s="8"/>
    </row>
    <row r="183">
      <c r="A183" s="6"/>
      <c r="B183" s="6"/>
      <c r="C183" s="8"/>
      <c r="D183" s="8"/>
      <c r="E183" s="8"/>
      <c r="F183" s="8"/>
      <c r="G183" s="8"/>
      <c r="H183" s="9"/>
      <c r="I183" s="9"/>
      <c r="J183" s="8"/>
      <c r="K183" s="8"/>
      <c r="L183" s="8"/>
      <c r="M183" s="8"/>
    </row>
    <row r="184">
      <c r="A184" s="6"/>
      <c r="B184" s="6"/>
      <c r="C184" s="8"/>
      <c r="D184" s="8"/>
      <c r="E184" s="8"/>
      <c r="F184" s="8"/>
      <c r="G184" s="8"/>
      <c r="H184" s="9"/>
      <c r="I184" s="9"/>
      <c r="J184" s="8"/>
      <c r="K184" s="8"/>
      <c r="L184" s="8"/>
      <c r="M184" s="8"/>
    </row>
    <row r="185">
      <c r="A185" s="6"/>
      <c r="B185" s="6"/>
      <c r="C185" s="8"/>
      <c r="D185" s="8"/>
      <c r="E185" s="8"/>
      <c r="F185" s="8"/>
      <c r="G185" s="8"/>
      <c r="H185" s="9"/>
      <c r="I185" s="9"/>
      <c r="J185" s="8"/>
      <c r="K185" s="8"/>
      <c r="L185" s="8"/>
      <c r="M185" s="8"/>
    </row>
    <row r="186">
      <c r="A186" s="6"/>
      <c r="B186" s="6"/>
      <c r="C186" s="8"/>
      <c r="D186" s="8"/>
      <c r="E186" s="8"/>
      <c r="F186" s="8"/>
      <c r="G186" s="8"/>
      <c r="H186" s="9"/>
      <c r="I186" s="9"/>
      <c r="J186" s="8"/>
      <c r="K186" s="8"/>
      <c r="L186" s="8"/>
      <c r="M186" s="8"/>
    </row>
    <row r="187">
      <c r="A187" s="6"/>
      <c r="B187" s="6"/>
      <c r="C187" s="8"/>
      <c r="D187" s="8"/>
      <c r="E187" s="8"/>
      <c r="F187" s="8"/>
      <c r="G187" s="8"/>
      <c r="H187" s="9"/>
      <c r="I187" s="9"/>
      <c r="J187" s="8"/>
      <c r="K187" s="8"/>
      <c r="L187" s="8"/>
      <c r="M187" s="8"/>
    </row>
    <row r="188">
      <c r="A188" s="6"/>
      <c r="B188" s="6"/>
      <c r="C188" s="8"/>
      <c r="D188" s="8"/>
      <c r="E188" s="8"/>
      <c r="F188" s="8"/>
      <c r="G188" s="8"/>
      <c r="H188" s="9"/>
      <c r="I188" s="9"/>
      <c r="J188" s="8"/>
      <c r="K188" s="8"/>
      <c r="L188" s="8"/>
      <c r="M188" s="8"/>
    </row>
    <row r="189">
      <c r="A189" s="6"/>
      <c r="B189" s="6"/>
      <c r="C189" s="8"/>
      <c r="D189" s="8"/>
      <c r="E189" s="8"/>
      <c r="F189" s="8"/>
      <c r="G189" s="8"/>
      <c r="H189" s="9"/>
      <c r="I189" s="9"/>
      <c r="J189" s="8"/>
      <c r="K189" s="8"/>
      <c r="L189" s="8"/>
      <c r="M189" s="8"/>
    </row>
    <row r="190">
      <c r="A190" s="6"/>
      <c r="B190" s="6"/>
      <c r="C190" s="8"/>
      <c r="D190" s="8"/>
      <c r="E190" s="8"/>
      <c r="F190" s="8"/>
      <c r="G190" s="8"/>
      <c r="H190" s="9"/>
      <c r="I190" s="9"/>
      <c r="J190" s="8"/>
      <c r="K190" s="8"/>
      <c r="L190" s="8"/>
      <c r="M190" s="8"/>
    </row>
    <row r="191">
      <c r="A191" s="6"/>
      <c r="B191" s="6"/>
      <c r="C191" s="8"/>
      <c r="D191" s="8"/>
      <c r="E191" s="8"/>
      <c r="F191" s="8"/>
      <c r="G191" s="8"/>
      <c r="H191" s="9"/>
      <c r="I191" s="9"/>
      <c r="J191" s="8"/>
      <c r="K191" s="8"/>
      <c r="L191" s="8"/>
      <c r="M191" s="8"/>
    </row>
    <row r="192">
      <c r="A192" s="6"/>
      <c r="B192" s="6"/>
      <c r="C192" s="8"/>
      <c r="D192" s="8"/>
      <c r="E192" s="8"/>
      <c r="F192" s="8"/>
      <c r="G192" s="8"/>
      <c r="H192" s="9"/>
      <c r="I192" s="9"/>
      <c r="J192" s="8"/>
      <c r="K192" s="8"/>
      <c r="L192" s="8"/>
      <c r="M192" s="8"/>
    </row>
    <row r="193">
      <c r="A193" s="6"/>
      <c r="B193" s="6"/>
      <c r="C193" s="8"/>
      <c r="D193" s="8"/>
      <c r="E193" s="8"/>
      <c r="F193" s="8"/>
      <c r="G193" s="8"/>
      <c r="H193" s="9"/>
      <c r="I193" s="9"/>
      <c r="J193" s="8"/>
      <c r="K193" s="8"/>
      <c r="L193" s="8"/>
      <c r="M193" s="8"/>
    </row>
    <row r="194">
      <c r="A194" s="6"/>
      <c r="B194" s="6"/>
      <c r="C194" s="8"/>
      <c r="D194" s="8"/>
      <c r="E194" s="8"/>
      <c r="F194" s="8"/>
      <c r="G194" s="8"/>
      <c r="H194" s="9"/>
      <c r="I194" s="9"/>
      <c r="J194" s="8"/>
      <c r="K194" s="8"/>
      <c r="L194" s="8"/>
      <c r="M194" s="8"/>
    </row>
    <row r="195">
      <c r="A195" s="6"/>
      <c r="B195" s="6"/>
      <c r="C195" s="8"/>
      <c r="D195" s="8"/>
      <c r="E195" s="8"/>
      <c r="F195" s="8"/>
      <c r="G195" s="8"/>
      <c r="H195" s="9"/>
      <c r="I195" s="9"/>
      <c r="J195" s="8"/>
      <c r="K195" s="8"/>
      <c r="L195" s="8"/>
      <c r="M195" s="8"/>
    </row>
    <row r="196">
      <c r="A196" s="6"/>
      <c r="B196" s="6"/>
      <c r="C196" s="8"/>
      <c r="D196" s="8"/>
      <c r="E196" s="8"/>
      <c r="F196" s="8"/>
      <c r="G196" s="8"/>
      <c r="H196" s="9"/>
      <c r="I196" s="9"/>
      <c r="J196" s="8"/>
      <c r="K196" s="8"/>
      <c r="L196" s="8"/>
      <c r="M196" s="8"/>
    </row>
    <row r="197">
      <c r="A197" s="6"/>
      <c r="B197" s="6"/>
      <c r="C197" s="8"/>
      <c r="D197" s="8"/>
      <c r="E197" s="8"/>
      <c r="F197" s="8"/>
      <c r="G197" s="8"/>
      <c r="H197" s="9"/>
      <c r="I197" s="9"/>
      <c r="J197" s="8"/>
      <c r="K197" s="8"/>
      <c r="L197" s="8"/>
      <c r="M197" s="8"/>
    </row>
    <row r="198">
      <c r="A198" s="6"/>
      <c r="B198" s="6"/>
      <c r="C198" s="8"/>
      <c r="D198" s="8"/>
      <c r="E198" s="8"/>
      <c r="F198" s="8"/>
      <c r="G198" s="8"/>
      <c r="H198" s="9"/>
      <c r="I198" s="9"/>
      <c r="J198" s="8"/>
      <c r="K198" s="8"/>
      <c r="L198" s="8"/>
      <c r="M198" s="8"/>
    </row>
    <row r="199">
      <c r="A199" s="6"/>
      <c r="B199" s="6"/>
      <c r="C199" s="8"/>
      <c r="D199" s="8"/>
      <c r="E199" s="8"/>
      <c r="F199" s="8"/>
      <c r="G199" s="8"/>
      <c r="H199" s="9"/>
      <c r="I199" s="9"/>
      <c r="J199" s="8"/>
      <c r="K199" s="8"/>
      <c r="L199" s="8"/>
      <c r="M199" s="8"/>
    </row>
    <row r="200">
      <c r="A200" s="6"/>
      <c r="B200" s="6"/>
      <c r="C200" s="8"/>
      <c r="D200" s="8"/>
      <c r="E200" s="8"/>
      <c r="F200" s="8"/>
      <c r="G200" s="8"/>
      <c r="H200" s="9"/>
      <c r="I200" s="9"/>
      <c r="J200" s="8"/>
      <c r="K200" s="8"/>
      <c r="L200" s="8"/>
      <c r="M200" s="8"/>
    </row>
    <row r="201">
      <c r="A201" s="6"/>
      <c r="B201" s="6"/>
      <c r="C201" s="8"/>
      <c r="D201" s="8"/>
      <c r="E201" s="8"/>
      <c r="F201" s="8"/>
      <c r="G201" s="8"/>
      <c r="H201" s="9"/>
      <c r="I201" s="9"/>
      <c r="J201" s="8"/>
      <c r="K201" s="8"/>
      <c r="L201" s="8"/>
      <c r="M201" s="8"/>
    </row>
    <row r="202">
      <c r="A202" s="6"/>
      <c r="B202" s="6"/>
      <c r="C202" s="8"/>
      <c r="D202" s="8"/>
      <c r="E202" s="8"/>
      <c r="F202" s="8"/>
      <c r="G202" s="8"/>
      <c r="H202" s="9"/>
      <c r="I202" s="9"/>
      <c r="J202" s="8"/>
      <c r="K202" s="8"/>
      <c r="L202" s="8"/>
      <c r="M202" s="8"/>
    </row>
    <row r="203">
      <c r="A203" s="6"/>
      <c r="B203" s="6"/>
      <c r="C203" s="8"/>
      <c r="D203" s="8"/>
      <c r="E203" s="8"/>
      <c r="F203" s="8"/>
      <c r="G203" s="8"/>
      <c r="H203" s="9"/>
      <c r="I203" s="9"/>
      <c r="J203" s="8"/>
      <c r="K203" s="8"/>
      <c r="L203" s="8"/>
      <c r="M203" s="8"/>
    </row>
    <row r="204">
      <c r="A204" s="6"/>
      <c r="B204" s="6"/>
      <c r="C204" s="8"/>
      <c r="D204" s="8"/>
      <c r="E204" s="8"/>
      <c r="F204" s="8"/>
      <c r="G204" s="8"/>
      <c r="H204" s="9"/>
      <c r="I204" s="9"/>
      <c r="J204" s="8"/>
      <c r="K204" s="8"/>
      <c r="L204" s="8"/>
      <c r="M204" s="8"/>
    </row>
    <row r="205">
      <c r="A205" s="6"/>
      <c r="B205" s="6"/>
      <c r="C205" s="8"/>
      <c r="D205" s="8"/>
      <c r="E205" s="8"/>
      <c r="F205" s="8"/>
      <c r="G205" s="8"/>
      <c r="H205" s="9"/>
      <c r="I205" s="9"/>
      <c r="J205" s="8"/>
      <c r="K205" s="8"/>
      <c r="L205" s="8"/>
      <c r="M205" s="8"/>
    </row>
    <row r="206">
      <c r="A206" s="6"/>
      <c r="B206" s="6"/>
      <c r="C206" s="8"/>
      <c r="D206" s="8"/>
      <c r="E206" s="8"/>
      <c r="F206" s="8"/>
      <c r="G206" s="8"/>
      <c r="H206" s="9"/>
      <c r="I206" s="9"/>
      <c r="J206" s="8"/>
      <c r="K206" s="8"/>
      <c r="L206" s="8"/>
      <c r="M206" s="8"/>
    </row>
    <row r="207">
      <c r="A207" s="6"/>
      <c r="B207" s="6"/>
      <c r="C207" s="8"/>
      <c r="D207" s="8"/>
      <c r="E207" s="8"/>
      <c r="F207" s="8"/>
      <c r="G207" s="8"/>
      <c r="H207" s="9"/>
      <c r="I207" s="9"/>
      <c r="J207" s="8"/>
      <c r="K207" s="8"/>
      <c r="L207" s="8"/>
      <c r="M207" s="8"/>
    </row>
    <row r="208">
      <c r="A208" s="6"/>
      <c r="B208" s="6"/>
      <c r="C208" s="8"/>
      <c r="D208" s="8"/>
      <c r="E208" s="8"/>
      <c r="F208" s="8"/>
      <c r="G208" s="8"/>
      <c r="H208" s="9"/>
      <c r="I208" s="9"/>
      <c r="J208" s="8"/>
      <c r="K208" s="8"/>
      <c r="L208" s="8"/>
      <c r="M208" s="8"/>
    </row>
    <row r="209">
      <c r="A209" s="6"/>
      <c r="B209" s="6"/>
      <c r="C209" s="8"/>
      <c r="D209" s="8"/>
      <c r="E209" s="8"/>
      <c r="F209" s="8"/>
      <c r="G209" s="8"/>
      <c r="H209" s="9"/>
      <c r="I209" s="9"/>
      <c r="J209" s="8"/>
      <c r="K209" s="8"/>
      <c r="L209" s="8"/>
      <c r="M209" s="8"/>
    </row>
    <row r="210">
      <c r="A210" s="6"/>
      <c r="B210" s="6"/>
      <c r="C210" s="8"/>
      <c r="D210" s="8"/>
      <c r="E210" s="8"/>
      <c r="F210" s="8"/>
      <c r="G210" s="8"/>
      <c r="H210" s="9"/>
      <c r="I210" s="9"/>
      <c r="J210" s="8"/>
      <c r="K210" s="8"/>
      <c r="L210" s="8"/>
      <c r="M210" s="8"/>
    </row>
    <row r="211">
      <c r="A211" s="6"/>
      <c r="B211" s="6"/>
      <c r="C211" s="8"/>
      <c r="D211" s="8"/>
      <c r="E211" s="8"/>
      <c r="F211" s="8"/>
      <c r="G211" s="8"/>
      <c r="H211" s="9"/>
      <c r="I211" s="9"/>
      <c r="J211" s="8"/>
      <c r="K211" s="8"/>
      <c r="L211" s="8"/>
      <c r="M211" s="8"/>
    </row>
    <row r="212">
      <c r="A212" s="6"/>
      <c r="B212" s="6"/>
      <c r="C212" s="8"/>
      <c r="D212" s="8"/>
      <c r="E212" s="8"/>
      <c r="F212" s="8"/>
      <c r="G212" s="8"/>
      <c r="H212" s="9"/>
      <c r="I212" s="9"/>
      <c r="J212" s="8"/>
      <c r="K212" s="8"/>
      <c r="L212" s="8"/>
      <c r="M212" s="8"/>
    </row>
    <row r="213">
      <c r="A213" s="6"/>
      <c r="B213" s="6"/>
      <c r="C213" s="8"/>
      <c r="D213" s="8"/>
      <c r="E213" s="8"/>
      <c r="F213" s="8"/>
      <c r="G213" s="8"/>
      <c r="H213" s="9"/>
      <c r="I213" s="9"/>
      <c r="J213" s="8"/>
      <c r="K213" s="8"/>
      <c r="L213" s="8"/>
      <c r="M213" s="8"/>
    </row>
    <row r="214">
      <c r="A214" s="6"/>
      <c r="B214" s="6"/>
      <c r="C214" s="8"/>
      <c r="D214" s="8"/>
      <c r="E214" s="8"/>
      <c r="F214" s="8"/>
      <c r="G214" s="8"/>
      <c r="H214" s="9"/>
      <c r="I214" s="9"/>
      <c r="J214" s="8"/>
      <c r="K214" s="8"/>
      <c r="L214" s="8"/>
      <c r="M214" s="8"/>
    </row>
    <row r="215">
      <c r="A215" s="6"/>
      <c r="B215" s="6"/>
      <c r="C215" s="8"/>
      <c r="D215" s="8"/>
      <c r="E215" s="8"/>
      <c r="F215" s="8"/>
      <c r="G215" s="8"/>
      <c r="H215" s="9"/>
      <c r="I215" s="9"/>
      <c r="J215" s="8"/>
      <c r="K215" s="8"/>
      <c r="L215" s="8"/>
      <c r="M215" s="8"/>
    </row>
    <row r="216">
      <c r="A216" s="6"/>
      <c r="B216" s="6"/>
      <c r="C216" s="8"/>
      <c r="D216" s="8"/>
      <c r="E216" s="8"/>
      <c r="F216" s="8"/>
      <c r="G216" s="8"/>
      <c r="H216" s="9"/>
      <c r="I216" s="9"/>
      <c r="J216" s="8"/>
      <c r="K216" s="8"/>
      <c r="L216" s="8"/>
      <c r="M216" s="8"/>
    </row>
    <row r="217">
      <c r="A217" s="6"/>
      <c r="B217" s="6"/>
      <c r="C217" s="8"/>
      <c r="D217" s="8"/>
      <c r="E217" s="8"/>
      <c r="F217" s="8"/>
      <c r="G217" s="8"/>
      <c r="H217" s="9"/>
      <c r="I217" s="9"/>
      <c r="J217" s="8"/>
      <c r="K217" s="8"/>
      <c r="L217" s="8"/>
      <c r="M217" s="8"/>
    </row>
    <row r="218">
      <c r="A218" s="6"/>
      <c r="B218" s="6"/>
      <c r="C218" s="8"/>
      <c r="D218" s="8"/>
      <c r="E218" s="8"/>
      <c r="F218" s="8"/>
      <c r="G218" s="8"/>
      <c r="H218" s="9"/>
      <c r="I218" s="9"/>
      <c r="J218" s="8"/>
      <c r="K218" s="8"/>
      <c r="L218" s="8"/>
      <c r="M218" s="8"/>
    </row>
    <row r="219">
      <c r="A219" s="6"/>
      <c r="B219" s="6"/>
      <c r="C219" s="8"/>
      <c r="D219" s="8"/>
      <c r="E219" s="8"/>
      <c r="F219" s="8"/>
      <c r="G219" s="8"/>
      <c r="H219" s="9"/>
      <c r="I219" s="9"/>
      <c r="J219" s="8"/>
      <c r="K219" s="8"/>
      <c r="L219" s="8"/>
      <c r="M219" s="8"/>
    </row>
    <row r="220">
      <c r="A220" s="6"/>
      <c r="B220" s="6"/>
      <c r="C220" s="8"/>
      <c r="D220" s="8"/>
      <c r="E220" s="8"/>
      <c r="F220" s="8"/>
      <c r="G220" s="8"/>
      <c r="H220" s="9"/>
      <c r="I220" s="9"/>
      <c r="J220" s="8"/>
      <c r="K220" s="8"/>
      <c r="L220" s="8"/>
      <c r="M220" s="8"/>
    </row>
    <row r="221">
      <c r="A221" s="6"/>
      <c r="B221" s="6"/>
      <c r="C221" s="8"/>
      <c r="D221" s="8"/>
      <c r="E221" s="8"/>
      <c r="F221" s="8"/>
      <c r="G221" s="8"/>
      <c r="H221" s="9"/>
      <c r="I221" s="9"/>
      <c r="J221" s="8"/>
      <c r="K221" s="8"/>
      <c r="L221" s="8"/>
      <c r="M221" s="8"/>
    </row>
    <row r="222">
      <c r="A222" s="6"/>
      <c r="B222" s="6"/>
      <c r="C222" s="8"/>
      <c r="D222" s="8"/>
      <c r="E222" s="8"/>
      <c r="F222" s="8"/>
      <c r="G222" s="8"/>
      <c r="H222" s="9"/>
      <c r="I222" s="9"/>
      <c r="J222" s="8"/>
      <c r="K222" s="8"/>
      <c r="L222" s="8"/>
      <c r="M222" s="8"/>
    </row>
    <row r="223">
      <c r="A223" s="6"/>
      <c r="B223" s="6"/>
      <c r="C223" s="8"/>
      <c r="D223" s="8"/>
      <c r="E223" s="8"/>
      <c r="F223" s="8"/>
      <c r="G223" s="8"/>
      <c r="H223" s="9"/>
      <c r="I223" s="9"/>
      <c r="J223" s="8"/>
      <c r="K223" s="8"/>
      <c r="L223" s="8"/>
      <c r="M223" s="8"/>
    </row>
    <row r="224">
      <c r="A224" s="6"/>
      <c r="B224" s="6"/>
      <c r="C224" s="8"/>
      <c r="D224" s="8"/>
      <c r="E224" s="8"/>
      <c r="F224" s="8"/>
      <c r="G224" s="8"/>
      <c r="H224" s="9"/>
      <c r="I224" s="9"/>
      <c r="J224" s="8"/>
      <c r="K224" s="8"/>
      <c r="L224" s="8"/>
      <c r="M224" s="8"/>
    </row>
    <row r="225">
      <c r="A225" s="6"/>
      <c r="B225" s="6"/>
      <c r="C225" s="8"/>
      <c r="D225" s="8"/>
      <c r="E225" s="8"/>
      <c r="F225" s="8"/>
      <c r="G225" s="8"/>
      <c r="H225" s="9"/>
      <c r="I225" s="9"/>
      <c r="J225" s="8"/>
      <c r="K225" s="8"/>
      <c r="L225" s="8"/>
      <c r="M225" s="8"/>
    </row>
    <row r="226">
      <c r="A226" s="6"/>
      <c r="B226" s="6"/>
      <c r="C226" s="8"/>
      <c r="D226" s="8"/>
      <c r="E226" s="8"/>
      <c r="F226" s="8"/>
      <c r="G226" s="8"/>
      <c r="H226" s="9"/>
      <c r="I226" s="9"/>
      <c r="J226" s="8"/>
      <c r="K226" s="8"/>
      <c r="L226" s="8"/>
      <c r="M226" s="8"/>
    </row>
    <row r="227">
      <c r="A227" s="6"/>
      <c r="B227" s="6"/>
      <c r="C227" s="8"/>
      <c r="D227" s="8"/>
      <c r="E227" s="8"/>
      <c r="F227" s="8"/>
      <c r="G227" s="8"/>
      <c r="H227" s="9"/>
      <c r="I227" s="9"/>
      <c r="J227" s="8"/>
      <c r="K227" s="8"/>
      <c r="L227" s="8"/>
      <c r="M227" s="8"/>
    </row>
    <row r="228">
      <c r="A228" s="6"/>
      <c r="B228" s="6"/>
      <c r="C228" s="8"/>
      <c r="D228" s="8"/>
      <c r="E228" s="8"/>
      <c r="F228" s="8"/>
      <c r="G228" s="8"/>
      <c r="H228" s="9"/>
      <c r="I228" s="9"/>
      <c r="J228" s="8"/>
      <c r="K228" s="8"/>
      <c r="L228" s="8"/>
      <c r="M228" s="8"/>
    </row>
    <row r="229">
      <c r="A229" s="6"/>
      <c r="B229" s="6"/>
      <c r="C229" s="8"/>
      <c r="D229" s="8"/>
      <c r="E229" s="8"/>
      <c r="F229" s="8"/>
      <c r="G229" s="8"/>
      <c r="H229" s="9"/>
      <c r="I229" s="9"/>
      <c r="J229" s="8"/>
      <c r="K229" s="8"/>
      <c r="L229" s="8"/>
      <c r="M229" s="8"/>
    </row>
    <row r="230">
      <c r="A230" s="6"/>
      <c r="B230" s="6"/>
      <c r="C230" s="8"/>
      <c r="D230" s="8"/>
      <c r="E230" s="8"/>
      <c r="F230" s="8"/>
      <c r="G230" s="8"/>
      <c r="H230" s="9"/>
      <c r="I230" s="9"/>
      <c r="J230" s="8"/>
      <c r="K230" s="8"/>
      <c r="L230" s="8"/>
      <c r="M230" s="8"/>
    </row>
    <row r="231">
      <c r="A231" s="6"/>
      <c r="B231" s="6"/>
      <c r="C231" s="8"/>
      <c r="D231" s="8"/>
      <c r="E231" s="8"/>
      <c r="F231" s="8"/>
      <c r="G231" s="8"/>
      <c r="H231" s="9"/>
      <c r="I231" s="9"/>
      <c r="J231" s="8"/>
      <c r="K231" s="8"/>
      <c r="L231" s="8"/>
      <c r="M231" s="8"/>
    </row>
    <row r="232">
      <c r="A232" s="6"/>
      <c r="B232" s="6"/>
      <c r="C232" s="8"/>
      <c r="D232" s="8"/>
      <c r="E232" s="8"/>
      <c r="F232" s="8"/>
      <c r="G232" s="8"/>
      <c r="H232" s="9"/>
      <c r="I232" s="9"/>
      <c r="J232" s="8"/>
      <c r="K232" s="8"/>
      <c r="L232" s="8"/>
      <c r="M232" s="8"/>
    </row>
    <row r="233">
      <c r="A233" s="6"/>
      <c r="B233" s="6"/>
      <c r="C233" s="8"/>
      <c r="D233" s="8"/>
      <c r="E233" s="8"/>
      <c r="F233" s="8"/>
      <c r="G233" s="8"/>
      <c r="H233" s="9"/>
      <c r="I233" s="9"/>
      <c r="J233" s="8"/>
      <c r="K233" s="8"/>
      <c r="L233" s="8"/>
      <c r="M233" s="8"/>
    </row>
    <row r="234">
      <c r="A234" s="6"/>
      <c r="B234" s="6"/>
      <c r="C234" s="8"/>
      <c r="D234" s="8"/>
      <c r="E234" s="8"/>
      <c r="F234" s="8"/>
      <c r="G234" s="8"/>
      <c r="H234" s="9"/>
      <c r="I234" s="9"/>
      <c r="J234" s="8"/>
      <c r="K234" s="8"/>
      <c r="L234" s="8"/>
      <c r="M234" s="8"/>
    </row>
    <row r="235">
      <c r="A235" s="6"/>
      <c r="B235" s="6"/>
      <c r="C235" s="8"/>
      <c r="D235" s="8"/>
      <c r="E235" s="8"/>
      <c r="F235" s="8"/>
      <c r="G235" s="8"/>
      <c r="H235" s="9"/>
      <c r="I235" s="9"/>
      <c r="J235" s="8"/>
      <c r="K235" s="8"/>
      <c r="L235" s="8"/>
      <c r="M235" s="8"/>
    </row>
    <row r="236">
      <c r="A236" s="6"/>
      <c r="B236" s="6"/>
      <c r="C236" s="8"/>
      <c r="D236" s="8"/>
      <c r="E236" s="8"/>
      <c r="F236" s="8"/>
      <c r="G236" s="8"/>
      <c r="H236" s="9"/>
      <c r="I236" s="9"/>
      <c r="J236" s="8"/>
      <c r="K236" s="8"/>
      <c r="L236" s="8"/>
      <c r="M236" s="8"/>
    </row>
    <row r="237">
      <c r="A237" s="6"/>
      <c r="B237" s="6"/>
      <c r="C237" s="8"/>
      <c r="D237" s="8"/>
      <c r="E237" s="8"/>
      <c r="F237" s="8"/>
      <c r="G237" s="8"/>
      <c r="H237" s="9"/>
      <c r="I237" s="9"/>
      <c r="J237" s="8"/>
      <c r="K237" s="8"/>
      <c r="L237" s="8"/>
      <c r="M237" s="8"/>
    </row>
    <row r="238">
      <c r="A238" s="6"/>
      <c r="B238" s="6"/>
      <c r="C238" s="8"/>
      <c r="D238" s="8"/>
      <c r="E238" s="8"/>
      <c r="F238" s="8"/>
      <c r="G238" s="8"/>
      <c r="H238" s="9"/>
      <c r="I238" s="9"/>
      <c r="J238" s="8"/>
      <c r="K238" s="8"/>
      <c r="L238" s="8"/>
      <c r="M238" s="8"/>
    </row>
    <row r="239">
      <c r="A239" s="6"/>
      <c r="B239" s="6"/>
      <c r="C239" s="8"/>
      <c r="D239" s="8"/>
      <c r="E239" s="8"/>
      <c r="F239" s="8"/>
      <c r="G239" s="8"/>
      <c r="H239" s="9"/>
      <c r="I239" s="9"/>
      <c r="J239" s="8"/>
      <c r="K239" s="8"/>
      <c r="L239" s="8"/>
      <c r="M239" s="8"/>
    </row>
    <row r="240">
      <c r="A240" s="6"/>
      <c r="B240" s="6"/>
      <c r="C240" s="8"/>
      <c r="D240" s="8"/>
      <c r="E240" s="8"/>
      <c r="F240" s="8"/>
      <c r="G240" s="8"/>
      <c r="H240" s="9"/>
      <c r="I240" s="9"/>
      <c r="J240" s="8"/>
      <c r="K240" s="8"/>
      <c r="L240" s="8"/>
      <c r="M240" s="8"/>
    </row>
    <row r="241">
      <c r="A241" s="6"/>
      <c r="B241" s="6"/>
      <c r="C241" s="8"/>
      <c r="D241" s="8"/>
      <c r="E241" s="8"/>
      <c r="F241" s="8"/>
      <c r="G241" s="8"/>
      <c r="H241" s="9"/>
      <c r="I241" s="9"/>
      <c r="J241" s="8"/>
      <c r="K241" s="8"/>
      <c r="L241" s="8"/>
      <c r="M241" s="8"/>
    </row>
    <row r="242">
      <c r="A242" s="6"/>
      <c r="B242" s="6"/>
      <c r="C242" s="8"/>
      <c r="D242" s="8"/>
      <c r="E242" s="8"/>
      <c r="F242" s="8"/>
      <c r="G242" s="8"/>
      <c r="H242" s="9"/>
      <c r="I242" s="9"/>
      <c r="J242" s="8"/>
      <c r="K242" s="8"/>
      <c r="L242" s="8"/>
      <c r="M242" s="8"/>
    </row>
    <row r="243">
      <c r="A243" s="6"/>
      <c r="B243" s="6"/>
      <c r="C243" s="8"/>
      <c r="D243" s="8"/>
      <c r="E243" s="8"/>
      <c r="F243" s="8"/>
      <c r="G243" s="8"/>
      <c r="H243" s="9"/>
      <c r="I243" s="9"/>
      <c r="J243" s="8"/>
      <c r="K243" s="8"/>
      <c r="L243" s="8"/>
      <c r="M243" s="8"/>
    </row>
    <row r="244">
      <c r="A244" s="6"/>
      <c r="B244" s="6"/>
      <c r="C244" s="8"/>
      <c r="D244" s="8"/>
      <c r="E244" s="8"/>
      <c r="F244" s="8"/>
      <c r="G244" s="8"/>
      <c r="H244" s="9"/>
      <c r="I244" s="9"/>
      <c r="J244" s="8"/>
      <c r="K244" s="8"/>
      <c r="L244" s="8"/>
      <c r="M244" s="8"/>
    </row>
    <row r="245">
      <c r="A245" s="6"/>
      <c r="B245" s="6"/>
      <c r="C245" s="8"/>
      <c r="D245" s="8"/>
      <c r="E245" s="8"/>
      <c r="F245" s="8"/>
      <c r="G245" s="8"/>
      <c r="H245" s="9"/>
      <c r="I245" s="9"/>
      <c r="J245" s="8"/>
      <c r="K245" s="8"/>
      <c r="L245" s="8"/>
      <c r="M245" s="8"/>
    </row>
    <row r="246">
      <c r="A246" s="6"/>
      <c r="B246" s="6"/>
      <c r="C246" s="8"/>
      <c r="D246" s="8"/>
      <c r="E246" s="8"/>
      <c r="F246" s="8"/>
      <c r="G246" s="8"/>
      <c r="H246" s="9"/>
      <c r="I246" s="9"/>
      <c r="J246" s="8"/>
      <c r="K246" s="8"/>
      <c r="L246" s="8"/>
      <c r="M246" s="8"/>
    </row>
    <row r="247">
      <c r="A247" s="6"/>
      <c r="B247" s="6"/>
      <c r="C247" s="8"/>
      <c r="D247" s="8"/>
      <c r="E247" s="8"/>
      <c r="F247" s="8"/>
      <c r="G247" s="8"/>
      <c r="H247" s="9"/>
      <c r="I247" s="9"/>
      <c r="J247" s="8"/>
      <c r="K247" s="8"/>
      <c r="L247" s="8"/>
      <c r="M247" s="8"/>
    </row>
    <row r="248">
      <c r="A248" s="6"/>
      <c r="B248" s="6"/>
      <c r="C248" s="8"/>
      <c r="D248" s="8"/>
      <c r="E248" s="8"/>
      <c r="F248" s="8"/>
      <c r="G248" s="8"/>
      <c r="H248" s="9"/>
      <c r="I248" s="9"/>
      <c r="J248" s="8"/>
      <c r="K248" s="8"/>
      <c r="L248" s="8"/>
      <c r="M248" s="8"/>
    </row>
    <row r="249">
      <c r="A249" s="6"/>
      <c r="B249" s="6"/>
      <c r="C249" s="8"/>
      <c r="D249" s="8"/>
      <c r="E249" s="8"/>
      <c r="F249" s="8"/>
      <c r="G249" s="8"/>
      <c r="H249" s="9"/>
      <c r="I249" s="9"/>
      <c r="J249" s="8"/>
      <c r="K249" s="8"/>
      <c r="L249" s="8"/>
      <c r="M249" s="8"/>
    </row>
    <row r="250">
      <c r="A250" s="6"/>
      <c r="B250" s="6"/>
      <c r="C250" s="8"/>
      <c r="D250" s="8"/>
      <c r="E250" s="8"/>
      <c r="F250" s="8"/>
      <c r="G250" s="8"/>
      <c r="H250" s="9"/>
      <c r="I250" s="9"/>
      <c r="J250" s="8"/>
      <c r="K250" s="8"/>
      <c r="L250" s="8"/>
      <c r="M250" s="8"/>
    </row>
    <row r="251">
      <c r="A251" s="6"/>
      <c r="B251" s="6"/>
      <c r="C251" s="8"/>
      <c r="D251" s="8"/>
      <c r="E251" s="8"/>
      <c r="F251" s="8"/>
      <c r="G251" s="8"/>
      <c r="H251" s="9"/>
      <c r="I251" s="9"/>
      <c r="J251" s="8"/>
      <c r="K251" s="8"/>
      <c r="L251" s="8"/>
      <c r="M251" s="8"/>
    </row>
    <row r="252">
      <c r="A252" s="6"/>
      <c r="B252" s="6"/>
      <c r="C252" s="8"/>
      <c r="D252" s="8"/>
      <c r="E252" s="8"/>
      <c r="F252" s="8"/>
      <c r="G252" s="8"/>
      <c r="H252" s="9"/>
      <c r="I252" s="9"/>
      <c r="J252" s="8"/>
      <c r="K252" s="8"/>
      <c r="L252" s="8"/>
      <c r="M252" s="8"/>
    </row>
    <row r="253">
      <c r="A253" s="6"/>
      <c r="B253" s="6"/>
      <c r="C253" s="8"/>
      <c r="D253" s="8"/>
      <c r="E253" s="8"/>
      <c r="F253" s="8"/>
      <c r="G253" s="8"/>
      <c r="H253" s="9"/>
      <c r="I253" s="9"/>
      <c r="J253" s="8"/>
      <c r="K253" s="8"/>
      <c r="L253" s="8"/>
      <c r="M253" s="8"/>
    </row>
    <row r="254">
      <c r="A254" s="6"/>
      <c r="B254" s="6"/>
      <c r="C254" s="8"/>
      <c r="D254" s="8"/>
      <c r="E254" s="8"/>
      <c r="F254" s="8"/>
      <c r="G254" s="8"/>
      <c r="H254" s="9"/>
      <c r="I254" s="9"/>
      <c r="J254" s="8"/>
      <c r="K254" s="8"/>
      <c r="L254" s="8"/>
      <c r="M254" s="8"/>
    </row>
    <row r="255">
      <c r="A255" s="6"/>
      <c r="B255" s="6"/>
      <c r="C255" s="8"/>
      <c r="D255" s="8"/>
      <c r="E255" s="8"/>
      <c r="F255" s="8"/>
      <c r="G255" s="8"/>
      <c r="H255" s="9"/>
      <c r="I255" s="9"/>
      <c r="J255" s="8"/>
      <c r="K255" s="8"/>
      <c r="L255" s="8"/>
      <c r="M255" s="8"/>
    </row>
    <row r="256">
      <c r="A256" s="6"/>
      <c r="B256" s="6"/>
      <c r="C256" s="8"/>
      <c r="D256" s="8"/>
      <c r="E256" s="8"/>
      <c r="F256" s="8"/>
      <c r="G256" s="8"/>
      <c r="H256" s="9"/>
      <c r="I256" s="9"/>
      <c r="J256" s="8"/>
      <c r="K256" s="8"/>
      <c r="L256" s="8"/>
      <c r="M256" s="8"/>
    </row>
    <row r="257">
      <c r="A257" s="6"/>
      <c r="B257" s="6"/>
      <c r="C257" s="8"/>
      <c r="D257" s="8"/>
      <c r="E257" s="8"/>
      <c r="F257" s="8"/>
      <c r="G257" s="8"/>
      <c r="H257" s="9"/>
      <c r="I257" s="9"/>
      <c r="J257" s="8"/>
      <c r="K257" s="8"/>
      <c r="L257" s="8"/>
      <c r="M257" s="8"/>
    </row>
    <row r="258">
      <c r="A258" s="6"/>
      <c r="B258" s="6"/>
      <c r="C258" s="8"/>
      <c r="D258" s="8"/>
      <c r="E258" s="8"/>
      <c r="F258" s="8"/>
      <c r="G258" s="8"/>
      <c r="H258" s="9"/>
      <c r="I258" s="9"/>
      <c r="J258" s="8"/>
      <c r="K258" s="8"/>
      <c r="L258" s="8"/>
      <c r="M258" s="8"/>
    </row>
    <row r="259">
      <c r="A259" s="6"/>
      <c r="B259" s="6"/>
      <c r="C259" s="8"/>
      <c r="D259" s="8"/>
      <c r="E259" s="8"/>
      <c r="F259" s="8"/>
      <c r="G259" s="8"/>
      <c r="H259" s="9"/>
      <c r="I259" s="9"/>
      <c r="J259" s="8"/>
      <c r="K259" s="8"/>
      <c r="L259" s="8"/>
      <c r="M259" s="8"/>
    </row>
    <row r="260">
      <c r="A260" s="6"/>
      <c r="B260" s="6"/>
      <c r="C260" s="8"/>
      <c r="D260" s="8"/>
      <c r="E260" s="8"/>
      <c r="F260" s="8"/>
      <c r="G260" s="8"/>
      <c r="H260" s="9"/>
      <c r="I260" s="9"/>
      <c r="J260" s="8"/>
      <c r="K260" s="8"/>
      <c r="L260" s="8"/>
      <c r="M260" s="8"/>
    </row>
    <row r="261">
      <c r="A261" s="6"/>
      <c r="B261" s="6"/>
      <c r="C261" s="8"/>
      <c r="D261" s="8"/>
      <c r="E261" s="8"/>
      <c r="F261" s="8"/>
      <c r="G261" s="8"/>
      <c r="H261" s="9"/>
      <c r="I261" s="9"/>
      <c r="J261" s="8"/>
      <c r="K261" s="8"/>
      <c r="L261" s="8"/>
      <c r="M261" s="8"/>
    </row>
    <row r="262">
      <c r="A262" s="6"/>
      <c r="B262" s="6"/>
      <c r="C262" s="8"/>
      <c r="D262" s="8"/>
      <c r="E262" s="8"/>
      <c r="F262" s="8"/>
      <c r="G262" s="8"/>
      <c r="H262" s="9"/>
      <c r="I262" s="9"/>
      <c r="J262" s="8"/>
      <c r="K262" s="8"/>
      <c r="L262" s="8"/>
      <c r="M262" s="8"/>
    </row>
    <row r="263">
      <c r="A263" s="6"/>
      <c r="B263" s="6"/>
      <c r="C263" s="8"/>
      <c r="D263" s="8"/>
      <c r="E263" s="8"/>
      <c r="F263" s="8"/>
      <c r="G263" s="8"/>
      <c r="H263" s="9"/>
      <c r="I263" s="9"/>
      <c r="J263" s="8"/>
      <c r="K263" s="8"/>
      <c r="L263" s="8"/>
      <c r="M263" s="8"/>
    </row>
    <row r="264">
      <c r="A264" s="6"/>
      <c r="B264" s="6"/>
      <c r="C264" s="8"/>
      <c r="D264" s="8"/>
      <c r="E264" s="8"/>
      <c r="F264" s="8"/>
      <c r="G264" s="8"/>
      <c r="H264" s="9"/>
      <c r="I264" s="9"/>
      <c r="J264" s="8"/>
      <c r="K264" s="8"/>
      <c r="L264" s="8"/>
      <c r="M264" s="8"/>
    </row>
    <row r="265">
      <c r="A265" s="6"/>
      <c r="B265" s="6"/>
      <c r="C265" s="8"/>
      <c r="D265" s="8"/>
      <c r="E265" s="8"/>
      <c r="F265" s="8"/>
      <c r="G265" s="8"/>
      <c r="H265" s="9"/>
      <c r="I265" s="9"/>
      <c r="J265" s="8"/>
      <c r="K265" s="8"/>
      <c r="L265" s="8"/>
      <c r="M265" s="8"/>
    </row>
    <row r="266">
      <c r="A266" s="6"/>
      <c r="B266" s="6"/>
      <c r="C266" s="8"/>
      <c r="D266" s="8"/>
      <c r="E266" s="8"/>
      <c r="F266" s="8"/>
      <c r="G266" s="8"/>
      <c r="H266" s="9"/>
      <c r="I266" s="9"/>
      <c r="J266" s="8"/>
      <c r="K266" s="8"/>
      <c r="L266" s="8"/>
      <c r="M266" s="8"/>
    </row>
    <row r="267">
      <c r="A267" s="6"/>
      <c r="B267" s="6"/>
      <c r="C267" s="8"/>
      <c r="D267" s="8"/>
      <c r="E267" s="8"/>
      <c r="F267" s="8"/>
      <c r="G267" s="8"/>
      <c r="H267" s="9"/>
      <c r="I267" s="9"/>
      <c r="J267" s="8"/>
      <c r="K267" s="8"/>
      <c r="L267" s="8"/>
      <c r="M267" s="8"/>
    </row>
    <row r="268">
      <c r="A268" s="6"/>
      <c r="B268" s="6"/>
      <c r="C268" s="8"/>
      <c r="D268" s="8"/>
      <c r="E268" s="8"/>
      <c r="F268" s="8"/>
      <c r="G268" s="8"/>
      <c r="H268" s="9"/>
      <c r="I268" s="9"/>
      <c r="J268" s="8"/>
      <c r="K268" s="8"/>
      <c r="L268" s="8"/>
      <c r="M268" s="8"/>
    </row>
    <row r="269">
      <c r="A269" s="6"/>
      <c r="B269" s="6"/>
      <c r="C269" s="8"/>
      <c r="D269" s="8"/>
      <c r="E269" s="8"/>
      <c r="F269" s="8"/>
      <c r="G269" s="8"/>
      <c r="H269" s="9"/>
      <c r="I269" s="9"/>
      <c r="J269" s="8"/>
      <c r="K269" s="8"/>
      <c r="L269" s="8"/>
      <c r="M269" s="8"/>
    </row>
    <row r="270">
      <c r="A270" s="6"/>
      <c r="B270" s="6"/>
      <c r="C270" s="8"/>
      <c r="D270" s="8"/>
      <c r="E270" s="8"/>
      <c r="F270" s="8"/>
      <c r="G270" s="8"/>
      <c r="H270" s="9"/>
      <c r="I270" s="9"/>
      <c r="J270" s="8"/>
      <c r="K270" s="8"/>
      <c r="L270" s="8"/>
      <c r="M270" s="8"/>
    </row>
    <row r="271">
      <c r="A271" s="6"/>
      <c r="B271" s="6"/>
      <c r="C271" s="8"/>
      <c r="D271" s="8"/>
      <c r="E271" s="8"/>
      <c r="F271" s="8"/>
      <c r="G271" s="8"/>
      <c r="H271" s="9"/>
      <c r="I271" s="9"/>
      <c r="J271" s="8"/>
      <c r="K271" s="8"/>
      <c r="L271" s="8"/>
      <c r="M271" s="8"/>
    </row>
    <row r="272">
      <c r="A272" s="6"/>
      <c r="B272" s="6"/>
      <c r="C272" s="8"/>
      <c r="D272" s="8"/>
      <c r="E272" s="8"/>
      <c r="F272" s="8"/>
      <c r="G272" s="8"/>
      <c r="H272" s="9"/>
      <c r="I272" s="9"/>
      <c r="J272" s="8"/>
      <c r="K272" s="8"/>
      <c r="L272" s="8"/>
      <c r="M272" s="8"/>
    </row>
    <row r="273">
      <c r="A273" s="6"/>
      <c r="B273" s="6"/>
      <c r="C273" s="8"/>
      <c r="D273" s="8"/>
      <c r="E273" s="8"/>
      <c r="F273" s="8"/>
      <c r="G273" s="8"/>
      <c r="H273" s="9"/>
      <c r="I273" s="9"/>
      <c r="J273" s="8"/>
      <c r="K273" s="8"/>
      <c r="L273" s="8"/>
      <c r="M273" s="8"/>
    </row>
    <row r="274">
      <c r="A274" s="6"/>
      <c r="B274" s="6"/>
      <c r="C274" s="8"/>
      <c r="D274" s="8"/>
      <c r="E274" s="8"/>
      <c r="F274" s="8"/>
      <c r="G274" s="8"/>
      <c r="H274" s="9"/>
      <c r="I274" s="9"/>
      <c r="J274" s="8"/>
      <c r="K274" s="8"/>
      <c r="L274" s="8"/>
      <c r="M274" s="8"/>
    </row>
    <row r="275">
      <c r="A275" s="6"/>
      <c r="B275" s="6"/>
      <c r="C275" s="8"/>
      <c r="D275" s="8"/>
      <c r="E275" s="8"/>
      <c r="F275" s="8"/>
      <c r="G275" s="8"/>
      <c r="H275" s="9"/>
      <c r="I275" s="9"/>
      <c r="J275" s="8"/>
      <c r="K275" s="8"/>
      <c r="L275" s="8"/>
      <c r="M275" s="8"/>
    </row>
    <row r="276">
      <c r="A276" s="6"/>
      <c r="B276" s="6"/>
      <c r="C276" s="8"/>
      <c r="D276" s="8"/>
      <c r="E276" s="8"/>
      <c r="F276" s="8"/>
      <c r="G276" s="8"/>
      <c r="H276" s="9"/>
      <c r="I276" s="9"/>
      <c r="J276" s="8"/>
      <c r="K276" s="8"/>
      <c r="L276" s="8"/>
      <c r="M276" s="8"/>
    </row>
    <row r="277">
      <c r="A277" s="6"/>
      <c r="B277" s="6"/>
      <c r="C277" s="8"/>
      <c r="D277" s="8"/>
      <c r="E277" s="8"/>
      <c r="F277" s="8"/>
      <c r="G277" s="8"/>
      <c r="H277" s="9"/>
      <c r="I277" s="9"/>
      <c r="J277" s="8"/>
      <c r="K277" s="8"/>
      <c r="L277" s="8"/>
      <c r="M277" s="8"/>
    </row>
    <row r="278">
      <c r="A278" s="6"/>
      <c r="B278" s="6"/>
      <c r="C278" s="8"/>
      <c r="D278" s="8"/>
      <c r="E278" s="8"/>
      <c r="F278" s="8"/>
      <c r="G278" s="8"/>
      <c r="H278" s="9"/>
      <c r="I278" s="9"/>
      <c r="J278" s="8"/>
      <c r="K278" s="8"/>
      <c r="L278" s="8"/>
      <c r="M278" s="8"/>
    </row>
    <row r="279">
      <c r="A279" s="6"/>
      <c r="B279" s="6"/>
      <c r="C279" s="8"/>
      <c r="D279" s="8"/>
      <c r="E279" s="8"/>
      <c r="F279" s="8"/>
      <c r="G279" s="8"/>
      <c r="H279" s="9"/>
      <c r="I279" s="9"/>
      <c r="J279" s="8"/>
      <c r="K279" s="8"/>
      <c r="L279" s="8"/>
      <c r="M279" s="8"/>
    </row>
    <row r="280">
      <c r="A280" s="6"/>
      <c r="B280" s="6"/>
      <c r="C280" s="8"/>
      <c r="D280" s="8"/>
      <c r="E280" s="8"/>
      <c r="F280" s="8"/>
      <c r="G280" s="8"/>
      <c r="H280" s="9"/>
      <c r="I280" s="9"/>
      <c r="J280" s="8"/>
      <c r="K280" s="8"/>
      <c r="L280" s="8"/>
      <c r="M280" s="8"/>
    </row>
    <row r="281">
      <c r="A281" s="6"/>
      <c r="B281" s="6"/>
      <c r="C281" s="8"/>
      <c r="D281" s="8"/>
      <c r="E281" s="8"/>
      <c r="F281" s="8"/>
      <c r="G281" s="8"/>
      <c r="H281" s="9"/>
      <c r="I281" s="9"/>
      <c r="J281" s="8"/>
      <c r="K281" s="8"/>
      <c r="L281" s="8"/>
      <c r="M281" s="8"/>
    </row>
    <row r="282">
      <c r="A282" s="6"/>
      <c r="B282" s="6"/>
      <c r="C282" s="8"/>
      <c r="D282" s="8"/>
      <c r="E282" s="8"/>
      <c r="F282" s="8"/>
      <c r="G282" s="8"/>
      <c r="H282" s="9"/>
      <c r="I282" s="9"/>
      <c r="J282" s="8"/>
      <c r="K282" s="8"/>
      <c r="L282" s="8"/>
      <c r="M282" s="8"/>
    </row>
    <row r="283">
      <c r="A283" s="6"/>
      <c r="B283" s="6"/>
      <c r="C283" s="8"/>
      <c r="D283" s="8"/>
      <c r="E283" s="8"/>
      <c r="F283" s="8"/>
      <c r="G283" s="8"/>
      <c r="H283" s="9"/>
      <c r="I283" s="9"/>
      <c r="J283" s="8"/>
      <c r="K283" s="8"/>
      <c r="L283" s="8"/>
      <c r="M283" s="8"/>
    </row>
    <row r="284">
      <c r="A284" s="6"/>
      <c r="B284" s="6"/>
      <c r="C284" s="8"/>
      <c r="D284" s="8"/>
      <c r="E284" s="8"/>
      <c r="F284" s="8"/>
      <c r="G284" s="8"/>
      <c r="H284" s="9"/>
      <c r="I284" s="9"/>
      <c r="J284" s="8"/>
      <c r="K284" s="8"/>
      <c r="L284" s="8"/>
      <c r="M284" s="8"/>
    </row>
    <row r="285">
      <c r="A285" s="6"/>
      <c r="B285" s="6"/>
      <c r="C285" s="8"/>
      <c r="D285" s="8"/>
      <c r="E285" s="8"/>
      <c r="F285" s="8"/>
      <c r="G285" s="8"/>
      <c r="H285" s="9"/>
      <c r="I285" s="9"/>
      <c r="J285" s="8"/>
      <c r="K285" s="8"/>
      <c r="L285" s="8"/>
      <c r="M285" s="8"/>
    </row>
    <row r="286">
      <c r="A286" s="6"/>
      <c r="B286" s="6"/>
      <c r="C286" s="8"/>
      <c r="D286" s="8"/>
      <c r="E286" s="8"/>
      <c r="F286" s="8"/>
      <c r="G286" s="8"/>
      <c r="H286" s="9"/>
      <c r="I286" s="9"/>
      <c r="J286" s="8"/>
      <c r="K286" s="8"/>
      <c r="L286" s="8"/>
      <c r="M286" s="8"/>
    </row>
    <row r="287">
      <c r="A287" s="6"/>
      <c r="B287" s="6"/>
      <c r="C287" s="8"/>
      <c r="D287" s="8"/>
      <c r="E287" s="8"/>
      <c r="F287" s="8"/>
      <c r="G287" s="8"/>
      <c r="H287" s="9"/>
      <c r="I287" s="9"/>
      <c r="J287" s="8"/>
      <c r="K287" s="8"/>
      <c r="L287" s="8"/>
      <c r="M287" s="8"/>
    </row>
    <row r="288">
      <c r="A288" s="6"/>
      <c r="B288" s="6"/>
      <c r="C288" s="8"/>
      <c r="D288" s="8"/>
      <c r="E288" s="8"/>
      <c r="F288" s="8"/>
      <c r="G288" s="8"/>
      <c r="H288" s="9"/>
      <c r="I288" s="9"/>
      <c r="J288" s="8"/>
      <c r="K288" s="8"/>
      <c r="L288" s="8"/>
      <c r="M288" s="8"/>
    </row>
    <row r="289">
      <c r="A289" s="6"/>
      <c r="B289" s="6"/>
      <c r="C289" s="8"/>
      <c r="D289" s="8"/>
      <c r="E289" s="8"/>
      <c r="F289" s="8"/>
      <c r="G289" s="8"/>
      <c r="H289" s="9"/>
      <c r="I289" s="9"/>
      <c r="J289" s="8"/>
      <c r="K289" s="8"/>
      <c r="L289" s="8"/>
      <c r="M289" s="8"/>
    </row>
    <row r="290">
      <c r="A290" s="6"/>
      <c r="B290" s="6"/>
      <c r="C290" s="8"/>
      <c r="D290" s="8"/>
      <c r="E290" s="8"/>
      <c r="F290" s="8"/>
      <c r="G290" s="8"/>
      <c r="H290" s="9"/>
      <c r="I290" s="9"/>
      <c r="J290" s="8"/>
      <c r="K290" s="8"/>
      <c r="L290" s="8"/>
      <c r="M290" s="8"/>
    </row>
    <row r="291">
      <c r="A291" s="6"/>
      <c r="B291" s="6"/>
      <c r="C291" s="8"/>
      <c r="D291" s="8"/>
      <c r="E291" s="8"/>
      <c r="F291" s="8"/>
      <c r="G291" s="8"/>
      <c r="H291" s="9"/>
      <c r="I291" s="9"/>
      <c r="J291" s="8"/>
      <c r="K291" s="8"/>
      <c r="L291" s="8"/>
      <c r="M291" s="8"/>
    </row>
    <row r="292">
      <c r="A292" s="6"/>
      <c r="B292" s="6"/>
      <c r="C292" s="8"/>
      <c r="D292" s="8"/>
      <c r="E292" s="8"/>
      <c r="F292" s="8"/>
      <c r="G292" s="8"/>
      <c r="H292" s="9"/>
      <c r="I292" s="9"/>
      <c r="J292" s="8"/>
      <c r="K292" s="8"/>
      <c r="L292" s="8"/>
      <c r="M292" s="8"/>
    </row>
    <row r="293">
      <c r="A293" s="6"/>
      <c r="B293" s="6"/>
      <c r="C293" s="8"/>
      <c r="D293" s="8"/>
      <c r="E293" s="8"/>
      <c r="F293" s="8"/>
      <c r="G293" s="8"/>
      <c r="H293" s="9"/>
      <c r="I293" s="9"/>
      <c r="J293" s="8"/>
      <c r="K293" s="8"/>
      <c r="L293" s="8"/>
      <c r="M293" s="8"/>
    </row>
    <row r="294">
      <c r="A294" s="6"/>
      <c r="B294" s="6"/>
      <c r="C294" s="8"/>
      <c r="D294" s="8"/>
      <c r="E294" s="8"/>
      <c r="F294" s="8"/>
      <c r="G294" s="8"/>
      <c r="H294" s="9"/>
      <c r="I294" s="9"/>
      <c r="J294" s="8"/>
      <c r="K294" s="8"/>
      <c r="L294" s="8"/>
      <c r="M294" s="8"/>
    </row>
    <row r="295">
      <c r="A295" s="6"/>
      <c r="B295" s="6"/>
      <c r="C295" s="8"/>
      <c r="D295" s="8"/>
      <c r="E295" s="8"/>
      <c r="F295" s="8"/>
      <c r="G295" s="8"/>
      <c r="H295" s="9"/>
      <c r="I295" s="9"/>
      <c r="J295" s="8"/>
      <c r="K295" s="8"/>
      <c r="L295" s="8"/>
      <c r="M295" s="8"/>
    </row>
    <row r="296">
      <c r="A296" s="6"/>
      <c r="B296" s="6"/>
      <c r="C296" s="8"/>
      <c r="D296" s="8"/>
      <c r="E296" s="8"/>
      <c r="F296" s="8"/>
      <c r="G296" s="8"/>
      <c r="H296" s="9"/>
      <c r="I296" s="9"/>
      <c r="J296" s="8"/>
      <c r="K296" s="8"/>
      <c r="L296" s="8"/>
      <c r="M296" s="8"/>
    </row>
    <row r="297">
      <c r="A297" s="6"/>
      <c r="B297" s="6"/>
      <c r="C297" s="8"/>
      <c r="D297" s="8"/>
      <c r="E297" s="8"/>
      <c r="F297" s="8"/>
      <c r="G297" s="8"/>
      <c r="H297" s="9"/>
      <c r="I297" s="9"/>
      <c r="J297" s="8"/>
      <c r="K297" s="8"/>
      <c r="L297" s="8"/>
      <c r="M297" s="8"/>
    </row>
    <row r="298">
      <c r="A298" s="6"/>
      <c r="B298" s="6"/>
      <c r="C298" s="8"/>
      <c r="D298" s="8"/>
      <c r="E298" s="8"/>
      <c r="F298" s="8"/>
      <c r="G298" s="8"/>
      <c r="H298" s="9"/>
      <c r="I298" s="9"/>
      <c r="J298" s="8"/>
      <c r="K298" s="8"/>
      <c r="L298" s="8"/>
      <c r="M298" s="8"/>
    </row>
    <row r="299">
      <c r="A299" s="6"/>
      <c r="B299" s="6"/>
      <c r="C299" s="8"/>
      <c r="D299" s="8"/>
      <c r="E299" s="8"/>
      <c r="F299" s="8"/>
      <c r="G299" s="8"/>
      <c r="H299" s="9"/>
      <c r="I299" s="9"/>
      <c r="J299" s="8"/>
      <c r="K299" s="8"/>
      <c r="L299" s="8"/>
      <c r="M299" s="8"/>
    </row>
    <row r="300">
      <c r="A300" s="6"/>
      <c r="B300" s="6"/>
      <c r="C300" s="8"/>
      <c r="D300" s="8"/>
      <c r="E300" s="8"/>
      <c r="F300" s="8"/>
      <c r="G300" s="8"/>
      <c r="H300" s="9"/>
      <c r="I300" s="9"/>
      <c r="J300" s="8"/>
      <c r="K300" s="8"/>
      <c r="L300" s="8"/>
      <c r="M300" s="8"/>
    </row>
    <row r="301">
      <c r="A301" s="6"/>
      <c r="B301" s="6"/>
      <c r="C301" s="8"/>
      <c r="D301" s="8"/>
      <c r="E301" s="8"/>
      <c r="F301" s="8"/>
      <c r="G301" s="8"/>
      <c r="H301" s="9"/>
      <c r="I301" s="9"/>
      <c r="J301" s="8"/>
      <c r="K301" s="8"/>
      <c r="L301" s="8"/>
      <c r="M301" s="8"/>
    </row>
    <row r="302">
      <c r="A302" s="6"/>
      <c r="B302" s="6"/>
      <c r="C302" s="8"/>
      <c r="D302" s="8"/>
      <c r="E302" s="8"/>
      <c r="F302" s="8"/>
      <c r="G302" s="8"/>
      <c r="H302" s="9"/>
      <c r="I302" s="9"/>
      <c r="J302" s="8"/>
      <c r="K302" s="8"/>
      <c r="L302" s="8"/>
      <c r="M302" s="8"/>
    </row>
    <row r="303">
      <c r="A303" s="6"/>
      <c r="B303" s="6"/>
      <c r="C303" s="8"/>
      <c r="D303" s="8"/>
      <c r="E303" s="8"/>
      <c r="F303" s="8"/>
      <c r="G303" s="8"/>
      <c r="H303" s="9"/>
      <c r="I303" s="9"/>
      <c r="J303" s="8"/>
      <c r="K303" s="8"/>
      <c r="L303" s="8"/>
      <c r="M303" s="8"/>
    </row>
    <row r="304">
      <c r="A304" s="6"/>
      <c r="B304" s="6"/>
      <c r="C304" s="8"/>
      <c r="D304" s="8"/>
      <c r="E304" s="8"/>
      <c r="F304" s="8"/>
      <c r="G304" s="8"/>
      <c r="H304" s="9"/>
      <c r="I304" s="9"/>
      <c r="J304" s="8"/>
      <c r="K304" s="8"/>
      <c r="L304" s="8"/>
      <c r="M304" s="8"/>
    </row>
    <row r="305">
      <c r="A305" s="6"/>
      <c r="B305" s="6"/>
      <c r="C305" s="8"/>
      <c r="D305" s="8"/>
      <c r="E305" s="8"/>
      <c r="F305" s="8"/>
      <c r="G305" s="8"/>
      <c r="H305" s="9"/>
      <c r="I305" s="9"/>
      <c r="J305" s="8"/>
      <c r="K305" s="8"/>
      <c r="L305" s="8"/>
      <c r="M305" s="8"/>
    </row>
    <row r="306">
      <c r="A306" s="6"/>
      <c r="B306" s="6"/>
      <c r="C306" s="8"/>
      <c r="D306" s="8"/>
      <c r="E306" s="8"/>
      <c r="F306" s="8"/>
      <c r="G306" s="8"/>
      <c r="H306" s="9"/>
      <c r="I306" s="9"/>
      <c r="J306" s="8"/>
      <c r="K306" s="8"/>
      <c r="L306" s="8"/>
      <c r="M306" s="8"/>
    </row>
    <row r="307">
      <c r="A307" s="6"/>
      <c r="B307" s="6"/>
      <c r="C307" s="8"/>
      <c r="D307" s="8"/>
      <c r="E307" s="8"/>
      <c r="F307" s="8"/>
      <c r="G307" s="8"/>
      <c r="H307" s="9"/>
      <c r="I307" s="9"/>
      <c r="J307" s="8"/>
      <c r="K307" s="8"/>
      <c r="L307" s="8"/>
      <c r="M307" s="8"/>
    </row>
    <row r="308">
      <c r="A308" s="6"/>
      <c r="B308" s="6"/>
      <c r="C308" s="8"/>
      <c r="D308" s="8"/>
      <c r="E308" s="8"/>
      <c r="F308" s="8"/>
      <c r="G308" s="8"/>
      <c r="H308" s="9"/>
      <c r="I308" s="9"/>
      <c r="J308" s="8"/>
      <c r="K308" s="8"/>
      <c r="L308" s="8"/>
      <c r="M308" s="8"/>
    </row>
    <row r="309">
      <c r="A309" s="6"/>
      <c r="B309" s="6"/>
      <c r="C309" s="8"/>
      <c r="D309" s="8"/>
      <c r="E309" s="8"/>
      <c r="F309" s="8"/>
      <c r="G309" s="8"/>
      <c r="H309" s="9"/>
      <c r="I309" s="9"/>
      <c r="J309" s="8"/>
      <c r="K309" s="8"/>
      <c r="L309" s="8"/>
      <c r="M309" s="8"/>
    </row>
    <row r="310">
      <c r="A310" s="6"/>
      <c r="B310" s="6"/>
      <c r="C310" s="8"/>
      <c r="D310" s="8"/>
      <c r="E310" s="8"/>
      <c r="F310" s="8"/>
      <c r="G310" s="8"/>
      <c r="H310" s="9"/>
      <c r="I310" s="9"/>
      <c r="J310" s="8"/>
      <c r="K310" s="8"/>
      <c r="L310" s="8"/>
      <c r="M310" s="8"/>
    </row>
    <row r="311">
      <c r="A311" s="6"/>
      <c r="B311" s="6"/>
      <c r="C311" s="8"/>
      <c r="D311" s="8"/>
      <c r="E311" s="8"/>
      <c r="F311" s="8"/>
      <c r="G311" s="8"/>
      <c r="H311" s="9"/>
      <c r="I311" s="9"/>
      <c r="J311" s="8"/>
      <c r="K311" s="8"/>
      <c r="L311" s="8"/>
      <c r="M311" s="8"/>
    </row>
    <row r="312">
      <c r="A312" s="6"/>
      <c r="B312" s="6"/>
      <c r="C312" s="8"/>
      <c r="D312" s="8"/>
      <c r="E312" s="8"/>
      <c r="F312" s="8"/>
      <c r="G312" s="8"/>
      <c r="H312" s="9"/>
      <c r="I312" s="9"/>
      <c r="J312" s="8"/>
      <c r="K312" s="8"/>
      <c r="L312" s="8"/>
      <c r="M312" s="8"/>
    </row>
    <row r="313">
      <c r="A313" s="6"/>
      <c r="B313" s="6"/>
      <c r="C313" s="8"/>
      <c r="D313" s="8"/>
      <c r="E313" s="8"/>
      <c r="F313" s="8"/>
      <c r="G313" s="8"/>
      <c r="H313" s="9"/>
      <c r="I313" s="9"/>
      <c r="J313" s="8"/>
      <c r="K313" s="8"/>
      <c r="L313" s="8"/>
      <c r="M313" s="8"/>
    </row>
    <row r="314">
      <c r="A314" s="6"/>
      <c r="B314" s="6"/>
      <c r="C314" s="8"/>
      <c r="D314" s="8"/>
      <c r="E314" s="8"/>
      <c r="F314" s="8"/>
      <c r="G314" s="8"/>
      <c r="H314" s="9"/>
      <c r="I314" s="9"/>
      <c r="J314" s="8"/>
      <c r="K314" s="8"/>
      <c r="L314" s="8"/>
      <c r="M314" s="8"/>
    </row>
    <row r="315">
      <c r="A315" s="6"/>
      <c r="B315" s="6"/>
      <c r="C315" s="8"/>
      <c r="D315" s="8"/>
      <c r="E315" s="8"/>
      <c r="F315" s="8"/>
      <c r="G315" s="8"/>
      <c r="H315" s="9"/>
      <c r="I315" s="9"/>
      <c r="J315" s="8"/>
      <c r="K315" s="8"/>
      <c r="L315" s="8"/>
      <c r="M315" s="8"/>
    </row>
    <row r="316">
      <c r="A316" s="6"/>
      <c r="B316" s="6"/>
      <c r="C316" s="8"/>
      <c r="D316" s="8"/>
      <c r="E316" s="8"/>
      <c r="F316" s="8"/>
      <c r="G316" s="8"/>
      <c r="H316" s="9"/>
      <c r="I316" s="9"/>
      <c r="J316" s="8"/>
      <c r="K316" s="8"/>
      <c r="L316" s="8"/>
      <c r="M316" s="8"/>
    </row>
    <row r="317">
      <c r="A317" s="6"/>
      <c r="B317" s="6"/>
      <c r="C317" s="8"/>
      <c r="D317" s="8"/>
      <c r="E317" s="8"/>
      <c r="F317" s="8"/>
      <c r="G317" s="8"/>
      <c r="H317" s="9"/>
      <c r="I317" s="9"/>
      <c r="J317" s="8"/>
      <c r="K317" s="8"/>
      <c r="L317" s="8"/>
      <c r="M317" s="8"/>
    </row>
    <row r="318">
      <c r="A318" s="6"/>
      <c r="B318" s="6"/>
      <c r="C318" s="8"/>
      <c r="D318" s="8"/>
      <c r="E318" s="8"/>
      <c r="F318" s="8"/>
      <c r="G318" s="8"/>
      <c r="H318" s="9"/>
      <c r="I318" s="9"/>
      <c r="J318" s="8"/>
      <c r="K318" s="8"/>
      <c r="L318" s="8"/>
      <c r="M318" s="8"/>
    </row>
    <row r="319">
      <c r="A319" s="6"/>
      <c r="B319" s="6"/>
      <c r="C319" s="8"/>
      <c r="D319" s="8"/>
      <c r="E319" s="8"/>
      <c r="F319" s="8"/>
      <c r="G319" s="8"/>
      <c r="H319" s="9"/>
      <c r="I319" s="9"/>
      <c r="J319" s="8"/>
      <c r="K319" s="8"/>
      <c r="L319" s="8"/>
      <c r="M319" s="8"/>
    </row>
    <row r="320">
      <c r="A320" s="6"/>
      <c r="B320" s="6"/>
      <c r="C320" s="8"/>
      <c r="D320" s="8"/>
      <c r="E320" s="8"/>
      <c r="F320" s="8"/>
      <c r="G320" s="8"/>
      <c r="H320" s="9"/>
      <c r="I320" s="9"/>
      <c r="J320" s="8"/>
      <c r="K320" s="8"/>
      <c r="L320" s="8"/>
      <c r="M320" s="8"/>
    </row>
    <row r="321">
      <c r="A321" s="6"/>
      <c r="B321" s="6"/>
      <c r="C321" s="8"/>
      <c r="D321" s="8"/>
      <c r="E321" s="8"/>
      <c r="F321" s="8"/>
      <c r="G321" s="8"/>
      <c r="H321" s="9"/>
      <c r="I321" s="9"/>
      <c r="J321" s="8"/>
      <c r="K321" s="8"/>
      <c r="L321" s="8"/>
      <c r="M321" s="8"/>
    </row>
    <row r="322">
      <c r="A322" s="6"/>
      <c r="B322" s="6"/>
      <c r="C322" s="8"/>
      <c r="D322" s="8"/>
      <c r="E322" s="8"/>
      <c r="F322" s="8"/>
      <c r="G322" s="8"/>
      <c r="H322" s="9"/>
      <c r="I322" s="9"/>
      <c r="J322" s="8"/>
      <c r="K322" s="8"/>
      <c r="L322" s="8"/>
      <c r="M322" s="8"/>
    </row>
    <row r="323">
      <c r="A323" s="6"/>
      <c r="B323" s="6"/>
      <c r="C323" s="8"/>
      <c r="D323" s="8"/>
      <c r="E323" s="8"/>
      <c r="F323" s="8"/>
      <c r="G323" s="8"/>
      <c r="H323" s="9"/>
      <c r="I323" s="9"/>
      <c r="J323" s="8"/>
      <c r="K323" s="8"/>
      <c r="L323" s="8"/>
      <c r="M323" s="8"/>
    </row>
    <row r="324">
      <c r="A324" s="6"/>
      <c r="B324" s="6"/>
      <c r="C324" s="8"/>
      <c r="D324" s="8"/>
      <c r="E324" s="8"/>
      <c r="F324" s="8"/>
      <c r="G324" s="8"/>
      <c r="H324" s="9"/>
      <c r="I324" s="9"/>
      <c r="J324" s="8"/>
      <c r="K324" s="8"/>
      <c r="L324" s="8"/>
      <c r="M324" s="8"/>
    </row>
    <row r="325">
      <c r="A325" s="6"/>
      <c r="B325" s="6"/>
      <c r="C325" s="8"/>
      <c r="D325" s="8"/>
      <c r="E325" s="8"/>
      <c r="F325" s="8"/>
      <c r="G325" s="8"/>
      <c r="H325" s="9"/>
      <c r="I325" s="9"/>
      <c r="J325" s="8"/>
      <c r="K325" s="8"/>
      <c r="L325" s="8"/>
      <c r="M325" s="8"/>
    </row>
    <row r="326">
      <c r="A326" s="6"/>
      <c r="B326" s="6"/>
      <c r="C326" s="8"/>
      <c r="D326" s="8"/>
      <c r="E326" s="8"/>
      <c r="F326" s="8"/>
      <c r="G326" s="8"/>
      <c r="H326" s="9"/>
      <c r="I326" s="9"/>
      <c r="J326" s="8"/>
      <c r="K326" s="8"/>
      <c r="L326" s="8"/>
      <c r="M326" s="8"/>
    </row>
    <row r="327">
      <c r="A327" s="6"/>
      <c r="B327" s="6"/>
      <c r="C327" s="8"/>
      <c r="D327" s="8"/>
      <c r="E327" s="8"/>
      <c r="F327" s="8"/>
      <c r="G327" s="8"/>
      <c r="H327" s="9"/>
      <c r="I327" s="9"/>
      <c r="J327" s="8"/>
      <c r="K327" s="8"/>
      <c r="L327" s="8"/>
      <c r="M327" s="8"/>
    </row>
    <row r="328">
      <c r="A328" s="6"/>
      <c r="B328" s="6"/>
      <c r="C328" s="8"/>
      <c r="D328" s="8"/>
      <c r="E328" s="8"/>
      <c r="F328" s="8"/>
      <c r="G328" s="8"/>
      <c r="H328" s="9"/>
      <c r="I328" s="9"/>
      <c r="J328" s="8"/>
      <c r="K328" s="8"/>
      <c r="L328" s="8"/>
      <c r="M328" s="8"/>
    </row>
    <row r="329">
      <c r="A329" s="6"/>
      <c r="B329" s="6"/>
      <c r="C329" s="8"/>
      <c r="D329" s="8"/>
      <c r="E329" s="8"/>
      <c r="F329" s="8"/>
      <c r="G329" s="8"/>
      <c r="H329" s="9"/>
      <c r="I329" s="9"/>
      <c r="J329" s="8"/>
      <c r="K329" s="8"/>
      <c r="L329" s="8"/>
      <c r="M329" s="8"/>
    </row>
    <row r="330">
      <c r="A330" s="6"/>
      <c r="B330" s="6"/>
      <c r="C330" s="8"/>
      <c r="D330" s="8"/>
      <c r="E330" s="8"/>
      <c r="F330" s="8"/>
      <c r="G330" s="8"/>
      <c r="H330" s="9"/>
      <c r="I330" s="9"/>
      <c r="J330" s="8"/>
      <c r="K330" s="8"/>
      <c r="L330" s="8"/>
      <c r="M330" s="8"/>
    </row>
    <row r="331">
      <c r="A331" s="6"/>
      <c r="B331" s="6"/>
      <c r="C331" s="8"/>
      <c r="D331" s="8"/>
      <c r="E331" s="8"/>
      <c r="F331" s="8"/>
      <c r="G331" s="8"/>
      <c r="H331" s="9"/>
      <c r="I331" s="9"/>
      <c r="J331" s="8"/>
      <c r="K331" s="8"/>
      <c r="L331" s="8"/>
      <c r="M331" s="8"/>
    </row>
    <row r="332">
      <c r="A332" s="6"/>
      <c r="B332" s="6"/>
      <c r="C332" s="8"/>
      <c r="D332" s="8"/>
      <c r="E332" s="8"/>
      <c r="F332" s="8"/>
      <c r="G332" s="8"/>
      <c r="H332" s="9"/>
      <c r="I332" s="9"/>
      <c r="J332" s="8"/>
      <c r="K332" s="8"/>
      <c r="L332" s="8"/>
      <c r="M332" s="8"/>
    </row>
    <row r="333">
      <c r="A333" s="6"/>
      <c r="B333" s="6"/>
      <c r="C333" s="8"/>
      <c r="D333" s="8"/>
      <c r="E333" s="8"/>
      <c r="F333" s="8"/>
      <c r="G333" s="8"/>
      <c r="H333" s="9"/>
      <c r="I333" s="9"/>
      <c r="J333" s="8"/>
      <c r="K333" s="8"/>
      <c r="L333" s="8"/>
      <c r="M333" s="8"/>
    </row>
    <row r="334">
      <c r="A334" s="6"/>
      <c r="B334" s="6"/>
      <c r="C334" s="8"/>
      <c r="D334" s="8"/>
      <c r="E334" s="8"/>
      <c r="F334" s="8"/>
      <c r="G334" s="8"/>
      <c r="H334" s="9"/>
      <c r="I334" s="9"/>
      <c r="J334" s="8"/>
      <c r="K334" s="8"/>
      <c r="L334" s="8"/>
      <c r="M334" s="8"/>
    </row>
    <row r="335">
      <c r="A335" s="6"/>
      <c r="B335" s="6"/>
      <c r="C335" s="8"/>
      <c r="D335" s="8"/>
      <c r="E335" s="8"/>
      <c r="F335" s="8"/>
      <c r="G335" s="8"/>
      <c r="H335" s="9"/>
      <c r="I335" s="9"/>
      <c r="J335" s="8"/>
      <c r="K335" s="8"/>
      <c r="L335" s="8"/>
      <c r="M335" s="8"/>
    </row>
    <row r="336">
      <c r="A336" s="6"/>
      <c r="B336" s="6"/>
      <c r="C336" s="8"/>
      <c r="D336" s="8"/>
      <c r="E336" s="8"/>
      <c r="F336" s="8"/>
      <c r="G336" s="8"/>
      <c r="H336" s="9"/>
      <c r="I336" s="9"/>
      <c r="J336" s="8"/>
      <c r="K336" s="8"/>
      <c r="L336" s="8"/>
      <c r="M336" s="8"/>
    </row>
    <row r="337">
      <c r="A337" s="6"/>
      <c r="B337" s="6"/>
      <c r="C337" s="8"/>
      <c r="D337" s="8"/>
      <c r="E337" s="8"/>
      <c r="F337" s="8"/>
      <c r="G337" s="8"/>
      <c r="H337" s="9"/>
      <c r="I337" s="9"/>
      <c r="J337" s="8"/>
      <c r="K337" s="8"/>
      <c r="L337" s="8"/>
      <c r="M337" s="8"/>
    </row>
    <row r="338">
      <c r="A338" s="6"/>
      <c r="B338" s="6"/>
      <c r="C338" s="8"/>
      <c r="D338" s="8"/>
      <c r="E338" s="8"/>
      <c r="F338" s="8"/>
      <c r="G338" s="8"/>
      <c r="H338" s="9"/>
      <c r="I338" s="9"/>
      <c r="J338" s="8"/>
      <c r="K338" s="8"/>
      <c r="L338" s="8"/>
      <c r="M338" s="8"/>
    </row>
    <row r="339">
      <c r="A339" s="6"/>
      <c r="B339" s="6"/>
      <c r="C339" s="8"/>
      <c r="D339" s="8"/>
      <c r="E339" s="8"/>
      <c r="F339" s="8"/>
      <c r="G339" s="8"/>
      <c r="H339" s="9"/>
      <c r="I339" s="9"/>
      <c r="J339" s="8"/>
      <c r="K339" s="8"/>
      <c r="L339" s="8"/>
      <c r="M339" s="8"/>
    </row>
    <row r="340">
      <c r="A340" s="6"/>
      <c r="B340" s="6"/>
      <c r="C340" s="8"/>
      <c r="D340" s="8"/>
      <c r="E340" s="8"/>
      <c r="F340" s="8"/>
      <c r="G340" s="8"/>
      <c r="H340" s="9"/>
      <c r="I340" s="9"/>
      <c r="J340" s="8"/>
      <c r="K340" s="8"/>
      <c r="L340" s="8"/>
      <c r="M340" s="8"/>
    </row>
    <row r="341">
      <c r="A341" s="6"/>
      <c r="B341" s="6"/>
      <c r="C341" s="8"/>
      <c r="D341" s="8"/>
      <c r="E341" s="8"/>
      <c r="F341" s="8"/>
      <c r="G341" s="8"/>
      <c r="H341" s="9"/>
      <c r="I341" s="9"/>
      <c r="J341" s="8"/>
      <c r="K341" s="8"/>
      <c r="L341" s="8"/>
      <c r="M341" s="8"/>
    </row>
    <row r="342">
      <c r="A342" s="6"/>
      <c r="B342" s="6"/>
      <c r="C342" s="8"/>
      <c r="D342" s="8"/>
      <c r="E342" s="8"/>
      <c r="F342" s="8"/>
      <c r="G342" s="8"/>
      <c r="H342" s="9"/>
      <c r="I342" s="9"/>
      <c r="J342" s="8"/>
      <c r="K342" s="8"/>
      <c r="L342" s="8"/>
      <c r="M342" s="8"/>
    </row>
    <row r="343">
      <c r="A343" s="6"/>
      <c r="B343" s="6"/>
      <c r="C343" s="8"/>
      <c r="D343" s="8"/>
      <c r="E343" s="8"/>
      <c r="F343" s="8"/>
      <c r="G343" s="8"/>
      <c r="H343" s="9"/>
      <c r="I343" s="9"/>
      <c r="J343" s="8"/>
      <c r="K343" s="8"/>
      <c r="L343" s="8"/>
      <c r="M343" s="8"/>
    </row>
    <row r="344">
      <c r="A344" s="6"/>
      <c r="B344" s="6"/>
      <c r="C344" s="8"/>
      <c r="D344" s="8"/>
      <c r="E344" s="8"/>
      <c r="F344" s="8"/>
      <c r="G344" s="8"/>
      <c r="H344" s="9"/>
      <c r="I344" s="9"/>
      <c r="J344" s="8"/>
      <c r="K344" s="8"/>
      <c r="L344" s="8"/>
      <c r="M344" s="8"/>
    </row>
    <row r="345">
      <c r="A345" s="6"/>
      <c r="B345" s="6"/>
      <c r="C345" s="8"/>
      <c r="D345" s="8"/>
      <c r="E345" s="8"/>
      <c r="F345" s="8"/>
      <c r="G345" s="8"/>
      <c r="H345" s="9"/>
      <c r="I345" s="9"/>
      <c r="J345" s="8"/>
      <c r="K345" s="8"/>
      <c r="L345" s="8"/>
      <c r="M345" s="8"/>
    </row>
    <row r="346">
      <c r="A346" s="6"/>
      <c r="B346" s="6"/>
      <c r="C346" s="8"/>
      <c r="D346" s="8"/>
      <c r="E346" s="8"/>
      <c r="F346" s="8"/>
      <c r="G346" s="8"/>
      <c r="H346" s="9"/>
      <c r="I346" s="9"/>
      <c r="J346" s="8"/>
      <c r="K346" s="8"/>
      <c r="L346" s="8"/>
      <c r="M346" s="8"/>
    </row>
    <row r="347">
      <c r="A347" s="6"/>
      <c r="B347" s="6"/>
      <c r="C347" s="8"/>
      <c r="D347" s="8"/>
      <c r="E347" s="8"/>
      <c r="F347" s="8"/>
      <c r="G347" s="8"/>
      <c r="H347" s="9"/>
      <c r="I347" s="9"/>
      <c r="J347" s="8"/>
      <c r="K347" s="8"/>
      <c r="L347" s="8"/>
      <c r="M347" s="8"/>
    </row>
    <row r="348">
      <c r="A348" s="6"/>
      <c r="B348" s="6"/>
      <c r="C348" s="8"/>
      <c r="D348" s="8"/>
      <c r="E348" s="8"/>
      <c r="F348" s="8"/>
      <c r="G348" s="8"/>
      <c r="H348" s="9"/>
      <c r="I348" s="9"/>
      <c r="J348" s="8"/>
      <c r="K348" s="8"/>
      <c r="L348" s="8"/>
      <c r="M348" s="8"/>
    </row>
    <row r="349">
      <c r="A349" s="6"/>
      <c r="B349" s="6"/>
      <c r="C349" s="8"/>
      <c r="D349" s="8"/>
      <c r="E349" s="8"/>
      <c r="F349" s="8"/>
      <c r="G349" s="8"/>
      <c r="H349" s="9"/>
      <c r="I349" s="9"/>
      <c r="J349" s="8"/>
      <c r="K349" s="8"/>
      <c r="L349" s="8"/>
      <c r="M349" s="8"/>
    </row>
    <row r="350">
      <c r="A350" s="6"/>
      <c r="B350" s="6"/>
      <c r="C350" s="8"/>
      <c r="D350" s="8"/>
      <c r="E350" s="8"/>
      <c r="F350" s="8"/>
      <c r="G350" s="8"/>
      <c r="H350" s="9"/>
      <c r="I350" s="9"/>
      <c r="J350" s="8"/>
      <c r="K350" s="8"/>
      <c r="L350" s="8"/>
      <c r="M350" s="8"/>
    </row>
    <row r="351">
      <c r="A351" s="6"/>
      <c r="B351" s="6"/>
      <c r="C351" s="8"/>
      <c r="D351" s="8"/>
      <c r="E351" s="8"/>
      <c r="F351" s="8"/>
      <c r="G351" s="8"/>
      <c r="H351" s="9"/>
      <c r="I351" s="9"/>
      <c r="J351" s="8"/>
      <c r="K351" s="8"/>
      <c r="L351" s="8"/>
      <c r="M351" s="8"/>
    </row>
    <row r="352">
      <c r="A352" s="6"/>
      <c r="B352" s="6"/>
      <c r="C352" s="8"/>
      <c r="D352" s="8"/>
      <c r="E352" s="8"/>
      <c r="F352" s="8"/>
      <c r="G352" s="8"/>
      <c r="H352" s="9"/>
      <c r="I352" s="9"/>
      <c r="J352" s="8"/>
      <c r="K352" s="8"/>
      <c r="L352" s="8"/>
      <c r="M352" s="8"/>
    </row>
    <row r="353">
      <c r="A353" s="6"/>
      <c r="B353" s="6"/>
      <c r="C353" s="8"/>
      <c r="D353" s="8"/>
      <c r="E353" s="8"/>
      <c r="F353" s="8"/>
      <c r="G353" s="8"/>
      <c r="H353" s="9"/>
      <c r="I353" s="9"/>
      <c r="J353" s="8"/>
      <c r="K353" s="8"/>
      <c r="L353" s="8"/>
      <c r="M353" s="8"/>
    </row>
    <row r="354">
      <c r="A354" s="6"/>
      <c r="B354" s="6"/>
      <c r="C354" s="8"/>
      <c r="D354" s="8"/>
      <c r="E354" s="8"/>
      <c r="F354" s="8"/>
      <c r="G354" s="8"/>
      <c r="H354" s="9"/>
      <c r="I354" s="9"/>
      <c r="J354" s="8"/>
      <c r="K354" s="8"/>
      <c r="L354" s="8"/>
      <c r="M354" s="8"/>
    </row>
    <row r="355">
      <c r="A355" s="6"/>
      <c r="B355" s="6"/>
      <c r="C355" s="8"/>
      <c r="D355" s="8"/>
      <c r="E355" s="8"/>
      <c r="F355" s="8"/>
      <c r="G355" s="8"/>
      <c r="H355" s="9"/>
      <c r="I355" s="9"/>
      <c r="J355" s="8"/>
      <c r="K355" s="8"/>
      <c r="L355" s="8"/>
      <c r="M355" s="8"/>
    </row>
    <row r="356">
      <c r="A356" s="6"/>
      <c r="B356" s="6"/>
      <c r="C356" s="8"/>
      <c r="D356" s="8"/>
      <c r="E356" s="8"/>
      <c r="F356" s="8"/>
      <c r="G356" s="8"/>
      <c r="H356" s="9"/>
      <c r="I356" s="9"/>
      <c r="J356" s="8"/>
      <c r="K356" s="8"/>
      <c r="L356" s="8"/>
      <c r="M356" s="8"/>
    </row>
    <row r="357">
      <c r="A357" s="6"/>
      <c r="B357" s="6"/>
      <c r="C357" s="8"/>
      <c r="D357" s="8"/>
      <c r="E357" s="8"/>
      <c r="F357" s="8"/>
      <c r="G357" s="8"/>
      <c r="H357" s="9"/>
      <c r="I357" s="9"/>
      <c r="J357" s="8"/>
      <c r="K357" s="8"/>
      <c r="L357" s="8"/>
      <c r="M357" s="8"/>
    </row>
    <row r="358">
      <c r="A358" s="6"/>
      <c r="B358" s="6"/>
      <c r="C358" s="8"/>
      <c r="D358" s="8"/>
      <c r="E358" s="8"/>
      <c r="F358" s="8"/>
      <c r="G358" s="8"/>
      <c r="H358" s="9"/>
      <c r="I358" s="9"/>
      <c r="J358" s="8"/>
      <c r="K358" s="8"/>
      <c r="L358" s="8"/>
      <c r="M358" s="8"/>
    </row>
    <row r="359">
      <c r="A359" s="6"/>
      <c r="B359" s="6"/>
      <c r="C359" s="8"/>
      <c r="D359" s="8"/>
      <c r="E359" s="8"/>
      <c r="F359" s="8"/>
      <c r="G359" s="8"/>
      <c r="H359" s="9"/>
      <c r="I359" s="9"/>
      <c r="J359" s="8"/>
      <c r="K359" s="8"/>
      <c r="L359" s="8"/>
      <c r="M359" s="8"/>
    </row>
    <row r="360">
      <c r="A360" s="6"/>
      <c r="B360" s="6"/>
      <c r="C360" s="8"/>
      <c r="D360" s="8"/>
      <c r="E360" s="8"/>
      <c r="F360" s="8"/>
      <c r="G360" s="8"/>
      <c r="H360" s="9"/>
      <c r="I360" s="9"/>
      <c r="J360" s="8"/>
      <c r="K360" s="8"/>
      <c r="L360" s="8"/>
      <c r="M360" s="8"/>
    </row>
    <row r="361">
      <c r="A361" s="6"/>
      <c r="B361" s="6"/>
      <c r="C361" s="8"/>
      <c r="D361" s="8"/>
      <c r="E361" s="8"/>
      <c r="F361" s="8"/>
      <c r="G361" s="8"/>
      <c r="H361" s="9"/>
      <c r="I361" s="9"/>
      <c r="J361" s="8"/>
      <c r="K361" s="8"/>
      <c r="L361" s="8"/>
      <c r="M361" s="8"/>
    </row>
    <row r="362">
      <c r="A362" s="6"/>
      <c r="B362" s="6"/>
      <c r="C362" s="8"/>
      <c r="D362" s="8"/>
      <c r="E362" s="8"/>
      <c r="F362" s="8"/>
      <c r="G362" s="8"/>
      <c r="H362" s="9"/>
      <c r="I362" s="9"/>
      <c r="J362" s="8"/>
      <c r="K362" s="8"/>
      <c r="L362" s="8"/>
      <c r="M362" s="8"/>
    </row>
    <row r="363">
      <c r="A363" s="6"/>
      <c r="B363" s="6"/>
      <c r="C363" s="8"/>
      <c r="D363" s="8"/>
      <c r="E363" s="8"/>
      <c r="F363" s="8"/>
      <c r="G363" s="8"/>
      <c r="H363" s="9"/>
      <c r="I363" s="9"/>
      <c r="J363" s="8"/>
      <c r="K363" s="8"/>
      <c r="L363" s="8"/>
      <c r="M363" s="8"/>
    </row>
    <row r="364">
      <c r="A364" s="6"/>
      <c r="B364" s="6"/>
      <c r="C364" s="8"/>
      <c r="D364" s="8"/>
      <c r="E364" s="8"/>
      <c r="F364" s="8"/>
      <c r="G364" s="8"/>
      <c r="H364" s="9"/>
      <c r="I364" s="9"/>
      <c r="J364" s="8"/>
      <c r="K364" s="8"/>
      <c r="L364" s="8"/>
      <c r="M364" s="8"/>
    </row>
    <row r="365">
      <c r="A365" s="6"/>
      <c r="B365" s="6"/>
      <c r="C365" s="8"/>
      <c r="D365" s="8"/>
      <c r="E365" s="8"/>
      <c r="F365" s="8"/>
      <c r="G365" s="8"/>
      <c r="H365" s="9"/>
      <c r="I365" s="9"/>
      <c r="J365" s="8"/>
      <c r="K365" s="8"/>
      <c r="L365" s="8"/>
      <c r="M365" s="8"/>
    </row>
    <row r="366">
      <c r="A366" s="6"/>
      <c r="B366" s="6"/>
      <c r="C366" s="8"/>
      <c r="D366" s="8"/>
      <c r="E366" s="8"/>
      <c r="F366" s="8"/>
      <c r="G366" s="8"/>
      <c r="H366" s="9"/>
      <c r="I366" s="9"/>
      <c r="J366" s="8"/>
      <c r="K366" s="8"/>
      <c r="L366" s="8"/>
      <c r="M366" s="8"/>
    </row>
    <row r="367">
      <c r="A367" s="6"/>
      <c r="B367" s="6"/>
      <c r="C367" s="8"/>
      <c r="D367" s="8"/>
      <c r="E367" s="8"/>
      <c r="F367" s="8"/>
      <c r="G367" s="8"/>
      <c r="H367" s="9"/>
      <c r="I367" s="9"/>
      <c r="J367" s="8"/>
      <c r="K367" s="8"/>
      <c r="L367" s="8"/>
      <c r="M367" s="8"/>
    </row>
    <row r="368">
      <c r="A368" s="6"/>
      <c r="B368" s="6"/>
      <c r="C368" s="8"/>
      <c r="D368" s="8"/>
      <c r="E368" s="8"/>
      <c r="F368" s="8"/>
      <c r="G368" s="8"/>
      <c r="H368" s="9"/>
      <c r="I368" s="9"/>
      <c r="J368" s="8"/>
      <c r="K368" s="8"/>
      <c r="L368" s="8"/>
      <c r="M368" s="8"/>
    </row>
    <row r="369">
      <c r="A369" s="6"/>
      <c r="B369" s="6"/>
      <c r="C369" s="8"/>
      <c r="D369" s="8"/>
      <c r="E369" s="8"/>
      <c r="F369" s="8"/>
      <c r="G369" s="8"/>
      <c r="H369" s="9"/>
      <c r="I369" s="9"/>
      <c r="J369" s="8"/>
      <c r="K369" s="8"/>
      <c r="L369" s="8"/>
      <c r="M369" s="8"/>
    </row>
    <row r="370">
      <c r="A370" s="6"/>
      <c r="B370" s="6"/>
      <c r="C370" s="8"/>
      <c r="D370" s="8"/>
      <c r="E370" s="8"/>
      <c r="F370" s="8"/>
      <c r="G370" s="8"/>
      <c r="H370" s="9"/>
      <c r="I370" s="9"/>
      <c r="J370" s="8"/>
      <c r="K370" s="8"/>
      <c r="L370" s="8"/>
      <c r="M370" s="8"/>
    </row>
    <row r="371">
      <c r="A371" s="6"/>
      <c r="B371" s="6"/>
      <c r="C371" s="8"/>
      <c r="D371" s="8"/>
      <c r="E371" s="8"/>
      <c r="F371" s="8"/>
      <c r="G371" s="8"/>
      <c r="H371" s="9"/>
      <c r="I371" s="9"/>
      <c r="J371" s="8"/>
      <c r="K371" s="8"/>
      <c r="L371" s="8"/>
      <c r="M371" s="8"/>
    </row>
    <row r="372">
      <c r="A372" s="6"/>
      <c r="B372" s="6"/>
      <c r="C372" s="8"/>
      <c r="D372" s="8"/>
      <c r="E372" s="8"/>
      <c r="F372" s="8"/>
      <c r="G372" s="8"/>
      <c r="H372" s="9"/>
      <c r="I372" s="9"/>
      <c r="J372" s="8"/>
      <c r="K372" s="8"/>
      <c r="L372" s="8"/>
      <c r="M372" s="8"/>
    </row>
    <row r="373">
      <c r="A373" s="6"/>
      <c r="B373" s="6"/>
      <c r="C373" s="8"/>
      <c r="D373" s="8"/>
      <c r="E373" s="8"/>
      <c r="F373" s="8"/>
      <c r="G373" s="8"/>
      <c r="H373" s="9"/>
      <c r="I373" s="9"/>
      <c r="J373" s="8"/>
      <c r="K373" s="8"/>
      <c r="L373" s="8"/>
      <c r="M373" s="8"/>
    </row>
    <row r="374">
      <c r="A374" s="6"/>
      <c r="B374" s="6"/>
      <c r="C374" s="8"/>
      <c r="D374" s="8"/>
      <c r="E374" s="8"/>
      <c r="F374" s="8"/>
      <c r="G374" s="8"/>
      <c r="H374" s="9"/>
      <c r="I374" s="9"/>
      <c r="J374" s="8"/>
      <c r="K374" s="8"/>
      <c r="L374" s="8"/>
      <c r="M374" s="8"/>
    </row>
    <row r="375">
      <c r="A375" s="6"/>
      <c r="B375" s="6"/>
      <c r="C375" s="8"/>
      <c r="D375" s="8"/>
      <c r="E375" s="8"/>
      <c r="F375" s="8"/>
      <c r="G375" s="8"/>
      <c r="H375" s="9"/>
      <c r="I375" s="9"/>
      <c r="J375" s="8"/>
      <c r="K375" s="8"/>
      <c r="L375" s="8"/>
      <c r="M375" s="8"/>
    </row>
    <row r="376">
      <c r="A376" s="6"/>
      <c r="B376" s="6"/>
      <c r="C376" s="8"/>
      <c r="D376" s="8"/>
      <c r="E376" s="8"/>
      <c r="F376" s="8"/>
      <c r="G376" s="8"/>
      <c r="H376" s="9"/>
      <c r="I376" s="9"/>
      <c r="J376" s="8"/>
      <c r="K376" s="8"/>
      <c r="L376" s="8"/>
      <c r="M376" s="8"/>
    </row>
    <row r="377">
      <c r="A377" s="6"/>
      <c r="B377" s="6"/>
      <c r="C377" s="8"/>
      <c r="D377" s="8"/>
      <c r="E377" s="8"/>
      <c r="F377" s="8"/>
      <c r="G377" s="8"/>
      <c r="H377" s="9"/>
      <c r="I377" s="9"/>
      <c r="J377" s="8"/>
      <c r="K377" s="8"/>
      <c r="L377" s="8"/>
      <c r="M377" s="8"/>
    </row>
    <row r="378">
      <c r="A378" s="6"/>
      <c r="B378" s="6"/>
      <c r="C378" s="8"/>
      <c r="D378" s="8"/>
      <c r="E378" s="8"/>
      <c r="F378" s="8"/>
      <c r="G378" s="8"/>
      <c r="H378" s="9"/>
      <c r="I378" s="9"/>
      <c r="J378" s="8"/>
      <c r="K378" s="8"/>
      <c r="L378" s="8"/>
      <c r="M378" s="8"/>
    </row>
    <row r="379">
      <c r="A379" s="6"/>
      <c r="B379" s="6"/>
      <c r="C379" s="8"/>
      <c r="D379" s="8"/>
      <c r="E379" s="8"/>
      <c r="F379" s="8"/>
      <c r="G379" s="8"/>
      <c r="H379" s="9"/>
      <c r="I379" s="9"/>
      <c r="J379" s="8"/>
      <c r="K379" s="8"/>
      <c r="L379" s="8"/>
      <c r="M379" s="8"/>
    </row>
    <row r="380">
      <c r="A380" s="6"/>
      <c r="B380" s="6"/>
      <c r="C380" s="8"/>
      <c r="D380" s="8"/>
      <c r="E380" s="8"/>
      <c r="F380" s="8"/>
      <c r="G380" s="8"/>
      <c r="H380" s="9"/>
      <c r="I380" s="9"/>
      <c r="J380" s="8"/>
      <c r="K380" s="8"/>
      <c r="L380" s="8"/>
      <c r="M380" s="8"/>
    </row>
    <row r="381">
      <c r="A381" s="6"/>
      <c r="B381" s="6"/>
      <c r="C381" s="8"/>
      <c r="D381" s="8"/>
      <c r="E381" s="8"/>
      <c r="F381" s="8"/>
      <c r="G381" s="8"/>
      <c r="H381" s="9"/>
      <c r="I381" s="9"/>
      <c r="J381" s="8"/>
      <c r="K381" s="8"/>
      <c r="L381" s="8"/>
      <c r="M381" s="8"/>
    </row>
    <row r="382">
      <c r="A382" s="6"/>
      <c r="B382" s="6"/>
      <c r="C382" s="8"/>
      <c r="D382" s="8"/>
      <c r="E382" s="8"/>
      <c r="F382" s="8"/>
      <c r="G382" s="8"/>
      <c r="H382" s="9"/>
      <c r="I382" s="9"/>
      <c r="J382" s="8"/>
      <c r="K382" s="8"/>
      <c r="L382" s="8"/>
      <c r="M382" s="8"/>
    </row>
    <row r="383">
      <c r="A383" s="6"/>
      <c r="B383" s="6"/>
      <c r="C383" s="8"/>
      <c r="D383" s="8"/>
      <c r="E383" s="8"/>
      <c r="F383" s="8"/>
      <c r="G383" s="8"/>
      <c r="H383" s="9"/>
      <c r="I383" s="9"/>
      <c r="J383" s="8"/>
      <c r="K383" s="8"/>
      <c r="L383" s="8"/>
      <c r="M383" s="8"/>
    </row>
    <row r="384">
      <c r="A384" s="6"/>
      <c r="B384" s="6"/>
      <c r="C384" s="8"/>
      <c r="D384" s="8"/>
      <c r="E384" s="8"/>
      <c r="F384" s="8"/>
      <c r="G384" s="8"/>
      <c r="H384" s="9"/>
      <c r="I384" s="9"/>
      <c r="J384" s="8"/>
      <c r="K384" s="8"/>
      <c r="L384" s="8"/>
      <c r="M384" s="8"/>
    </row>
    <row r="385">
      <c r="A385" s="6"/>
      <c r="B385" s="6"/>
      <c r="C385" s="8"/>
      <c r="D385" s="8"/>
      <c r="E385" s="8"/>
      <c r="F385" s="8"/>
      <c r="G385" s="8"/>
      <c r="H385" s="9"/>
      <c r="I385" s="9"/>
      <c r="J385" s="8"/>
      <c r="K385" s="8"/>
      <c r="L385" s="8"/>
      <c r="M385" s="8"/>
    </row>
    <row r="386">
      <c r="A386" s="6"/>
      <c r="B386" s="6"/>
      <c r="C386" s="8"/>
      <c r="D386" s="8"/>
      <c r="E386" s="8"/>
      <c r="F386" s="8"/>
      <c r="G386" s="8"/>
      <c r="H386" s="9"/>
      <c r="I386" s="9"/>
      <c r="J386" s="8"/>
      <c r="K386" s="8"/>
      <c r="L386" s="8"/>
      <c r="M386" s="8"/>
    </row>
    <row r="387">
      <c r="A387" s="6"/>
      <c r="B387" s="6"/>
      <c r="C387" s="8"/>
      <c r="D387" s="8"/>
      <c r="E387" s="8"/>
      <c r="F387" s="8"/>
      <c r="G387" s="8"/>
      <c r="H387" s="9"/>
      <c r="I387" s="9"/>
      <c r="J387" s="8"/>
      <c r="K387" s="8"/>
      <c r="L387" s="8"/>
      <c r="M387" s="8"/>
    </row>
    <row r="388">
      <c r="A388" s="6"/>
      <c r="B388" s="6"/>
      <c r="C388" s="8"/>
      <c r="D388" s="8"/>
      <c r="E388" s="8"/>
      <c r="F388" s="8"/>
      <c r="G388" s="8"/>
      <c r="H388" s="9"/>
      <c r="I388" s="9"/>
      <c r="J388" s="8"/>
      <c r="K388" s="8"/>
      <c r="L388" s="8"/>
      <c r="M388" s="8"/>
    </row>
    <row r="389">
      <c r="A389" s="6"/>
      <c r="B389" s="6"/>
      <c r="C389" s="8"/>
      <c r="D389" s="8"/>
      <c r="E389" s="8"/>
      <c r="F389" s="8"/>
      <c r="G389" s="8"/>
      <c r="H389" s="9"/>
      <c r="I389" s="9"/>
      <c r="J389" s="8"/>
      <c r="K389" s="8"/>
      <c r="L389" s="8"/>
      <c r="M389" s="8"/>
    </row>
    <row r="390">
      <c r="A390" s="6"/>
      <c r="B390" s="6"/>
      <c r="C390" s="8"/>
      <c r="D390" s="8"/>
      <c r="E390" s="8"/>
      <c r="F390" s="8"/>
      <c r="G390" s="8"/>
      <c r="H390" s="9"/>
      <c r="I390" s="9"/>
      <c r="J390" s="8"/>
      <c r="K390" s="8"/>
      <c r="L390" s="8"/>
      <c r="M390" s="8"/>
    </row>
    <row r="391">
      <c r="A391" s="6"/>
      <c r="B391" s="6"/>
      <c r="C391" s="8"/>
      <c r="D391" s="8"/>
      <c r="E391" s="8"/>
      <c r="F391" s="8"/>
      <c r="G391" s="8"/>
      <c r="H391" s="9"/>
      <c r="I391" s="9"/>
      <c r="J391" s="8"/>
      <c r="K391" s="8"/>
      <c r="L391" s="8"/>
      <c r="M391" s="8"/>
    </row>
    <row r="392">
      <c r="A392" s="6"/>
      <c r="B392" s="6"/>
      <c r="C392" s="8"/>
      <c r="D392" s="8"/>
      <c r="E392" s="8"/>
      <c r="F392" s="8"/>
      <c r="G392" s="8"/>
      <c r="H392" s="9"/>
      <c r="I392" s="9"/>
      <c r="J392" s="8"/>
      <c r="K392" s="8"/>
      <c r="L392" s="8"/>
      <c r="M392" s="8"/>
    </row>
    <row r="393">
      <c r="A393" s="6"/>
      <c r="B393" s="6"/>
      <c r="C393" s="8"/>
      <c r="D393" s="8"/>
      <c r="E393" s="8"/>
      <c r="F393" s="8"/>
      <c r="G393" s="8"/>
      <c r="H393" s="9"/>
      <c r="I393" s="9"/>
      <c r="J393" s="8"/>
      <c r="K393" s="8"/>
      <c r="L393" s="8"/>
      <c r="M393" s="8"/>
    </row>
    <row r="394">
      <c r="A394" s="6"/>
      <c r="B394" s="6"/>
      <c r="C394" s="8"/>
      <c r="D394" s="8"/>
      <c r="E394" s="8"/>
      <c r="F394" s="8"/>
      <c r="G394" s="8"/>
      <c r="H394" s="9"/>
      <c r="I394" s="9"/>
      <c r="J394" s="8"/>
      <c r="K394" s="8"/>
      <c r="L394" s="8"/>
      <c r="M394" s="8"/>
    </row>
    <row r="395">
      <c r="A395" s="6"/>
      <c r="B395" s="6"/>
      <c r="C395" s="8"/>
      <c r="D395" s="8"/>
      <c r="E395" s="8"/>
      <c r="F395" s="8"/>
      <c r="G395" s="8"/>
      <c r="H395" s="9"/>
      <c r="I395" s="9"/>
      <c r="J395" s="8"/>
      <c r="K395" s="8"/>
      <c r="L395" s="8"/>
      <c r="M395" s="8"/>
    </row>
    <row r="396">
      <c r="A396" s="6"/>
      <c r="B396" s="6"/>
      <c r="C396" s="8"/>
      <c r="D396" s="8"/>
      <c r="E396" s="8"/>
      <c r="F396" s="8"/>
      <c r="G396" s="8"/>
      <c r="H396" s="9"/>
      <c r="I396" s="9"/>
      <c r="J396" s="8"/>
      <c r="K396" s="8"/>
      <c r="L396" s="8"/>
      <c r="M396" s="8"/>
    </row>
    <row r="397">
      <c r="A397" s="6"/>
      <c r="B397" s="6"/>
      <c r="C397" s="8"/>
      <c r="D397" s="8"/>
      <c r="E397" s="8"/>
      <c r="F397" s="8"/>
      <c r="G397" s="8"/>
      <c r="H397" s="9"/>
      <c r="I397" s="9"/>
      <c r="J397" s="8"/>
      <c r="K397" s="8"/>
      <c r="L397" s="8"/>
      <c r="M397" s="8"/>
    </row>
    <row r="398">
      <c r="A398" s="6"/>
      <c r="B398" s="6"/>
      <c r="C398" s="8"/>
      <c r="D398" s="8"/>
      <c r="E398" s="8"/>
      <c r="F398" s="8"/>
      <c r="G398" s="8"/>
      <c r="H398" s="9"/>
      <c r="I398" s="9"/>
      <c r="J398" s="8"/>
      <c r="K398" s="8"/>
      <c r="L398" s="8"/>
      <c r="M398" s="8"/>
    </row>
    <row r="399">
      <c r="A399" s="6"/>
      <c r="B399" s="6"/>
      <c r="C399" s="8"/>
      <c r="D399" s="8"/>
      <c r="E399" s="8"/>
      <c r="F399" s="8"/>
      <c r="G399" s="8"/>
      <c r="H399" s="9"/>
      <c r="I399" s="9"/>
      <c r="J399" s="8"/>
      <c r="K399" s="8"/>
      <c r="L399" s="8"/>
      <c r="M399" s="8"/>
    </row>
    <row r="400">
      <c r="A400" s="6"/>
      <c r="B400" s="6"/>
      <c r="C400" s="8"/>
      <c r="D400" s="8"/>
      <c r="E400" s="8"/>
      <c r="F400" s="8"/>
      <c r="G400" s="8"/>
      <c r="H400" s="9"/>
      <c r="I400" s="9"/>
      <c r="J400" s="8"/>
      <c r="K400" s="8"/>
      <c r="L400" s="8"/>
      <c r="M400" s="8"/>
    </row>
    <row r="401">
      <c r="A401" s="6"/>
      <c r="B401" s="6"/>
      <c r="C401" s="8"/>
      <c r="D401" s="8"/>
      <c r="E401" s="8"/>
      <c r="F401" s="8"/>
      <c r="G401" s="8"/>
      <c r="H401" s="9"/>
      <c r="I401" s="9"/>
      <c r="J401" s="8"/>
      <c r="K401" s="8"/>
      <c r="L401" s="8"/>
      <c r="M401" s="8"/>
    </row>
    <row r="402">
      <c r="A402" s="6"/>
      <c r="B402" s="6"/>
      <c r="C402" s="8"/>
      <c r="D402" s="8"/>
      <c r="E402" s="8"/>
      <c r="F402" s="8"/>
      <c r="G402" s="8"/>
      <c r="H402" s="9"/>
      <c r="I402" s="9"/>
      <c r="J402" s="8"/>
      <c r="K402" s="8"/>
      <c r="L402" s="8"/>
      <c r="M402" s="8"/>
    </row>
    <row r="403">
      <c r="A403" s="6"/>
      <c r="B403" s="6"/>
      <c r="C403" s="8"/>
      <c r="D403" s="8"/>
      <c r="E403" s="8"/>
      <c r="F403" s="8"/>
      <c r="G403" s="8"/>
      <c r="H403" s="9"/>
      <c r="I403" s="9"/>
      <c r="J403" s="8"/>
      <c r="K403" s="8"/>
      <c r="L403" s="8"/>
      <c r="M403" s="8"/>
    </row>
    <row r="404">
      <c r="A404" s="6"/>
      <c r="B404" s="6"/>
      <c r="C404" s="8"/>
      <c r="D404" s="8"/>
      <c r="E404" s="8"/>
      <c r="F404" s="8"/>
      <c r="G404" s="8"/>
      <c r="H404" s="9"/>
      <c r="I404" s="9"/>
      <c r="J404" s="8"/>
      <c r="K404" s="8"/>
      <c r="L404" s="8"/>
      <c r="M404" s="8"/>
    </row>
    <row r="405">
      <c r="A405" s="6"/>
      <c r="B405" s="6"/>
      <c r="C405" s="8"/>
      <c r="D405" s="8"/>
      <c r="E405" s="8"/>
      <c r="F405" s="8"/>
      <c r="G405" s="8"/>
      <c r="H405" s="9"/>
      <c r="I405" s="9"/>
      <c r="J405" s="8"/>
      <c r="K405" s="8"/>
      <c r="L405" s="8"/>
      <c r="M405" s="8"/>
    </row>
    <row r="406">
      <c r="A406" s="6"/>
      <c r="B406" s="6"/>
      <c r="C406" s="8"/>
      <c r="D406" s="8"/>
      <c r="E406" s="8"/>
      <c r="F406" s="8"/>
      <c r="G406" s="8"/>
      <c r="H406" s="9"/>
      <c r="I406" s="9"/>
      <c r="J406" s="8"/>
      <c r="K406" s="8"/>
      <c r="L406" s="8"/>
      <c r="M406" s="8"/>
    </row>
    <row r="407">
      <c r="A407" s="6"/>
      <c r="B407" s="6"/>
      <c r="C407" s="8"/>
      <c r="D407" s="8"/>
      <c r="E407" s="8"/>
      <c r="F407" s="8"/>
      <c r="G407" s="8"/>
      <c r="H407" s="9"/>
      <c r="I407" s="9"/>
      <c r="J407" s="8"/>
      <c r="K407" s="8"/>
      <c r="L407" s="8"/>
      <c r="M407" s="8"/>
    </row>
    <row r="408">
      <c r="A408" s="6"/>
      <c r="B408" s="6"/>
      <c r="C408" s="8"/>
      <c r="D408" s="8"/>
      <c r="E408" s="8"/>
      <c r="F408" s="8"/>
      <c r="G408" s="8"/>
      <c r="H408" s="9"/>
      <c r="I408" s="9"/>
      <c r="J408" s="8"/>
      <c r="K408" s="8"/>
      <c r="L408" s="8"/>
      <c r="M408" s="8"/>
    </row>
    <row r="409">
      <c r="A409" s="6"/>
      <c r="B409" s="6"/>
      <c r="C409" s="8"/>
      <c r="D409" s="8"/>
      <c r="E409" s="8"/>
      <c r="F409" s="8"/>
      <c r="G409" s="8"/>
      <c r="H409" s="9"/>
      <c r="I409" s="9"/>
      <c r="J409" s="8"/>
      <c r="K409" s="8"/>
      <c r="L409" s="8"/>
      <c r="M409" s="8"/>
    </row>
    <row r="410">
      <c r="A410" s="6"/>
      <c r="B410" s="6"/>
      <c r="C410" s="8"/>
      <c r="D410" s="8"/>
      <c r="E410" s="8"/>
      <c r="F410" s="8"/>
      <c r="G410" s="8"/>
      <c r="H410" s="9"/>
      <c r="I410" s="9"/>
      <c r="J410" s="8"/>
      <c r="K410" s="8"/>
      <c r="L410" s="8"/>
      <c r="M410" s="8"/>
    </row>
    <row r="411">
      <c r="A411" s="6"/>
      <c r="B411" s="6"/>
      <c r="C411" s="8"/>
      <c r="D411" s="8"/>
      <c r="E411" s="8"/>
      <c r="F411" s="8"/>
      <c r="G411" s="8"/>
      <c r="H411" s="9"/>
      <c r="I411" s="9"/>
      <c r="J411" s="8"/>
      <c r="K411" s="8"/>
      <c r="L411" s="8"/>
      <c r="M411" s="8"/>
    </row>
    <row r="412">
      <c r="A412" s="6"/>
      <c r="B412" s="6"/>
      <c r="C412" s="8"/>
      <c r="D412" s="8"/>
      <c r="E412" s="8"/>
      <c r="F412" s="8"/>
      <c r="G412" s="8"/>
      <c r="H412" s="9"/>
      <c r="I412" s="9"/>
      <c r="J412" s="8"/>
      <c r="K412" s="8"/>
      <c r="L412" s="8"/>
      <c r="M412" s="8"/>
    </row>
    <row r="413">
      <c r="A413" s="6"/>
      <c r="B413" s="6"/>
      <c r="C413" s="8"/>
      <c r="D413" s="8"/>
      <c r="E413" s="8"/>
      <c r="F413" s="8"/>
      <c r="G413" s="8"/>
      <c r="H413" s="9"/>
      <c r="I413" s="9"/>
      <c r="J413" s="8"/>
      <c r="K413" s="8"/>
      <c r="L413" s="8"/>
      <c r="M413" s="8"/>
    </row>
    <row r="414">
      <c r="A414" s="6"/>
      <c r="B414" s="6"/>
      <c r="C414" s="8"/>
      <c r="D414" s="8"/>
      <c r="E414" s="8"/>
      <c r="F414" s="8"/>
      <c r="G414" s="8"/>
      <c r="H414" s="9"/>
      <c r="I414" s="9"/>
      <c r="J414" s="8"/>
      <c r="K414" s="8"/>
      <c r="L414" s="8"/>
      <c r="M414" s="8"/>
    </row>
    <row r="415">
      <c r="A415" s="6"/>
      <c r="B415" s="6"/>
      <c r="C415" s="8"/>
      <c r="D415" s="8"/>
      <c r="E415" s="8"/>
      <c r="F415" s="8"/>
      <c r="G415" s="8"/>
      <c r="H415" s="9"/>
      <c r="I415" s="9"/>
      <c r="J415" s="8"/>
      <c r="K415" s="8"/>
      <c r="L415" s="8"/>
      <c r="M415" s="8"/>
    </row>
    <row r="416">
      <c r="A416" s="6"/>
      <c r="B416" s="6"/>
      <c r="C416" s="8"/>
      <c r="D416" s="8"/>
      <c r="E416" s="8"/>
      <c r="F416" s="8"/>
      <c r="G416" s="8"/>
      <c r="H416" s="9"/>
      <c r="I416" s="9"/>
      <c r="J416" s="8"/>
      <c r="K416" s="8"/>
      <c r="L416" s="8"/>
      <c r="M416" s="8"/>
    </row>
    <row r="417">
      <c r="A417" s="6"/>
      <c r="B417" s="6"/>
      <c r="C417" s="8"/>
      <c r="D417" s="8"/>
      <c r="E417" s="8"/>
      <c r="F417" s="8"/>
      <c r="G417" s="8"/>
      <c r="H417" s="9"/>
      <c r="I417" s="9"/>
      <c r="J417" s="8"/>
      <c r="K417" s="8"/>
      <c r="L417" s="8"/>
      <c r="M417" s="8"/>
    </row>
    <row r="418">
      <c r="A418" s="6"/>
      <c r="B418" s="6"/>
      <c r="C418" s="8"/>
      <c r="D418" s="8"/>
      <c r="E418" s="8"/>
      <c r="F418" s="8"/>
      <c r="G418" s="8"/>
      <c r="H418" s="9"/>
      <c r="I418" s="9"/>
      <c r="J418" s="8"/>
      <c r="K418" s="8"/>
      <c r="L418" s="8"/>
      <c r="M418" s="8"/>
    </row>
    <row r="419">
      <c r="A419" s="6"/>
      <c r="B419" s="6"/>
      <c r="C419" s="8"/>
      <c r="D419" s="8"/>
      <c r="E419" s="8"/>
      <c r="F419" s="8"/>
      <c r="G419" s="8"/>
      <c r="H419" s="9"/>
      <c r="I419" s="9"/>
      <c r="J419" s="8"/>
      <c r="K419" s="8"/>
      <c r="L419" s="8"/>
      <c r="M419" s="8"/>
    </row>
    <row r="420">
      <c r="A420" s="6"/>
      <c r="B420" s="6"/>
      <c r="C420" s="8"/>
      <c r="D420" s="8"/>
      <c r="E420" s="8"/>
      <c r="F420" s="8"/>
      <c r="G420" s="8"/>
      <c r="H420" s="9"/>
      <c r="I420" s="9"/>
      <c r="J420" s="8"/>
      <c r="K420" s="8"/>
      <c r="L420" s="8"/>
      <c r="M420" s="8"/>
    </row>
    <row r="421">
      <c r="A421" s="6"/>
      <c r="B421" s="6"/>
      <c r="C421" s="8"/>
      <c r="D421" s="8"/>
      <c r="E421" s="8"/>
      <c r="F421" s="8"/>
      <c r="G421" s="8"/>
      <c r="H421" s="9"/>
      <c r="I421" s="9"/>
      <c r="J421" s="8"/>
      <c r="K421" s="8"/>
      <c r="L421" s="8"/>
      <c r="M421" s="8"/>
    </row>
    <row r="422">
      <c r="A422" s="6"/>
      <c r="B422" s="6"/>
      <c r="C422" s="8"/>
      <c r="D422" s="8"/>
      <c r="E422" s="8"/>
      <c r="F422" s="8"/>
      <c r="G422" s="8"/>
      <c r="H422" s="9"/>
      <c r="I422" s="9"/>
      <c r="J422" s="8"/>
      <c r="K422" s="8"/>
      <c r="L422" s="8"/>
      <c r="M422" s="8"/>
    </row>
    <row r="423">
      <c r="A423" s="6"/>
      <c r="B423" s="6"/>
      <c r="C423" s="8"/>
      <c r="D423" s="8"/>
      <c r="E423" s="8"/>
      <c r="F423" s="8"/>
      <c r="G423" s="8"/>
      <c r="H423" s="9"/>
      <c r="I423" s="9"/>
      <c r="J423" s="8"/>
      <c r="K423" s="8"/>
      <c r="L423" s="8"/>
      <c r="M423" s="8"/>
    </row>
    <row r="424">
      <c r="A424" s="6"/>
      <c r="B424" s="6"/>
      <c r="C424" s="8"/>
      <c r="D424" s="8"/>
      <c r="E424" s="8"/>
      <c r="F424" s="8"/>
      <c r="G424" s="8"/>
      <c r="H424" s="9"/>
      <c r="I424" s="9"/>
      <c r="J424" s="8"/>
      <c r="K424" s="8"/>
      <c r="L424" s="8"/>
      <c r="M424" s="8"/>
    </row>
    <row r="425">
      <c r="A425" s="6"/>
      <c r="B425" s="6"/>
      <c r="C425" s="8"/>
      <c r="D425" s="8"/>
      <c r="E425" s="8"/>
      <c r="F425" s="8"/>
      <c r="G425" s="8"/>
      <c r="H425" s="9"/>
      <c r="I425" s="9"/>
      <c r="J425" s="8"/>
      <c r="K425" s="8"/>
      <c r="L425" s="8"/>
      <c r="M425" s="8"/>
    </row>
    <row r="426">
      <c r="A426" s="6"/>
      <c r="B426" s="6"/>
      <c r="C426" s="8"/>
      <c r="D426" s="8"/>
      <c r="E426" s="8"/>
      <c r="F426" s="8"/>
      <c r="G426" s="8"/>
      <c r="H426" s="9"/>
      <c r="I426" s="9"/>
      <c r="J426" s="8"/>
      <c r="K426" s="8"/>
      <c r="L426" s="8"/>
      <c r="M426" s="8"/>
    </row>
    <row r="427">
      <c r="A427" s="6"/>
      <c r="B427" s="6"/>
      <c r="C427" s="8"/>
      <c r="D427" s="8"/>
      <c r="E427" s="8"/>
      <c r="F427" s="8"/>
      <c r="G427" s="8"/>
      <c r="H427" s="9"/>
      <c r="I427" s="9"/>
      <c r="J427" s="8"/>
      <c r="K427" s="8"/>
      <c r="L427" s="8"/>
      <c r="M427" s="8"/>
    </row>
    <row r="428">
      <c r="A428" s="6"/>
      <c r="B428" s="6"/>
      <c r="C428" s="8"/>
      <c r="D428" s="8"/>
      <c r="E428" s="8"/>
      <c r="F428" s="8"/>
      <c r="G428" s="8"/>
      <c r="H428" s="9"/>
      <c r="I428" s="9"/>
      <c r="J428" s="8"/>
      <c r="K428" s="8"/>
      <c r="L428" s="8"/>
      <c r="M428" s="8"/>
    </row>
    <row r="429">
      <c r="A429" s="6"/>
      <c r="B429" s="6"/>
      <c r="C429" s="8"/>
      <c r="D429" s="8"/>
      <c r="E429" s="8"/>
      <c r="F429" s="8"/>
      <c r="G429" s="8"/>
      <c r="H429" s="9"/>
      <c r="I429" s="9"/>
      <c r="J429" s="8"/>
      <c r="K429" s="8"/>
      <c r="L429" s="8"/>
      <c r="M429" s="8"/>
    </row>
    <row r="430">
      <c r="A430" s="6"/>
      <c r="B430" s="6"/>
      <c r="C430" s="8"/>
      <c r="D430" s="8"/>
      <c r="E430" s="8"/>
      <c r="F430" s="8"/>
      <c r="G430" s="8"/>
      <c r="H430" s="9"/>
      <c r="I430" s="9"/>
      <c r="J430" s="8"/>
      <c r="K430" s="8"/>
      <c r="L430" s="8"/>
      <c r="M430" s="8"/>
    </row>
    <row r="431">
      <c r="A431" s="6"/>
      <c r="B431" s="6"/>
      <c r="C431" s="8"/>
      <c r="D431" s="8"/>
      <c r="E431" s="8"/>
      <c r="F431" s="8"/>
      <c r="G431" s="8"/>
      <c r="H431" s="9"/>
      <c r="I431" s="9"/>
      <c r="J431" s="8"/>
      <c r="K431" s="8"/>
      <c r="L431" s="8"/>
      <c r="M431" s="8"/>
    </row>
    <row r="432">
      <c r="A432" s="6"/>
      <c r="B432" s="6"/>
      <c r="C432" s="8"/>
      <c r="D432" s="8"/>
      <c r="E432" s="8"/>
      <c r="F432" s="8"/>
      <c r="G432" s="8"/>
      <c r="H432" s="9"/>
      <c r="I432" s="9"/>
      <c r="J432" s="8"/>
      <c r="K432" s="8"/>
      <c r="L432" s="8"/>
      <c r="M432" s="8"/>
    </row>
    <row r="433">
      <c r="A433" s="6"/>
      <c r="B433" s="6"/>
      <c r="C433" s="8"/>
      <c r="D433" s="8"/>
      <c r="E433" s="8"/>
      <c r="F433" s="8"/>
      <c r="G433" s="8"/>
      <c r="H433" s="9"/>
      <c r="I433" s="9"/>
      <c r="J433" s="8"/>
      <c r="K433" s="8"/>
      <c r="L433" s="8"/>
      <c r="M433" s="8"/>
    </row>
    <row r="434">
      <c r="A434" s="6"/>
      <c r="B434" s="6"/>
      <c r="C434" s="8"/>
      <c r="D434" s="8"/>
      <c r="E434" s="8"/>
      <c r="F434" s="8"/>
      <c r="G434" s="8"/>
      <c r="H434" s="9"/>
      <c r="I434" s="9"/>
      <c r="J434" s="8"/>
      <c r="K434" s="8"/>
      <c r="L434" s="8"/>
      <c r="M434" s="8"/>
    </row>
    <row r="435">
      <c r="A435" s="6"/>
      <c r="B435" s="6"/>
      <c r="C435" s="8"/>
      <c r="D435" s="8"/>
      <c r="E435" s="8"/>
      <c r="F435" s="8"/>
      <c r="G435" s="8"/>
      <c r="H435" s="9"/>
      <c r="I435" s="9"/>
      <c r="J435" s="8"/>
      <c r="K435" s="8"/>
      <c r="L435" s="8"/>
      <c r="M435" s="8"/>
    </row>
    <row r="436">
      <c r="A436" s="6"/>
      <c r="B436" s="6"/>
      <c r="C436" s="8"/>
      <c r="D436" s="8"/>
      <c r="E436" s="8"/>
      <c r="F436" s="8"/>
      <c r="G436" s="8"/>
      <c r="H436" s="9"/>
      <c r="I436" s="9"/>
      <c r="J436" s="8"/>
      <c r="K436" s="8"/>
      <c r="L436" s="8"/>
      <c r="M436" s="8"/>
    </row>
    <row r="437">
      <c r="A437" s="6"/>
      <c r="B437" s="6"/>
      <c r="C437" s="8"/>
      <c r="D437" s="8"/>
      <c r="E437" s="8"/>
      <c r="F437" s="8"/>
      <c r="G437" s="8"/>
      <c r="H437" s="9"/>
      <c r="I437" s="9"/>
      <c r="J437" s="8"/>
      <c r="K437" s="8"/>
      <c r="L437" s="8"/>
      <c r="M437" s="8"/>
    </row>
    <row r="438">
      <c r="A438" s="6"/>
      <c r="B438" s="6"/>
      <c r="C438" s="8"/>
      <c r="D438" s="8"/>
      <c r="E438" s="8"/>
      <c r="F438" s="8"/>
      <c r="G438" s="8"/>
      <c r="H438" s="9"/>
      <c r="I438" s="9"/>
      <c r="J438" s="8"/>
      <c r="K438" s="8"/>
      <c r="L438" s="8"/>
      <c r="M438" s="8"/>
    </row>
    <row r="439">
      <c r="A439" s="6"/>
      <c r="B439" s="6"/>
      <c r="C439" s="8"/>
      <c r="D439" s="8"/>
      <c r="E439" s="8"/>
      <c r="F439" s="8"/>
      <c r="G439" s="8"/>
      <c r="H439" s="9"/>
      <c r="I439" s="9"/>
      <c r="J439" s="8"/>
      <c r="K439" s="8"/>
      <c r="L439" s="8"/>
      <c r="M439" s="8"/>
    </row>
    <row r="440">
      <c r="A440" s="6"/>
      <c r="B440" s="6"/>
      <c r="C440" s="8"/>
      <c r="D440" s="8"/>
      <c r="E440" s="8"/>
      <c r="F440" s="8"/>
      <c r="G440" s="8"/>
      <c r="H440" s="9"/>
      <c r="I440" s="9"/>
      <c r="J440" s="8"/>
      <c r="K440" s="8"/>
      <c r="L440" s="8"/>
      <c r="M440" s="8"/>
    </row>
    <row r="441">
      <c r="A441" s="6"/>
      <c r="B441" s="6"/>
      <c r="C441" s="8"/>
      <c r="D441" s="8"/>
      <c r="E441" s="8"/>
      <c r="F441" s="8"/>
      <c r="G441" s="8"/>
      <c r="H441" s="9"/>
      <c r="I441" s="9"/>
      <c r="J441" s="8"/>
      <c r="K441" s="8"/>
      <c r="L441" s="8"/>
      <c r="M441" s="8"/>
    </row>
    <row r="442">
      <c r="A442" s="6"/>
      <c r="B442" s="6"/>
      <c r="C442" s="8"/>
      <c r="D442" s="8"/>
      <c r="E442" s="8"/>
      <c r="F442" s="8"/>
      <c r="G442" s="8"/>
      <c r="H442" s="9"/>
      <c r="I442" s="9"/>
      <c r="J442" s="8"/>
      <c r="K442" s="8"/>
      <c r="L442" s="8"/>
      <c r="M442" s="8"/>
    </row>
    <row r="443">
      <c r="A443" s="6"/>
      <c r="B443" s="6"/>
      <c r="C443" s="8"/>
      <c r="D443" s="8"/>
      <c r="E443" s="8"/>
      <c r="F443" s="8"/>
      <c r="G443" s="8"/>
      <c r="H443" s="9"/>
      <c r="I443" s="9"/>
      <c r="J443" s="8"/>
      <c r="K443" s="8"/>
      <c r="L443" s="8"/>
      <c r="M443" s="8"/>
    </row>
    <row r="444">
      <c r="A444" s="6"/>
      <c r="B444" s="6"/>
      <c r="C444" s="8"/>
      <c r="D444" s="8"/>
      <c r="E444" s="8"/>
      <c r="F444" s="8"/>
      <c r="G444" s="8"/>
      <c r="H444" s="9"/>
      <c r="I444" s="9"/>
      <c r="J444" s="8"/>
      <c r="K444" s="8"/>
      <c r="L444" s="8"/>
      <c r="M444" s="8"/>
    </row>
    <row r="445">
      <c r="A445" s="6"/>
      <c r="B445" s="6"/>
      <c r="C445" s="8"/>
      <c r="D445" s="8"/>
      <c r="E445" s="8"/>
      <c r="F445" s="8"/>
      <c r="G445" s="8"/>
      <c r="H445" s="9"/>
      <c r="I445" s="9"/>
      <c r="J445" s="8"/>
      <c r="K445" s="8"/>
      <c r="L445" s="8"/>
      <c r="M445" s="8"/>
    </row>
    <row r="446">
      <c r="A446" s="6"/>
      <c r="B446" s="6"/>
      <c r="C446" s="8"/>
      <c r="D446" s="8"/>
      <c r="E446" s="8"/>
      <c r="F446" s="8"/>
      <c r="G446" s="8"/>
      <c r="H446" s="9"/>
      <c r="I446" s="9"/>
      <c r="J446" s="8"/>
      <c r="K446" s="8"/>
      <c r="L446" s="8"/>
      <c r="M446" s="8"/>
    </row>
    <row r="447">
      <c r="A447" s="6"/>
      <c r="B447" s="6"/>
      <c r="C447" s="8"/>
      <c r="D447" s="8"/>
      <c r="E447" s="8"/>
      <c r="F447" s="8"/>
      <c r="G447" s="8"/>
      <c r="H447" s="9"/>
      <c r="I447" s="9"/>
      <c r="J447" s="8"/>
      <c r="K447" s="8"/>
      <c r="L447" s="8"/>
      <c r="M447" s="8"/>
    </row>
    <row r="448">
      <c r="A448" s="6"/>
      <c r="B448" s="6"/>
      <c r="C448" s="8"/>
      <c r="D448" s="8"/>
      <c r="E448" s="8"/>
      <c r="F448" s="8"/>
      <c r="G448" s="8"/>
      <c r="H448" s="9"/>
      <c r="I448" s="9"/>
      <c r="J448" s="8"/>
      <c r="K448" s="8"/>
      <c r="L448" s="8"/>
      <c r="M448" s="8"/>
    </row>
    <row r="449">
      <c r="A449" s="6"/>
      <c r="B449" s="6"/>
      <c r="C449" s="8"/>
      <c r="D449" s="8"/>
      <c r="E449" s="8"/>
      <c r="F449" s="8"/>
      <c r="G449" s="8"/>
      <c r="H449" s="9"/>
      <c r="I449" s="9"/>
      <c r="J449" s="8"/>
      <c r="K449" s="8"/>
      <c r="L449" s="8"/>
      <c r="M449" s="8"/>
    </row>
    <row r="450">
      <c r="A450" s="6"/>
      <c r="B450" s="6"/>
      <c r="C450" s="8"/>
      <c r="D450" s="8"/>
      <c r="E450" s="8"/>
      <c r="F450" s="8"/>
      <c r="G450" s="8"/>
      <c r="H450" s="9"/>
      <c r="I450" s="9"/>
      <c r="J450" s="8"/>
      <c r="K450" s="8"/>
      <c r="L450" s="8"/>
      <c r="M450" s="8"/>
    </row>
    <row r="451">
      <c r="A451" s="6"/>
      <c r="B451" s="6"/>
      <c r="C451" s="8"/>
      <c r="D451" s="8"/>
      <c r="E451" s="8"/>
      <c r="F451" s="8"/>
      <c r="G451" s="8"/>
      <c r="H451" s="9"/>
      <c r="I451" s="9"/>
      <c r="J451" s="8"/>
      <c r="K451" s="8"/>
      <c r="L451" s="8"/>
      <c r="M451" s="8"/>
    </row>
    <row r="452">
      <c r="A452" s="6"/>
      <c r="B452" s="6"/>
      <c r="C452" s="8"/>
      <c r="D452" s="8"/>
      <c r="E452" s="8"/>
      <c r="F452" s="8"/>
      <c r="G452" s="8"/>
      <c r="H452" s="9"/>
      <c r="I452" s="9"/>
      <c r="J452" s="8"/>
      <c r="K452" s="8"/>
      <c r="L452" s="8"/>
      <c r="M452" s="8"/>
    </row>
    <row r="453">
      <c r="A453" s="6"/>
      <c r="B453" s="6"/>
      <c r="C453" s="8"/>
      <c r="D453" s="8"/>
      <c r="E453" s="8"/>
      <c r="F453" s="8"/>
      <c r="G453" s="8"/>
      <c r="H453" s="9"/>
      <c r="I453" s="9"/>
      <c r="J453" s="8"/>
      <c r="K453" s="8"/>
      <c r="L453" s="8"/>
      <c r="M453" s="8"/>
    </row>
    <row r="454">
      <c r="A454" s="6"/>
      <c r="B454" s="6"/>
      <c r="C454" s="8"/>
      <c r="D454" s="8"/>
      <c r="E454" s="8"/>
      <c r="F454" s="8"/>
      <c r="G454" s="8"/>
      <c r="H454" s="9"/>
      <c r="I454" s="9"/>
      <c r="J454" s="8"/>
      <c r="K454" s="8"/>
      <c r="L454" s="8"/>
      <c r="M454" s="8"/>
    </row>
    <row r="455">
      <c r="A455" s="6"/>
      <c r="B455" s="6"/>
      <c r="C455" s="8"/>
      <c r="D455" s="8"/>
      <c r="E455" s="8"/>
      <c r="F455" s="8"/>
      <c r="G455" s="8"/>
      <c r="H455" s="9"/>
      <c r="I455" s="9"/>
      <c r="J455" s="8"/>
      <c r="K455" s="8"/>
      <c r="L455" s="8"/>
      <c r="M455" s="8"/>
    </row>
    <row r="456">
      <c r="A456" s="6"/>
      <c r="B456" s="6"/>
      <c r="C456" s="8"/>
      <c r="D456" s="8"/>
      <c r="E456" s="8"/>
      <c r="F456" s="8"/>
      <c r="G456" s="8"/>
      <c r="H456" s="9"/>
      <c r="I456" s="9"/>
      <c r="J456" s="8"/>
      <c r="K456" s="8"/>
      <c r="L456" s="8"/>
      <c r="M456" s="8"/>
    </row>
    <row r="457">
      <c r="A457" s="6"/>
      <c r="B457" s="6"/>
      <c r="C457" s="8"/>
      <c r="D457" s="8"/>
      <c r="E457" s="8"/>
      <c r="F457" s="8"/>
      <c r="G457" s="8"/>
      <c r="H457" s="9"/>
      <c r="I457" s="9"/>
      <c r="J457" s="8"/>
      <c r="K457" s="8"/>
      <c r="L457" s="8"/>
      <c r="M457" s="8"/>
    </row>
    <row r="458">
      <c r="A458" s="6"/>
      <c r="B458" s="6"/>
      <c r="C458" s="8"/>
      <c r="D458" s="8"/>
      <c r="E458" s="8"/>
      <c r="F458" s="8"/>
      <c r="G458" s="8"/>
      <c r="H458" s="9"/>
      <c r="I458" s="9"/>
      <c r="J458" s="8"/>
      <c r="K458" s="8"/>
      <c r="L458" s="8"/>
      <c r="M458" s="8"/>
    </row>
    <row r="459">
      <c r="A459" s="6"/>
      <c r="B459" s="6"/>
      <c r="C459" s="8"/>
      <c r="D459" s="8"/>
      <c r="E459" s="8"/>
      <c r="F459" s="8"/>
      <c r="G459" s="8"/>
      <c r="H459" s="9"/>
      <c r="I459" s="9"/>
      <c r="J459" s="8"/>
      <c r="K459" s="8"/>
      <c r="L459" s="8"/>
      <c r="M459" s="8"/>
    </row>
    <row r="460">
      <c r="A460" s="6"/>
      <c r="B460" s="6"/>
      <c r="C460" s="8"/>
      <c r="D460" s="8"/>
      <c r="E460" s="8"/>
      <c r="F460" s="8"/>
      <c r="G460" s="8"/>
      <c r="H460" s="9"/>
      <c r="I460" s="9"/>
      <c r="J460" s="8"/>
      <c r="K460" s="8"/>
      <c r="L460" s="8"/>
      <c r="M460" s="8"/>
    </row>
    <row r="461">
      <c r="A461" s="6"/>
      <c r="B461" s="6"/>
      <c r="C461" s="8"/>
      <c r="D461" s="8"/>
      <c r="E461" s="8"/>
      <c r="F461" s="8"/>
      <c r="G461" s="8"/>
      <c r="H461" s="9"/>
      <c r="I461" s="9"/>
      <c r="J461" s="8"/>
      <c r="K461" s="8"/>
      <c r="L461" s="8"/>
      <c r="M461" s="8"/>
    </row>
    <row r="462">
      <c r="A462" s="6"/>
      <c r="B462" s="6"/>
      <c r="C462" s="8"/>
      <c r="D462" s="8"/>
      <c r="E462" s="8"/>
      <c r="F462" s="8"/>
      <c r="G462" s="8"/>
      <c r="H462" s="9"/>
      <c r="I462" s="9"/>
      <c r="J462" s="8"/>
      <c r="K462" s="8"/>
      <c r="L462" s="8"/>
      <c r="M462" s="8"/>
    </row>
    <row r="463">
      <c r="A463" s="6"/>
      <c r="B463" s="6"/>
      <c r="C463" s="8"/>
      <c r="D463" s="8"/>
      <c r="E463" s="8"/>
      <c r="F463" s="8"/>
      <c r="G463" s="8"/>
      <c r="H463" s="9"/>
      <c r="I463" s="9"/>
      <c r="J463" s="8"/>
      <c r="K463" s="8"/>
      <c r="L463" s="8"/>
      <c r="M463" s="8"/>
    </row>
    <row r="464">
      <c r="A464" s="6"/>
      <c r="B464" s="6"/>
      <c r="C464" s="8"/>
      <c r="D464" s="8"/>
      <c r="E464" s="8"/>
      <c r="F464" s="8"/>
      <c r="G464" s="8"/>
      <c r="H464" s="9"/>
      <c r="I464" s="9"/>
      <c r="J464" s="8"/>
      <c r="K464" s="8"/>
      <c r="L464" s="8"/>
      <c r="M464" s="8"/>
    </row>
    <row r="465">
      <c r="A465" s="6"/>
      <c r="B465" s="6"/>
      <c r="C465" s="8"/>
      <c r="D465" s="8"/>
      <c r="E465" s="8"/>
      <c r="F465" s="8"/>
      <c r="G465" s="8"/>
      <c r="H465" s="9"/>
      <c r="I465" s="9"/>
      <c r="J465" s="8"/>
      <c r="K465" s="8"/>
      <c r="L465" s="8"/>
      <c r="M465" s="8"/>
    </row>
    <row r="466">
      <c r="A466" s="6"/>
      <c r="B466" s="6"/>
      <c r="C466" s="8"/>
      <c r="D466" s="8"/>
      <c r="E466" s="8"/>
      <c r="F466" s="8"/>
      <c r="G466" s="8"/>
      <c r="H466" s="9"/>
      <c r="I466" s="9"/>
      <c r="J466" s="8"/>
      <c r="K466" s="8"/>
      <c r="L466" s="8"/>
      <c r="M466" s="8"/>
    </row>
    <row r="467">
      <c r="A467" s="6"/>
      <c r="B467" s="6"/>
      <c r="C467" s="8"/>
      <c r="D467" s="8"/>
      <c r="E467" s="8"/>
      <c r="F467" s="8"/>
      <c r="G467" s="8"/>
      <c r="H467" s="9"/>
      <c r="I467" s="9"/>
      <c r="J467" s="8"/>
      <c r="K467" s="8"/>
      <c r="L467" s="8"/>
      <c r="M467" s="8"/>
    </row>
    <row r="468">
      <c r="A468" s="6"/>
      <c r="B468" s="6"/>
      <c r="C468" s="8"/>
      <c r="D468" s="8"/>
      <c r="E468" s="8"/>
      <c r="F468" s="8"/>
      <c r="G468" s="8"/>
      <c r="H468" s="9"/>
      <c r="I468" s="9"/>
      <c r="J468" s="8"/>
      <c r="K468" s="8"/>
      <c r="L468" s="8"/>
      <c r="M468" s="8"/>
    </row>
    <row r="469">
      <c r="A469" s="6"/>
      <c r="B469" s="6"/>
      <c r="C469" s="8"/>
      <c r="D469" s="8"/>
      <c r="E469" s="8"/>
      <c r="F469" s="8"/>
      <c r="G469" s="8"/>
      <c r="H469" s="9"/>
      <c r="I469" s="9"/>
      <c r="J469" s="8"/>
      <c r="K469" s="8"/>
      <c r="L469" s="8"/>
      <c r="M469" s="8"/>
    </row>
    <row r="470">
      <c r="A470" s="6"/>
      <c r="B470" s="6"/>
      <c r="C470" s="8"/>
      <c r="D470" s="8"/>
      <c r="E470" s="8"/>
      <c r="F470" s="8"/>
      <c r="G470" s="8"/>
      <c r="H470" s="9"/>
      <c r="I470" s="9"/>
      <c r="J470" s="8"/>
      <c r="K470" s="8"/>
      <c r="L470" s="8"/>
      <c r="M470" s="8"/>
    </row>
    <row r="471">
      <c r="A471" s="6"/>
      <c r="B471" s="6"/>
      <c r="C471" s="8"/>
      <c r="D471" s="8"/>
      <c r="E471" s="8"/>
      <c r="F471" s="8"/>
      <c r="G471" s="8"/>
      <c r="H471" s="9"/>
      <c r="I471" s="9"/>
      <c r="J471" s="8"/>
      <c r="K471" s="8"/>
      <c r="L471" s="8"/>
      <c r="M471" s="8"/>
    </row>
    <row r="472">
      <c r="A472" s="6"/>
      <c r="B472" s="6"/>
      <c r="C472" s="8"/>
      <c r="D472" s="8"/>
      <c r="E472" s="8"/>
      <c r="F472" s="8"/>
      <c r="G472" s="8"/>
      <c r="H472" s="9"/>
      <c r="I472" s="9"/>
      <c r="J472" s="8"/>
      <c r="K472" s="8"/>
      <c r="L472" s="8"/>
      <c r="M472" s="8"/>
    </row>
    <row r="473">
      <c r="A473" s="6"/>
      <c r="B473" s="6"/>
      <c r="C473" s="8"/>
      <c r="D473" s="8"/>
      <c r="E473" s="8"/>
      <c r="F473" s="8"/>
      <c r="G473" s="8"/>
      <c r="H473" s="9"/>
      <c r="I473" s="9"/>
      <c r="J473" s="8"/>
      <c r="K473" s="8"/>
      <c r="L473" s="8"/>
      <c r="M473" s="8"/>
    </row>
    <row r="474">
      <c r="A474" s="6"/>
      <c r="B474" s="6"/>
      <c r="C474" s="8"/>
      <c r="D474" s="8"/>
      <c r="E474" s="8"/>
      <c r="F474" s="8"/>
      <c r="G474" s="8"/>
      <c r="H474" s="9"/>
      <c r="I474" s="9"/>
      <c r="J474" s="8"/>
      <c r="K474" s="8"/>
      <c r="L474" s="8"/>
      <c r="M474" s="8"/>
    </row>
    <row r="475">
      <c r="A475" s="6"/>
      <c r="B475" s="6"/>
      <c r="C475" s="8"/>
      <c r="D475" s="8"/>
      <c r="E475" s="8"/>
      <c r="F475" s="8"/>
      <c r="G475" s="8"/>
      <c r="H475" s="9"/>
      <c r="I475" s="9"/>
      <c r="J475" s="8"/>
      <c r="K475" s="8"/>
      <c r="L475" s="8"/>
      <c r="M475" s="8"/>
    </row>
    <row r="476">
      <c r="A476" s="6"/>
      <c r="B476" s="6"/>
      <c r="C476" s="8"/>
      <c r="D476" s="8"/>
      <c r="E476" s="8"/>
      <c r="F476" s="8"/>
      <c r="G476" s="8"/>
      <c r="H476" s="9"/>
      <c r="I476" s="9"/>
      <c r="J476" s="8"/>
      <c r="K476" s="8"/>
      <c r="L476" s="8"/>
      <c r="M476" s="8"/>
    </row>
    <row r="477">
      <c r="A477" s="6"/>
      <c r="B477" s="6"/>
      <c r="C477" s="8"/>
      <c r="D477" s="8"/>
      <c r="E477" s="8"/>
      <c r="F477" s="8"/>
      <c r="G477" s="8"/>
      <c r="H477" s="9"/>
      <c r="I477" s="9"/>
      <c r="J477" s="8"/>
      <c r="K477" s="8"/>
      <c r="L477" s="8"/>
      <c r="M477" s="8"/>
    </row>
    <row r="478">
      <c r="A478" s="6"/>
      <c r="B478" s="6"/>
      <c r="C478" s="8"/>
      <c r="D478" s="8"/>
      <c r="E478" s="8"/>
      <c r="F478" s="8"/>
      <c r="G478" s="8"/>
      <c r="H478" s="9"/>
      <c r="I478" s="9"/>
      <c r="J478" s="8"/>
      <c r="K478" s="8"/>
      <c r="L478" s="8"/>
      <c r="M478" s="8"/>
    </row>
    <row r="479">
      <c r="A479" s="6"/>
      <c r="B479" s="6"/>
      <c r="C479" s="8"/>
      <c r="D479" s="8"/>
      <c r="E479" s="8"/>
      <c r="F479" s="8"/>
      <c r="G479" s="8"/>
      <c r="H479" s="9"/>
      <c r="I479" s="9"/>
      <c r="J479" s="8"/>
      <c r="K479" s="8"/>
      <c r="L479" s="8"/>
      <c r="M479" s="8"/>
    </row>
    <row r="480">
      <c r="A480" s="6"/>
      <c r="B480" s="6"/>
      <c r="C480" s="8"/>
      <c r="D480" s="8"/>
      <c r="E480" s="8"/>
      <c r="F480" s="8"/>
      <c r="G480" s="8"/>
      <c r="H480" s="9"/>
      <c r="I480" s="9"/>
      <c r="J480" s="8"/>
      <c r="K480" s="8"/>
      <c r="L480" s="8"/>
      <c r="M480" s="8"/>
    </row>
    <row r="481">
      <c r="A481" s="6"/>
      <c r="B481" s="6"/>
      <c r="C481" s="8"/>
      <c r="D481" s="8"/>
      <c r="E481" s="8"/>
      <c r="F481" s="8"/>
      <c r="G481" s="8"/>
      <c r="H481" s="9"/>
      <c r="I481" s="9"/>
      <c r="J481" s="8"/>
      <c r="K481" s="8"/>
      <c r="L481" s="8"/>
      <c r="M481" s="8"/>
    </row>
    <row r="482">
      <c r="A482" s="6"/>
      <c r="B482" s="6"/>
      <c r="C482" s="8"/>
      <c r="D482" s="8"/>
      <c r="E482" s="8"/>
      <c r="F482" s="8"/>
      <c r="G482" s="8"/>
      <c r="H482" s="9"/>
      <c r="I482" s="9"/>
      <c r="J482" s="8"/>
      <c r="K482" s="8"/>
      <c r="L482" s="8"/>
      <c r="M482" s="8"/>
    </row>
    <row r="483">
      <c r="A483" s="6"/>
      <c r="B483" s="6"/>
      <c r="C483" s="8"/>
      <c r="D483" s="8"/>
      <c r="E483" s="8"/>
      <c r="F483" s="8"/>
      <c r="G483" s="8"/>
      <c r="H483" s="9"/>
      <c r="I483" s="9"/>
      <c r="J483" s="8"/>
      <c r="K483" s="8"/>
      <c r="L483" s="8"/>
      <c r="M483" s="8"/>
    </row>
    <row r="484">
      <c r="A484" s="6"/>
      <c r="B484" s="6"/>
      <c r="C484" s="8"/>
      <c r="D484" s="8"/>
      <c r="E484" s="8"/>
      <c r="F484" s="8"/>
      <c r="G484" s="8"/>
      <c r="H484" s="9"/>
      <c r="I484" s="9"/>
      <c r="J484" s="8"/>
      <c r="K484" s="8"/>
      <c r="L484" s="8"/>
      <c r="M484" s="8"/>
    </row>
    <row r="485">
      <c r="A485" s="6"/>
      <c r="B485" s="6"/>
      <c r="C485" s="8"/>
      <c r="D485" s="8"/>
      <c r="E485" s="8"/>
      <c r="F485" s="8"/>
      <c r="G485" s="8"/>
      <c r="H485" s="9"/>
      <c r="I485" s="9"/>
      <c r="J485" s="8"/>
      <c r="K485" s="8"/>
      <c r="L485" s="8"/>
      <c r="M485" s="8"/>
    </row>
    <row r="486">
      <c r="A486" s="6"/>
      <c r="B486" s="6"/>
      <c r="C486" s="8"/>
      <c r="D486" s="8"/>
      <c r="E486" s="8"/>
      <c r="F486" s="8"/>
      <c r="G486" s="8"/>
      <c r="H486" s="9"/>
      <c r="I486" s="9"/>
      <c r="J486" s="8"/>
      <c r="K486" s="8"/>
      <c r="L486" s="8"/>
      <c r="M486" s="8"/>
    </row>
    <row r="487">
      <c r="A487" s="6"/>
      <c r="B487" s="6"/>
      <c r="C487" s="8"/>
      <c r="D487" s="8"/>
      <c r="E487" s="8"/>
      <c r="F487" s="8"/>
      <c r="G487" s="8"/>
      <c r="H487" s="9"/>
      <c r="I487" s="9"/>
      <c r="J487" s="8"/>
      <c r="K487" s="8"/>
      <c r="L487" s="8"/>
      <c r="M487" s="8"/>
    </row>
    <row r="488">
      <c r="A488" s="6"/>
      <c r="B488" s="6"/>
      <c r="C488" s="8"/>
      <c r="D488" s="8"/>
      <c r="E488" s="8"/>
      <c r="F488" s="8"/>
      <c r="G488" s="8"/>
      <c r="H488" s="9"/>
      <c r="I488" s="9"/>
      <c r="J488" s="8"/>
      <c r="K488" s="8"/>
      <c r="L488" s="8"/>
      <c r="M488" s="8"/>
    </row>
    <row r="489">
      <c r="A489" s="6"/>
      <c r="B489" s="6"/>
      <c r="C489" s="8"/>
      <c r="D489" s="8"/>
      <c r="E489" s="8"/>
      <c r="F489" s="8"/>
      <c r="G489" s="8"/>
      <c r="H489" s="9"/>
      <c r="I489" s="9"/>
      <c r="J489" s="8"/>
      <c r="K489" s="8"/>
      <c r="L489" s="8"/>
      <c r="M489" s="8"/>
    </row>
    <row r="490">
      <c r="A490" s="6"/>
      <c r="B490" s="6"/>
      <c r="C490" s="8"/>
      <c r="D490" s="8"/>
      <c r="E490" s="8"/>
      <c r="F490" s="8"/>
      <c r="G490" s="8"/>
      <c r="H490" s="9"/>
      <c r="I490" s="9"/>
      <c r="J490" s="8"/>
      <c r="K490" s="8"/>
      <c r="L490" s="8"/>
      <c r="M490" s="8"/>
    </row>
    <row r="491">
      <c r="A491" s="6"/>
      <c r="B491" s="6"/>
      <c r="C491" s="8"/>
      <c r="D491" s="8"/>
      <c r="E491" s="8"/>
      <c r="F491" s="8"/>
      <c r="G491" s="8"/>
      <c r="H491" s="9"/>
      <c r="I491" s="9"/>
      <c r="J491" s="8"/>
      <c r="K491" s="8"/>
      <c r="L491" s="8"/>
      <c r="M491" s="8"/>
    </row>
    <row r="492">
      <c r="A492" s="6"/>
      <c r="B492" s="6"/>
      <c r="C492" s="8"/>
      <c r="D492" s="8"/>
      <c r="E492" s="8"/>
      <c r="F492" s="8"/>
      <c r="G492" s="8"/>
      <c r="H492" s="9"/>
      <c r="I492" s="9"/>
      <c r="J492" s="8"/>
      <c r="K492" s="8"/>
      <c r="L492" s="8"/>
      <c r="M492" s="8"/>
    </row>
    <row r="493">
      <c r="A493" s="6"/>
      <c r="B493" s="6"/>
      <c r="C493" s="8"/>
      <c r="D493" s="8"/>
      <c r="E493" s="8"/>
      <c r="F493" s="8"/>
      <c r="G493" s="8"/>
      <c r="H493" s="9"/>
      <c r="I493" s="9"/>
      <c r="J493" s="8"/>
      <c r="K493" s="8"/>
      <c r="L493" s="8"/>
      <c r="M493" s="8"/>
    </row>
    <row r="494">
      <c r="A494" s="6"/>
      <c r="B494" s="6"/>
      <c r="C494" s="8"/>
      <c r="D494" s="8"/>
      <c r="E494" s="8"/>
      <c r="F494" s="8"/>
      <c r="G494" s="8"/>
      <c r="H494" s="9"/>
      <c r="I494" s="9"/>
      <c r="J494" s="8"/>
      <c r="K494" s="8"/>
      <c r="L494" s="8"/>
      <c r="M494" s="8"/>
    </row>
    <row r="495">
      <c r="A495" s="6"/>
      <c r="B495" s="6"/>
      <c r="C495" s="8"/>
      <c r="D495" s="8"/>
      <c r="E495" s="8"/>
      <c r="F495" s="8"/>
      <c r="G495" s="8"/>
      <c r="H495" s="9"/>
      <c r="I495" s="9"/>
      <c r="J495" s="8"/>
      <c r="K495" s="8"/>
      <c r="L495" s="8"/>
      <c r="M495" s="8"/>
    </row>
    <row r="496">
      <c r="A496" s="6"/>
      <c r="B496" s="6"/>
      <c r="C496" s="8"/>
      <c r="D496" s="8"/>
      <c r="E496" s="8"/>
      <c r="F496" s="8"/>
      <c r="G496" s="8"/>
      <c r="H496" s="9"/>
      <c r="I496" s="9"/>
      <c r="J496" s="8"/>
      <c r="K496" s="8"/>
      <c r="L496" s="8"/>
      <c r="M496" s="8"/>
    </row>
    <row r="497">
      <c r="A497" s="6"/>
      <c r="B497" s="6"/>
      <c r="C497" s="8"/>
      <c r="D497" s="8"/>
      <c r="E497" s="8"/>
      <c r="F497" s="8"/>
      <c r="G497" s="8"/>
      <c r="H497" s="9"/>
      <c r="I497" s="9"/>
      <c r="J497" s="8"/>
      <c r="K497" s="8"/>
      <c r="L497" s="8"/>
      <c r="M497" s="8"/>
    </row>
    <row r="498">
      <c r="A498" s="6"/>
      <c r="B498" s="6"/>
      <c r="C498" s="8"/>
      <c r="D498" s="8"/>
      <c r="E498" s="8"/>
      <c r="F498" s="8"/>
      <c r="G498" s="8"/>
      <c r="H498" s="9"/>
      <c r="I498" s="9"/>
      <c r="J498" s="8"/>
      <c r="K498" s="8"/>
      <c r="L498" s="8"/>
      <c r="M498" s="8"/>
    </row>
    <row r="499">
      <c r="A499" s="6"/>
      <c r="B499" s="6"/>
      <c r="C499" s="8"/>
      <c r="D499" s="8"/>
      <c r="E499" s="8"/>
      <c r="F499" s="8"/>
      <c r="G499" s="8"/>
      <c r="H499" s="9"/>
      <c r="I499" s="9"/>
      <c r="J499" s="8"/>
      <c r="K499" s="8"/>
      <c r="L499" s="8"/>
      <c r="M499" s="8"/>
    </row>
    <row r="500">
      <c r="A500" s="6"/>
      <c r="B500" s="6"/>
      <c r="C500" s="8"/>
      <c r="D500" s="8"/>
      <c r="E500" s="8"/>
      <c r="F500" s="8"/>
      <c r="G500" s="8"/>
      <c r="H500" s="9"/>
      <c r="I500" s="9"/>
      <c r="J500" s="8"/>
      <c r="K500" s="8"/>
      <c r="L500" s="8"/>
      <c r="M500" s="8"/>
    </row>
    <row r="501">
      <c r="A501" s="6"/>
      <c r="B501" s="6"/>
      <c r="C501" s="8"/>
      <c r="D501" s="8"/>
      <c r="E501" s="8"/>
      <c r="F501" s="8"/>
      <c r="G501" s="8"/>
      <c r="H501" s="9"/>
      <c r="I501" s="9"/>
      <c r="J501" s="8"/>
      <c r="K501" s="8"/>
      <c r="L501" s="8"/>
      <c r="M501" s="8"/>
    </row>
    <row r="502">
      <c r="A502" s="6"/>
      <c r="B502" s="6"/>
      <c r="C502" s="8"/>
      <c r="D502" s="8"/>
      <c r="E502" s="8"/>
      <c r="F502" s="8"/>
      <c r="G502" s="8"/>
      <c r="H502" s="9"/>
      <c r="I502" s="9"/>
      <c r="J502" s="8"/>
      <c r="K502" s="8"/>
      <c r="L502" s="8"/>
      <c r="M502" s="8"/>
    </row>
    <row r="503">
      <c r="A503" s="6"/>
      <c r="B503" s="6"/>
      <c r="C503" s="8"/>
      <c r="D503" s="8"/>
      <c r="E503" s="8"/>
      <c r="F503" s="8"/>
      <c r="G503" s="8"/>
      <c r="H503" s="9"/>
      <c r="I503" s="9"/>
      <c r="J503" s="8"/>
      <c r="K503" s="8"/>
      <c r="L503" s="8"/>
      <c r="M503" s="8"/>
    </row>
    <row r="504">
      <c r="A504" s="6"/>
      <c r="B504" s="6"/>
      <c r="C504" s="8"/>
      <c r="D504" s="8"/>
      <c r="E504" s="8"/>
      <c r="F504" s="8"/>
      <c r="G504" s="8"/>
      <c r="H504" s="9"/>
      <c r="I504" s="9"/>
      <c r="J504" s="8"/>
      <c r="K504" s="8"/>
      <c r="L504" s="8"/>
      <c r="M504" s="8"/>
    </row>
    <row r="505">
      <c r="A505" s="6"/>
      <c r="B505" s="6"/>
      <c r="C505" s="8"/>
      <c r="D505" s="8"/>
      <c r="E505" s="8"/>
      <c r="F505" s="8"/>
      <c r="G505" s="8"/>
      <c r="H505" s="9"/>
      <c r="I505" s="9"/>
      <c r="J505" s="8"/>
      <c r="K505" s="8"/>
      <c r="L505" s="8"/>
      <c r="M505" s="8"/>
    </row>
    <row r="506">
      <c r="A506" s="6"/>
      <c r="B506" s="6"/>
      <c r="C506" s="8"/>
      <c r="D506" s="8"/>
      <c r="E506" s="8"/>
      <c r="F506" s="8"/>
      <c r="G506" s="8"/>
      <c r="H506" s="9"/>
      <c r="I506" s="9"/>
      <c r="J506" s="8"/>
      <c r="K506" s="8"/>
      <c r="L506" s="8"/>
      <c r="M506" s="8"/>
    </row>
    <row r="507">
      <c r="A507" s="6"/>
      <c r="B507" s="6"/>
      <c r="C507" s="8"/>
      <c r="D507" s="8"/>
      <c r="E507" s="8"/>
      <c r="F507" s="8"/>
      <c r="G507" s="8"/>
      <c r="H507" s="9"/>
      <c r="I507" s="9"/>
      <c r="J507" s="8"/>
      <c r="K507" s="8"/>
      <c r="L507" s="8"/>
      <c r="M507" s="8"/>
    </row>
    <row r="508">
      <c r="A508" s="6"/>
      <c r="B508" s="6"/>
      <c r="C508" s="8"/>
      <c r="D508" s="8"/>
      <c r="E508" s="8"/>
      <c r="F508" s="8"/>
      <c r="G508" s="8"/>
      <c r="H508" s="9"/>
      <c r="I508" s="9"/>
      <c r="J508" s="8"/>
      <c r="K508" s="8"/>
      <c r="L508" s="8"/>
      <c r="M508" s="8"/>
    </row>
    <row r="509">
      <c r="A509" s="6"/>
      <c r="B509" s="6"/>
      <c r="C509" s="8"/>
      <c r="D509" s="8"/>
      <c r="E509" s="8"/>
      <c r="F509" s="8"/>
      <c r="G509" s="8"/>
      <c r="H509" s="9"/>
      <c r="I509" s="9"/>
      <c r="J509" s="8"/>
      <c r="K509" s="8"/>
      <c r="L509" s="8"/>
      <c r="M509" s="8"/>
    </row>
    <row r="510">
      <c r="A510" s="6"/>
      <c r="B510" s="6"/>
      <c r="C510" s="8"/>
      <c r="D510" s="8"/>
      <c r="E510" s="8"/>
      <c r="F510" s="8"/>
      <c r="G510" s="8"/>
      <c r="H510" s="9"/>
      <c r="I510" s="9"/>
      <c r="J510" s="8"/>
      <c r="K510" s="8"/>
      <c r="L510" s="8"/>
      <c r="M510" s="8"/>
    </row>
    <row r="511">
      <c r="A511" s="6"/>
      <c r="B511" s="6"/>
      <c r="C511" s="8"/>
      <c r="D511" s="8"/>
      <c r="E511" s="8"/>
      <c r="F511" s="8"/>
      <c r="G511" s="8"/>
      <c r="H511" s="9"/>
      <c r="I511" s="9"/>
      <c r="J511" s="8"/>
      <c r="K511" s="8"/>
      <c r="L511" s="8"/>
      <c r="M511" s="8"/>
    </row>
    <row r="512">
      <c r="A512" s="6"/>
      <c r="B512" s="6"/>
      <c r="C512" s="8"/>
      <c r="D512" s="8"/>
      <c r="E512" s="8"/>
      <c r="F512" s="8"/>
      <c r="G512" s="8"/>
      <c r="H512" s="9"/>
      <c r="I512" s="9"/>
      <c r="J512" s="8"/>
      <c r="K512" s="8"/>
      <c r="L512" s="8"/>
      <c r="M512" s="8"/>
    </row>
    <row r="513">
      <c r="A513" s="6"/>
      <c r="B513" s="6"/>
      <c r="C513" s="8"/>
      <c r="D513" s="8"/>
      <c r="E513" s="8"/>
      <c r="F513" s="8"/>
      <c r="G513" s="8"/>
      <c r="H513" s="9"/>
      <c r="I513" s="9"/>
      <c r="J513" s="8"/>
      <c r="K513" s="8"/>
      <c r="L513" s="8"/>
      <c r="M513" s="8"/>
    </row>
    <row r="514">
      <c r="A514" s="6"/>
      <c r="B514" s="6"/>
      <c r="C514" s="8"/>
      <c r="D514" s="8"/>
      <c r="E514" s="8"/>
      <c r="F514" s="8"/>
      <c r="G514" s="8"/>
      <c r="H514" s="9"/>
      <c r="I514" s="9"/>
      <c r="J514" s="8"/>
      <c r="K514" s="8"/>
      <c r="L514" s="8"/>
      <c r="M514" s="8"/>
    </row>
    <row r="515">
      <c r="A515" s="6"/>
      <c r="B515" s="6"/>
      <c r="C515" s="8"/>
      <c r="D515" s="8"/>
      <c r="E515" s="8"/>
      <c r="F515" s="8"/>
      <c r="G515" s="8"/>
      <c r="H515" s="9"/>
      <c r="I515" s="9"/>
      <c r="J515" s="8"/>
      <c r="K515" s="8"/>
      <c r="L515" s="8"/>
      <c r="M515" s="8"/>
    </row>
    <row r="516">
      <c r="A516" s="6"/>
      <c r="B516" s="6"/>
      <c r="C516" s="8"/>
      <c r="D516" s="8"/>
      <c r="E516" s="8"/>
      <c r="F516" s="8"/>
      <c r="G516" s="8"/>
      <c r="H516" s="9"/>
      <c r="I516" s="9"/>
      <c r="J516" s="8"/>
      <c r="K516" s="8"/>
      <c r="L516" s="8"/>
      <c r="M516" s="8"/>
    </row>
    <row r="517">
      <c r="A517" s="6"/>
      <c r="B517" s="6"/>
      <c r="C517" s="8"/>
      <c r="D517" s="8"/>
      <c r="E517" s="8"/>
      <c r="F517" s="8"/>
      <c r="G517" s="8"/>
      <c r="H517" s="9"/>
      <c r="I517" s="9"/>
      <c r="J517" s="8"/>
      <c r="K517" s="8"/>
      <c r="L517" s="8"/>
      <c r="M517" s="8"/>
    </row>
    <row r="518">
      <c r="A518" s="6"/>
      <c r="B518" s="6"/>
      <c r="C518" s="8"/>
      <c r="D518" s="8"/>
      <c r="E518" s="8"/>
      <c r="F518" s="8"/>
      <c r="G518" s="8"/>
      <c r="H518" s="9"/>
      <c r="I518" s="9"/>
      <c r="J518" s="8"/>
      <c r="K518" s="8"/>
      <c r="L518" s="8"/>
      <c r="M518" s="8"/>
    </row>
    <row r="519">
      <c r="A519" s="6"/>
      <c r="B519" s="6"/>
      <c r="C519" s="8"/>
      <c r="D519" s="8"/>
      <c r="E519" s="8"/>
      <c r="F519" s="8"/>
      <c r="G519" s="8"/>
      <c r="H519" s="9"/>
      <c r="I519" s="9"/>
      <c r="J519" s="8"/>
      <c r="K519" s="8"/>
      <c r="L519" s="8"/>
      <c r="M519" s="8"/>
    </row>
    <row r="520">
      <c r="A520" s="6"/>
      <c r="B520" s="6"/>
      <c r="C520" s="8"/>
      <c r="D520" s="8"/>
      <c r="E520" s="8"/>
      <c r="F520" s="8"/>
      <c r="G520" s="8"/>
      <c r="H520" s="9"/>
      <c r="I520" s="9"/>
      <c r="J520" s="8"/>
      <c r="K520" s="8"/>
      <c r="L520" s="8"/>
      <c r="M520" s="8"/>
    </row>
    <row r="521">
      <c r="A521" s="6"/>
      <c r="B521" s="6"/>
      <c r="C521" s="8"/>
      <c r="D521" s="8"/>
      <c r="E521" s="8"/>
      <c r="F521" s="8"/>
      <c r="G521" s="8"/>
      <c r="H521" s="9"/>
      <c r="I521" s="9"/>
      <c r="J521" s="8"/>
      <c r="K521" s="8"/>
      <c r="L521" s="8"/>
      <c r="M521" s="8"/>
    </row>
    <row r="522">
      <c r="A522" s="6"/>
      <c r="B522" s="6"/>
      <c r="C522" s="8"/>
      <c r="D522" s="8"/>
      <c r="E522" s="8"/>
      <c r="F522" s="8"/>
      <c r="G522" s="8"/>
      <c r="H522" s="9"/>
      <c r="I522" s="9"/>
      <c r="J522" s="8"/>
      <c r="K522" s="8"/>
      <c r="L522" s="8"/>
      <c r="M522" s="8"/>
    </row>
    <row r="523">
      <c r="A523" s="6"/>
      <c r="B523" s="6"/>
      <c r="C523" s="8"/>
      <c r="D523" s="8"/>
      <c r="E523" s="8"/>
      <c r="F523" s="8"/>
      <c r="G523" s="8"/>
      <c r="H523" s="9"/>
      <c r="I523" s="9"/>
      <c r="J523" s="8"/>
      <c r="K523" s="8"/>
      <c r="L523" s="8"/>
      <c r="M523" s="8"/>
    </row>
    <row r="524">
      <c r="A524" s="6"/>
      <c r="B524" s="6"/>
      <c r="C524" s="8"/>
      <c r="D524" s="8"/>
      <c r="E524" s="8"/>
      <c r="F524" s="8"/>
      <c r="G524" s="8"/>
      <c r="H524" s="9"/>
      <c r="I524" s="9"/>
      <c r="J524" s="8"/>
      <c r="K524" s="8"/>
      <c r="L524" s="8"/>
      <c r="M524" s="8"/>
    </row>
    <row r="525">
      <c r="A525" s="6"/>
      <c r="B525" s="6"/>
      <c r="C525" s="8"/>
      <c r="D525" s="8"/>
      <c r="E525" s="8"/>
      <c r="F525" s="8"/>
      <c r="G525" s="8"/>
      <c r="H525" s="9"/>
      <c r="I525" s="9"/>
      <c r="J525" s="8"/>
      <c r="K525" s="8"/>
      <c r="L525" s="8"/>
      <c r="M525" s="8"/>
    </row>
    <row r="526">
      <c r="A526" s="6"/>
      <c r="B526" s="6"/>
      <c r="C526" s="8"/>
      <c r="D526" s="8"/>
      <c r="E526" s="8"/>
      <c r="F526" s="8"/>
      <c r="G526" s="8"/>
      <c r="H526" s="9"/>
      <c r="I526" s="9"/>
      <c r="J526" s="8"/>
      <c r="K526" s="8"/>
      <c r="L526" s="8"/>
      <c r="M526" s="8"/>
    </row>
    <row r="527">
      <c r="A527" s="6"/>
      <c r="B527" s="6"/>
      <c r="C527" s="8"/>
      <c r="D527" s="8"/>
      <c r="E527" s="8"/>
      <c r="F527" s="8"/>
      <c r="G527" s="8"/>
      <c r="H527" s="9"/>
      <c r="I527" s="9"/>
      <c r="J527" s="8"/>
      <c r="K527" s="8"/>
      <c r="L527" s="8"/>
      <c r="M527" s="8"/>
    </row>
    <row r="528">
      <c r="A528" s="6"/>
      <c r="B528" s="6"/>
      <c r="C528" s="8"/>
      <c r="D528" s="8"/>
      <c r="E528" s="8"/>
      <c r="F528" s="8"/>
      <c r="G528" s="8"/>
      <c r="H528" s="9"/>
      <c r="I528" s="9"/>
      <c r="J528" s="8"/>
      <c r="K528" s="8"/>
      <c r="L528" s="8"/>
      <c r="M528" s="8"/>
    </row>
    <row r="529">
      <c r="A529" s="6"/>
      <c r="B529" s="6"/>
      <c r="C529" s="8"/>
      <c r="D529" s="8"/>
      <c r="E529" s="8"/>
      <c r="F529" s="8"/>
      <c r="G529" s="8"/>
      <c r="H529" s="9"/>
      <c r="I529" s="9"/>
      <c r="J529" s="8"/>
      <c r="K529" s="8"/>
      <c r="L529" s="8"/>
      <c r="M529" s="8"/>
    </row>
    <row r="530">
      <c r="A530" s="6"/>
      <c r="B530" s="6"/>
      <c r="C530" s="8"/>
      <c r="D530" s="8"/>
      <c r="E530" s="8"/>
      <c r="F530" s="8"/>
      <c r="G530" s="8"/>
      <c r="H530" s="9"/>
      <c r="I530" s="9"/>
      <c r="J530" s="8"/>
      <c r="K530" s="8"/>
      <c r="L530" s="8"/>
      <c r="M530" s="8"/>
    </row>
    <row r="531">
      <c r="A531" s="6"/>
      <c r="B531" s="6"/>
      <c r="C531" s="8"/>
      <c r="D531" s="8"/>
      <c r="E531" s="8"/>
      <c r="F531" s="8"/>
      <c r="G531" s="8"/>
      <c r="H531" s="9"/>
      <c r="I531" s="9"/>
      <c r="J531" s="8"/>
      <c r="K531" s="8"/>
      <c r="L531" s="8"/>
      <c r="M531" s="8"/>
    </row>
    <row r="532">
      <c r="A532" s="6"/>
      <c r="B532" s="6"/>
      <c r="C532" s="8"/>
      <c r="D532" s="8"/>
      <c r="E532" s="8"/>
      <c r="F532" s="8"/>
      <c r="G532" s="8"/>
      <c r="H532" s="9"/>
      <c r="I532" s="9"/>
      <c r="J532" s="8"/>
      <c r="K532" s="8"/>
      <c r="L532" s="8"/>
      <c r="M532" s="8"/>
    </row>
    <row r="533">
      <c r="A533" s="6"/>
      <c r="B533" s="6"/>
      <c r="C533" s="8"/>
      <c r="D533" s="8"/>
      <c r="E533" s="8"/>
      <c r="F533" s="8"/>
      <c r="G533" s="8"/>
      <c r="H533" s="9"/>
      <c r="I533" s="9"/>
      <c r="J533" s="8"/>
      <c r="K533" s="8"/>
      <c r="L533" s="8"/>
      <c r="M533" s="8"/>
    </row>
    <row r="534">
      <c r="A534" s="6"/>
      <c r="B534" s="6"/>
      <c r="C534" s="8"/>
      <c r="D534" s="8"/>
      <c r="E534" s="8"/>
      <c r="F534" s="8"/>
      <c r="G534" s="8"/>
      <c r="H534" s="9"/>
      <c r="I534" s="9"/>
      <c r="J534" s="8"/>
      <c r="K534" s="8"/>
      <c r="L534" s="8"/>
      <c r="M534" s="8"/>
    </row>
    <row r="535">
      <c r="A535" s="6"/>
      <c r="B535" s="6"/>
      <c r="C535" s="8"/>
      <c r="D535" s="8"/>
      <c r="E535" s="8"/>
      <c r="F535" s="8"/>
      <c r="G535" s="8"/>
      <c r="H535" s="9"/>
      <c r="I535" s="9"/>
      <c r="J535" s="8"/>
      <c r="K535" s="8"/>
      <c r="L535" s="8"/>
      <c r="M535" s="8"/>
    </row>
    <row r="536">
      <c r="A536" s="6"/>
      <c r="B536" s="6"/>
      <c r="C536" s="8"/>
      <c r="D536" s="8"/>
      <c r="E536" s="8"/>
      <c r="F536" s="8"/>
      <c r="G536" s="8"/>
      <c r="H536" s="9"/>
      <c r="I536" s="9"/>
      <c r="J536" s="8"/>
      <c r="K536" s="8"/>
      <c r="L536" s="8"/>
      <c r="M536" s="8"/>
    </row>
    <row r="537">
      <c r="A537" s="6"/>
      <c r="B537" s="6"/>
      <c r="C537" s="8"/>
      <c r="D537" s="8"/>
      <c r="E537" s="8"/>
      <c r="F537" s="8"/>
      <c r="G537" s="8"/>
      <c r="H537" s="9"/>
      <c r="I537" s="9"/>
      <c r="J537" s="8"/>
      <c r="K537" s="8"/>
      <c r="L537" s="8"/>
      <c r="M537" s="8"/>
    </row>
    <row r="538">
      <c r="A538" s="6"/>
      <c r="B538" s="6"/>
      <c r="C538" s="8"/>
      <c r="D538" s="8"/>
      <c r="E538" s="8"/>
      <c r="F538" s="8"/>
      <c r="G538" s="8"/>
      <c r="H538" s="9"/>
      <c r="I538" s="9"/>
      <c r="J538" s="8"/>
      <c r="K538" s="8"/>
      <c r="L538" s="8"/>
      <c r="M538" s="8"/>
    </row>
    <row r="539">
      <c r="A539" s="6"/>
      <c r="B539" s="6"/>
      <c r="C539" s="8"/>
      <c r="D539" s="8"/>
      <c r="E539" s="8"/>
      <c r="F539" s="8"/>
      <c r="G539" s="8"/>
      <c r="H539" s="9"/>
      <c r="I539" s="9"/>
      <c r="J539" s="8"/>
      <c r="K539" s="8"/>
      <c r="L539" s="8"/>
      <c r="M539" s="8"/>
    </row>
    <row r="540">
      <c r="A540" s="6"/>
      <c r="B540" s="6"/>
      <c r="C540" s="8"/>
      <c r="D540" s="8"/>
      <c r="E540" s="8"/>
      <c r="F540" s="8"/>
      <c r="G540" s="8"/>
      <c r="H540" s="9"/>
      <c r="I540" s="9"/>
      <c r="J540" s="8"/>
      <c r="K540" s="8"/>
      <c r="L540" s="8"/>
      <c r="M540" s="8"/>
    </row>
    <row r="541">
      <c r="A541" s="6"/>
      <c r="B541" s="6"/>
      <c r="C541" s="8"/>
      <c r="D541" s="8"/>
      <c r="E541" s="8"/>
      <c r="F541" s="8"/>
      <c r="G541" s="8"/>
      <c r="H541" s="9"/>
      <c r="I541" s="9"/>
      <c r="J541" s="8"/>
      <c r="K541" s="8"/>
      <c r="L541" s="8"/>
      <c r="M541" s="8"/>
    </row>
    <row r="542">
      <c r="A542" s="6"/>
      <c r="B542" s="6"/>
      <c r="C542" s="8"/>
      <c r="D542" s="8"/>
      <c r="E542" s="8"/>
      <c r="F542" s="8"/>
      <c r="G542" s="8"/>
      <c r="H542" s="9"/>
      <c r="I542" s="9"/>
      <c r="J542" s="8"/>
      <c r="K542" s="8"/>
      <c r="L542" s="8"/>
      <c r="M542" s="8"/>
    </row>
    <row r="543">
      <c r="A543" s="6"/>
      <c r="B543" s="6"/>
      <c r="C543" s="8"/>
      <c r="D543" s="8"/>
      <c r="E543" s="8"/>
      <c r="F543" s="8"/>
      <c r="G543" s="8"/>
      <c r="H543" s="9"/>
      <c r="I543" s="9"/>
      <c r="J543" s="8"/>
      <c r="K543" s="8"/>
      <c r="L543" s="8"/>
      <c r="M543" s="8"/>
    </row>
    <row r="544">
      <c r="A544" s="6"/>
      <c r="B544" s="6"/>
      <c r="C544" s="8"/>
      <c r="D544" s="8"/>
      <c r="E544" s="8"/>
      <c r="F544" s="8"/>
      <c r="G544" s="8"/>
      <c r="H544" s="9"/>
      <c r="I544" s="9"/>
      <c r="J544" s="8"/>
      <c r="K544" s="8"/>
      <c r="L544" s="8"/>
      <c r="M544" s="8"/>
    </row>
    <row r="545">
      <c r="A545" s="6"/>
      <c r="B545" s="6"/>
      <c r="C545" s="8"/>
      <c r="D545" s="8"/>
      <c r="E545" s="8"/>
      <c r="F545" s="8"/>
      <c r="G545" s="8"/>
      <c r="H545" s="9"/>
      <c r="I545" s="9"/>
      <c r="J545" s="8"/>
      <c r="K545" s="8"/>
      <c r="L545" s="8"/>
      <c r="M545" s="8"/>
    </row>
    <row r="546">
      <c r="A546" s="6"/>
      <c r="B546" s="6"/>
      <c r="C546" s="8"/>
      <c r="D546" s="8"/>
      <c r="E546" s="8"/>
      <c r="F546" s="8"/>
      <c r="G546" s="8"/>
      <c r="H546" s="9"/>
      <c r="I546" s="9"/>
      <c r="J546" s="8"/>
      <c r="K546" s="8"/>
      <c r="L546" s="8"/>
      <c r="M546" s="8"/>
    </row>
    <row r="547">
      <c r="A547" s="6"/>
      <c r="B547" s="6"/>
      <c r="C547" s="8"/>
      <c r="D547" s="8"/>
      <c r="E547" s="8"/>
      <c r="F547" s="8"/>
      <c r="G547" s="8"/>
      <c r="H547" s="9"/>
      <c r="I547" s="9"/>
      <c r="J547" s="8"/>
      <c r="K547" s="8"/>
      <c r="L547" s="8"/>
      <c r="M547" s="8"/>
    </row>
    <row r="548">
      <c r="A548" s="6"/>
      <c r="B548" s="6"/>
      <c r="C548" s="8"/>
      <c r="D548" s="8"/>
      <c r="E548" s="8"/>
      <c r="F548" s="8"/>
      <c r="G548" s="8"/>
      <c r="H548" s="9"/>
      <c r="I548" s="9"/>
      <c r="J548" s="8"/>
      <c r="K548" s="8"/>
      <c r="L548" s="8"/>
      <c r="M548" s="8"/>
    </row>
    <row r="549">
      <c r="A549" s="6"/>
      <c r="B549" s="6"/>
      <c r="C549" s="8"/>
      <c r="D549" s="8"/>
      <c r="E549" s="8"/>
      <c r="F549" s="8"/>
      <c r="G549" s="8"/>
      <c r="H549" s="9"/>
      <c r="I549" s="9"/>
      <c r="J549" s="8"/>
      <c r="K549" s="8"/>
      <c r="L549" s="8"/>
      <c r="M549" s="8"/>
    </row>
    <row r="550">
      <c r="A550" s="6"/>
      <c r="B550" s="6"/>
      <c r="C550" s="8"/>
      <c r="D550" s="8"/>
      <c r="E550" s="8"/>
      <c r="F550" s="8"/>
      <c r="G550" s="8"/>
      <c r="H550" s="9"/>
      <c r="I550" s="9"/>
      <c r="J550" s="8"/>
      <c r="K550" s="8"/>
      <c r="L550" s="8"/>
      <c r="M550" s="8"/>
    </row>
    <row r="551">
      <c r="A551" s="6"/>
      <c r="B551" s="6"/>
      <c r="C551" s="8"/>
      <c r="D551" s="8"/>
      <c r="E551" s="8"/>
      <c r="F551" s="8"/>
      <c r="G551" s="8"/>
      <c r="H551" s="9"/>
      <c r="I551" s="9"/>
      <c r="J551" s="8"/>
      <c r="K551" s="8"/>
      <c r="L551" s="8"/>
      <c r="M551" s="8"/>
    </row>
    <row r="552">
      <c r="A552" s="6"/>
      <c r="B552" s="6"/>
      <c r="C552" s="8"/>
      <c r="D552" s="8"/>
      <c r="E552" s="8"/>
      <c r="F552" s="8"/>
      <c r="G552" s="8"/>
      <c r="H552" s="9"/>
      <c r="I552" s="9"/>
      <c r="J552" s="8"/>
      <c r="K552" s="8"/>
      <c r="L552" s="8"/>
      <c r="M552" s="8"/>
    </row>
    <row r="553">
      <c r="A553" s="6"/>
      <c r="B553" s="6"/>
      <c r="C553" s="8"/>
      <c r="D553" s="8"/>
      <c r="E553" s="8"/>
      <c r="F553" s="8"/>
      <c r="G553" s="8"/>
      <c r="H553" s="9"/>
      <c r="I553" s="9"/>
      <c r="J553" s="8"/>
      <c r="K553" s="8"/>
      <c r="L553" s="8"/>
      <c r="M553" s="8"/>
    </row>
    <row r="554">
      <c r="A554" s="6"/>
      <c r="B554" s="6"/>
      <c r="C554" s="8"/>
      <c r="D554" s="8"/>
      <c r="E554" s="8"/>
      <c r="F554" s="8"/>
      <c r="G554" s="8"/>
      <c r="H554" s="9"/>
      <c r="I554" s="9"/>
      <c r="J554" s="8"/>
      <c r="K554" s="8"/>
      <c r="L554" s="8"/>
      <c r="M554" s="8"/>
    </row>
    <row r="555">
      <c r="A555" s="6"/>
      <c r="B555" s="6"/>
      <c r="C555" s="8"/>
      <c r="D555" s="8"/>
      <c r="E555" s="8"/>
      <c r="F555" s="8"/>
      <c r="G555" s="8"/>
      <c r="H555" s="9"/>
      <c r="I555" s="9"/>
      <c r="J555" s="8"/>
      <c r="K555" s="8"/>
      <c r="L555" s="8"/>
      <c r="M555" s="8"/>
    </row>
    <row r="556">
      <c r="A556" s="6"/>
      <c r="B556" s="6"/>
      <c r="C556" s="8"/>
      <c r="D556" s="8"/>
      <c r="E556" s="8"/>
      <c r="F556" s="8"/>
      <c r="G556" s="8"/>
      <c r="H556" s="9"/>
      <c r="I556" s="9"/>
      <c r="J556" s="8"/>
      <c r="K556" s="8"/>
      <c r="L556" s="8"/>
      <c r="M556" s="8"/>
    </row>
    <row r="557">
      <c r="A557" s="6"/>
      <c r="B557" s="6"/>
      <c r="C557" s="8"/>
      <c r="D557" s="8"/>
      <c r="E557" s="8"/>
      <c r="F557" s="8"/>
      <c r="G557" s="8"/>
      <c r="H557" s="9"/>
      <c r="I557" s="9"/>
      <c r="J557" s="8"/>
      <c r="K557" s="8"/>
      <c r="L557" s="8"/>
      <c r="M557" s="8"/>
    </row>
    <row r="558">
      <c r="A558" s="6"/>
      <c r="B558" s="6"/>
      <c r="C558" s="8"/>
      <c r="D558" s="8"/>
      <c r="E558" s="8"/>
      <c r="F558" s="8"/>
      <c r="G558" s="8"/>
      <c r="H558" s="9"/>
      <c r="I558" s="9"/>
      <c r="J558" s="8"/>
      <c r="K558" s="8"/>
      <c r="L558" s="8"/>
      <c r="M558" s="8"/>
    </row>
    <row r="559">
      <c r="A559" s="6"/>
      <c r="B559" s="6"/>
      <c r="C559" s="8"/>
      <c r="D559" s="8"/>
      <c r="E559" s="8"/>
      <c r="F559" s="8"/>
      <c r="G559" s="8"/>
      <c r="H559" s="9"/>
      <c r="I559" s="9"/>
      <c r="J559" s="8"/>
      <c r="K559" s="8"/>
      <c r="L559" s="8"/>
      <c r="M559" s="8"/>
    </row>
    <row r="560">
      <c r="A560" s="6"/>
      <c r="B560" s="6"/>
      <c r="C560" s="8"/>
      <c r="D560" s="8"/>
      <c r="E560" s="8"/>
      <c r="F560" s="8"/>
      <c r="G560" s="8"/>
      <c r="H560" s="9"/>
      <c r="I560" s="9"/>
      <c r="J560" s="8"/>
      <c r="K560" s="8"/>
      <c r="L560" s="8"/>
      <c r="M560" s="8"/>
    </row>
    <row r="561">
      <c r="A561" s="6"/>
      <c r="B561" s="6"/>
      <c r="C561" s="8"/>
      <c r="D561" s="8"/>
      <c r="E561" s="8"/>
      <c r="F561" s="8"/>
      <c r="G561" s="8"/>
      <c r="H561" s="9"/>
      <c r="I561" s="9"/>
      <c r="J561" s="8"/>
      <c r="K561" s="8"/>
      <c r="L561" s="8"/>
      <c r="M561" s="8"/>
    </row>
    <row r="562">
      <c r="A562" s="6"/>
      <c r="B562" s="6"/>
      <c r="C562" s="8"/>
      <c r="D562" s="8"/>
      <c r="E562" s="8"/>
      <c r="F562" s="8"/>
      <c r="G562" s="8"/>
      <c r="H562" s="9"/>
      <c r="I562" s="9"/>
      <c r="J562" s="8"/>
      <c r="K562" s="8"/>
      <c r="L562" s="8"/>
      <c r="M562" s="8"/>
    </row>
    <row r="563">
      <c r="A563" s="6"/>
      <c r="B563" s="6"/>
      <c r="C563" s="8"/>
      <c r="D563" s="8"/>
      <c r="E563" s="8"/>
      <c r="F563" s="8"/>
      <c r="G563" s="8"/>
      <c r="H563" s="9"/>
      <c r="I563" s="9"/>
      <c r="J563" s="8"/>
      <c r="K563" s="8"/>
      <c r="L563" s="8"/>
      <c r="M563" s="8"/>
    </row>
    <row r="564">
      <c r="A564" s="6"/>
      <c r="B564" s="6"/>
      <c r="C564" s="8"/>
      <c r="D564" s="8"/>
      <c r="E564" s="8"/>
      <c r="F564" s="8"/>
      <c r="G564" s="8"/>
      <c r="H564" s="9"/>
      <c r="I564" s="9"/>
      <c r="J564" s="8"/>
      <c r="K564" s="8"/>
      <c r="L564" s="8"/>
      <c r="M564" s="8"/>
    </row>
    <row r="565">
      <c r="A565" s="6"/>
      <c r="B565" s="6"/>
      <c r="C565" s="8"/>
      <c r="D565" s="8"/>
      <c r="E565" s="8"/>
      <c r="F565" s="8"/>
      <c r="G565" s="8"/>
      <c r="H565" s="9"/>
      <c r="I565" s="9"/>
      <c r="J565" s="8"/>
      <c r="K565" s="8"/>
      <c r="L565" s="8"/>
      <c r="M565" s="8"/>
    </row>
    <row r="566">
      <c r="A566" s="6"/>
      <c r="B566" s="6"/>
      <c r="C566" s="8"/>
      <c r="D566" s="8"/>
      <c r="E566" s="8"/>
      <c r="F566" s="8"/>
      <c r="G566" s="8"/>
      <c r="H566" s="9"/>
      <c r="I566" s="9"/>
      <c r="J566" s="8"/>
      <c r="K566" s="8"/>
      <c r="L566" s="8"/>
      <c r="M566" s="8"/>
    </row>
    <row r="567">
      <c r="A567" s="6"/>
      <c r="B567" s="6"/>
      <c r="C567" s="8"/>
      <c r="D567" s="8"/>
      <c r="E567" s="8"/>
      <c r="F567" s="8"/>
      <c r="G567" s="8"/>
      <c r="H567" s="9"/>
      <c r="I567" s="9"/>
      <c r="J567" s="8"/>
      <c r="K567" s="8"/>
      <c r="L567" s="8"/>
      <c r="M567" s="8"/>
    </row>
    <row r="568">
      <c r="A568" s="6"/>
      <c r="B568" s="6"/>
      <c r="C568" s="8"/>
      <c r="D568" s="8"/>
      <c r="E568" s="8"/>
      <c r="F568" s="8"/>
      <c r="G568" s="8"/>
      <c r="H568" s="9"/>
      <c r="I568" s="9"/>
      <c r="J568" s="8"/>
      <c r="K568" s="8"/>
      <c r="L568" s="8"/>
      <c r="M568" s="8"/>
    </row>
    <row r="569">
      <c r="A569" s="6"/>
      <c r="B569" s="6"/>
      <c r="C569" s="8"/>
      <c r="D569" s="8"/>
      <c r="E569" s="8"/>
      <c r="F569" s="8"/>
      <c r="G569" s="8"/>
      <c r="H569" s="9"/>
      <c r="I569" s="9"/>
      <c r="J569" s="8"/>
      <c r="K569" s="8"/>
      <c r="L569" s="8"/>
      <c r="M569" s="8"/>
    </row>
    <row r="570">
      <c r="A570" s="6"/>
      <c r="B570" s="6"/>
      <c r="C570" s="8"/>
      <c r="D570" s="8"/>
      <c r="E570" s="8"/>
      <c r="F570" s="8"/>
      <c r="G570" s="8"/>
      <c r="H570" s="9"/>
      <c r="I570" s="9"/>
      <c r="J570" s="8"/>
      <c r="K570" s="8"/>
      <c r="L570" s="8"/>
      <c r="M570" s="8"/>
    </row>
    <row r="571">
      <c r="A571" s="6"/>
      <c r="B571" s="6"/>
      <c r="C571" s="8"/>
      <c r="D571" s="8"/>
      <c r="E571" s="8"/>
      <c r="F571" s="8"/>
      <c r="G571" s="8"/>
      <c r="H571" s="9"/>
      <c r="I571" s="9"/>
      <c r="J571" s="8"/>
      <c r="K571" s="8"/>
      <c r="L571" s="8"/>
      <c r="M571" s="8"/>
    </row>
    <row r="572">
      <c r="A572" s="6"/>
      <c r="B572" s="6"/>
      <c r="C572" s="8"/>
      <c r="D572" s="8"/>
      <c r="E572" s="8"/>
      <c r="F572" s="8"/>
      <c r="G572" s="8"/>
      <c r="H572" s="9"/>
      <c r="I572" s="9"/>
      <c r="J572" s="8"/>
      <c r="K572" s="8"/>
      <c r="L572" s="8"/>
      <c r="M572" s="8"/>
    </row>
    <row r="573">
      <c r="A573" s="6"/>
      <c r="B573" s="6"/>
      <c r="C573" s="8"/>
      <c r="D573" s="8"/>
      <c r="E573" s="8"/>
      <c r="F573" s="8"/>
      <c r="G573" s="8"/>
      <c r="H573" s="9"/>
      <c r="I573" s="9"/>
      <c r="J573" s="8"/>
      <c r="K573" s="8"/>
      <c r="L573" s="8"/>
      <c r="M573" s="8"/>
    </row>
    <row r="574">
      <c r="A574" s="6"/>
      <c r="B574" s="6"/>
      <c r="C574" s="8"/>
      <c r="D574" s="8"/>
      <c r="E574" s="8"/>
      <c r="F574" s="8"/>
      <c r="G574" s="8"/>
      <c r="H574" s="9"/>
      <c r="I574" s="9"/>
      <c r="J574" s="8"/>
      <c r="K574" s="8"/>
      <c r="L574" s="8"/>
      <c r="M574" s="8"/>
    </row>
    <row r="575">
      <c r="A575" s="6"/>
      <c r="B575" s="6"/>
      <c r="C575" s="8"/>
      <c r="D575" s="8"/>
      <c r="E575" s="8"/>
      <c r="F575" s="8"/>
      <c r="G575" s="8"/>
      <c r="H575" s="9"/>
      <c r="I575" s="9"/>
      <c r="J575" s="8"/>
      <c r="K575" s="8"/>
      <c r="L575" s="8"/>
      <c r="M575" s="8"/>
    </row>
    <row r="576">
      <c r="A576" s="6"/>
      <c r="B576" s="6"/>
      <c r="C576" s="8"/>
      <c r="D576" s="8"/>
      <c r="E576" s="8"/>
      <c r="F576" s="8"/>
      <c r="G576" s="8"/>
      <c r="H576" s="9"/>
      <c r="I576" s="9"/>
      <c r="J576" s="8"/>
      <c r="K576" s="8"/>
      <c r="L576" s="8"/>
      <c r="M576" s="8"/>
    </row>
    <row r="577">
      <c r="A577" s="6"/>
      <c r="B577" s="6"/>
      <c r="C577" s="8"/>
      <c r="D577" s="8"/>
      <c r="E577" s="8"/>
      <c r="F577" s="8"/>
      <c r="G577" s="8"/>
      <c r="H577" s="9"/>
      <c r="I577" s="9"/>
      <c r="J577" s="8"/>
      <c r="K577" s="8"/>
      <c r="L577" s="8"/>
      <c r="M577" s="8"/>
    </row>
    <row r="578">
      <c r="A578" s="6"/>
      <c r="B578" s="6"/>
      <c r="C578" s="8"/>
      <c r="D578" s="8"/>
      <c r="E578" s="8"/>
      <c r="F578" s="8"/>
      <c r="G578" s="8"/>
      <c r="H578" s="9"/>
      <c r="I578" s="9"/>
      <c r="J578" s="8"/>
      <c r="K578" s="8"/>
      <c r="L578" s="8"/>
      <c r="M578" s="8"/>
    </row>
    <row r="579">
      <c r="A579" s="6"/>
      <c r="B579" s="6"/>
      <c r="C579" s="8"/>
      <c r="D579" s="8"/>
      <c r="E579" s="8"/>
      <c r="F579" s="8"/>
      <c r="G579" s="8"/>
      <c r="H579" s="9"/>
      <c r="I579" s="9"/>
      <c r="J579" s="8"/>
      <c r="K579" s="8"/>
      <c r="L579" s="8"/>
      <c r="M579" s="8"/>
    </row>
    <row r="580">
      <c r="A580" s="6"/>
      <c r="B580" s="6"/>
      <c r="C580" s="8"/>
      <c r="D580" s="8"/>
      <c r="E580" s="8"/>
      <c r="F580" s="8"/>
      <c r="G580" s="8"/>
      <c r="H580" s="9"/>
      <c r="I580" s="9"/>
      <c r="J580" s="8"/>
      <c r="K580" s="8"/>
      <c r="L580" s="8"/>
      <c r="M580" s="8"/>
    </row>
    <row r="581">
      <c r="A581" s="6"/>
      <c r="B581" s="6"/>
      <c r="C581" s="8"/>
      <c r="D581" s="8"/>
      <c r="E581" s="8"/>
      <c r="F581" s="8"/>
      <c r="G581" s="8"/>
      <c r="H581" s="9"/>
      <c r="I581" s="9"/>
      <c r="J581" s="8"/>
      <c r="K581" s="8"/>
      <c r="L581" s="8"/>
      <c r="M581" s="8"/>
    </row>
    <row r="582">
      <c r="A582" s="6"/>
      <c r="B582" s="6"/>
      <c r="C582" s="8"/>
      <c r="D582" s="8"/>
      <c r="E582" s="8"/>
      <c r="F582" s="8"/>
      <c r="G582" s="8"/>
      <c r="H582" s="9"/>
      <c r="I582" s="9"/>
      <c r="J582" s="8"/>
      <c r="K582" s="8"/>
      <c r="L582" s="8"/>
      <c r="M582" s="8"/>
    </row>
    <row r="583">
      <c r="A583" s="6"/>
      <c r="B583" s="6"/>
      <c r="C583" s="8"/>
      <c r="D583" s="8"/>
      <c r="E583" s="8"/>
      <c r="F583" s="8"/>
      <c r="G583" s="8"/>
      <c r="H583" s="9"/>
      <c r="I583" s="9"/>
      <c r="J583" s="8"/>
      <c r="K583" s="8"/>
      <c r="L583" s="8"/>
      <c r="M583" s="8"/>
    </row>
    <row r="584">
      <c r="A584" s="6"/>
      <c r="B584" s="6"/>
      <c r="C584" s="8"/>
      <c r="D584" s="8"/>
      <c r="E584" s="8"/>
      <c r="F584" s="8"/>
      <c r="G584" s="8"/>
      <c r="H584" s="9"/>
      <c r="I584" s="9"/>
      <c r="J584" s="8"/>
      <c r="K584" s="8"/>
      <c r="L584" s="8"/>
      <c r="M584" s="8"/>
    </row>
    <row r="585">
      <c r="A585" s="6"/>
      <c r="B585" s="6"/>
      <c r="C585" s="8"/>
      <c r="D585" s="8"/>
      <c r="E585" s="8"/>
      <c r="F585" s="8"/>
      <c r="G585" s="8"/>
      <c r="H585" s="9"/>
      <c r="I585" s="9"/>
      <c r="J585" s="8"/>
      <c r="K585" s="8"/>
      <c r="L585" s="8"/>
      <c r="M585" s="8"/>
    </row>
    <row r="586">
      <c r="A586" s="6"/>
      <c r="B586" s="6"/>
      <c r="C586" s="8"/>
      <c r="D586" s="8"/>
      <c r="E586" s="8"/>
      <c r="F586" s="8"/>
      <c r="G586" s="8"/>
      <c r="H586" s="9"/>
      <c r="I586" s="9"/>
      <c r="J586" s="8"/>
      <c r="K586" s="8"/>
      <c r="L586" s="8"/>
      <c r="M586" s="8"/>
    </row>
    <row r="587">
      <c r="A587" s="6"/>
      <c r="B587" s="6"/>
      <c r="C587" s="8"/>
      <c r="D587" s="8"/>
      <c r="E587" s="8"/>
      <c r="F587" s="8"/>
      <c r="G587" s="8"/>
      <c r="H587" s="9"/>
      <c r="I587" s="9"/>
      <c r="J587" s="8"/>
      <c r="K587" s="8"/>
      <c r="L587" s="8"/>
      <c r="M587" s="8"/>
    </row>
    <row r="588">
      <c r="A588" s="6"/>
      <c r="B588" s="6"/>
      <c r="C588" s="8"/>
      <c r="D588" s="8"/>
      <c r="E588" s="8"/>
      <c r="F588" s="8"/>
      <c r="G588" s="8"/>
      <c r="H588" s="9"/>
      <c r="I588" s="9"/>
      <c r="J588" s="8"/>
      <c r="K588" s="8"/>
      <c r="L588" s="8"/>
      <c r="M588" s="8"/>
    </row>
    <row r="589">
      <c r="A589" s="6"/>
      <c r="B589" s="6"/>
      <c r="C589" s="8"/>
      <c r="D589" s="8"/>
      <c r="E589" s="8"/>
      <c r="F589" s="8"/>
      <c r="G589" s="8"/>
      <c r="H589" s="9"/>
      <c r="I589" s="9"/>
      <c r="J589" s="8"/>
      <c r="K589" s="8"/>
      <c r="L589" s="8"/>
      <c r="M589" s="8"/>
    </row>
    <row r="590">
      <c r="A590" s="6"/>
      <c r="B590" s="6"/>
      <c r="C590" s="8"/>
      <c r="D590" s="8"/>
      <c r="E590" s="8"/>
      <c r="F590" s="8"/>
      <c r="G590" s="8"/>
      <c r="H590" s="9"/>
      <c r="I590" s="9"/>
      <c r="J590" s="8"/>
      <c r="K590" s="8"/>
      <c r="L590" s="8"/>
      <c r="M590" s="8"/>
    </row>
    <row r="591">
      <c r="A591" s="6"/>
      <c r="B591" s="6"/>
      <c r="C591" s="8"/>
      <c r="D591" s="8"/>
      <c r="E591" s="8"/>
      <c r="F591" s="8"/>
      <c r="G591" s="8"/>
      <c r="H591" s="9"/>
      <c r="I591" s="9"/>
      <c r="J591" s="8"/>
      <c r="K591" s="8"/>
      <c r="L591" s="8"/>
      <c r="M591" s="8"/>
    </row>
    <row r="592">
      <c r="A592" s="6"/>
      <c r="B592" s="6"/>
      <c r="C592" s="8"/>
      <c r="D592" s="8"/>
      <c r="E592" s="8"/>
      <c r="F592" s="8"/>
      <c r="G592" s="8"/>
      <c r="H592" s="9"/>
      <c r="I592" s="9"/>
      <c r="J592" s="8"/>
      <c r="K592" s="8"/>
      <c r="L592" s="8"/>
      <c r="M592" s="8"/>
    </row>
    <row r="593">
      <c r="A593" s="6"/>
      <c r="B593" s="6"/>
      <c r="C593" s="8"/>
      <c r="D593" s="8"/>
      <c r="E593" s="8"/>
      <c r="F593" s="8"/>
      <c r="G593" s="8"/>
      <c r="H593" s="9"/>
      <c r="I593" s="9"/>
      <c r="J593" s="8"/>
      <c r="K593" s="8"/>
      <c r="L593" s="8"/>
      <c r="M593" s="8"/>
    </row>
    <row r="594">
      <c r="A594" s="6"/>
      <c r="B594" s="6"/>
      <c r="C594" s="8"/>
      <c r="D594" s="8"/>
      <c r="E594" s="8"/>
      <c r="F594" s="8"/>
      <c r="G594" s="8"/>
      <c r="H594" s="9"/>
      <c r="I594" s="9"/>
      <c r="J594" s="8"/>
      <c r="K594" s="8"/>
      <c r="L594" s="8"/>
      <c r="M594" s="8"/>
    </row>
    <row r="595">
      <c r="A595" s="6"/>
      <c r="B595" s="6"/>
      <c r="C595" s="8"/>
      <c r="D595" s="8"/>
      <c r="E595" s="8"/>
      <c r="F595" s="8"/>
      <c r="G595" s="8"/>
      <c r="H595" s="9"/>
      <c r="I595" s="9"/>
      <c r="J595" s="8"/>
      <c r="K595" s="8"/>
      <c r="L595" s="8"/>
      <c r="M595" s="8"/>
    </row>
    <row r="596">
      <c r="A596" s="6"/>
      <c r="B596" s="6"/>
      <c r="C596" s="8"/>
      <c r="D596" s="8"/>
      <c r="E596" s="8"/>
      <c r="F596" s="8"/>
      <c r="G596" s="8"/>
      <c r="H596" s="9"/>
      <c r="I596" s="9"/>
      <c r="J596" s="8"/>
      <c r="K596" s="8"/>
      <c r="L596" s="8"/>
      <c r="M596" s="8"/>
    </row>
    <row r="597">
      <c r="A597" s="6"/>
      <c r="B597" s="6"/>
      <c r="C597" s="8"/>
      <c r="D597" s="8"/>
      <c r="E597" s="8"/>
      <c r="F597" s="8"/>
      <c r="G597" s="8"/>
      <c r="H597" s="9"/>
      <c r="I597" s="9"/>
      <c r="J597" s="8"/>
      <c r="K597" s="8"/>
      <c r="L597" s="8"/>
      <c r="M597" s="8"/>
    </row>
    <row r="598">
      <c r="A598" s="6"/>
      <c r="B598" s="6"/>
      <c r="C598" s="8"/>
      <c r="D598" s="8"/>
      <c r="E598" s="8"/>
      <c r="F598" s="8"/>
      <c r="G598" s="8"/>
      <c r="H598" s="9"/>
      <c r="I598" s="9"/>
      <c r="J598" s="8"/>
      <c r="K598" s="8"/>
      <c r="L598" s="8"/>
      <c r="M598" s="8"/>
    </row>
    <row r="599">
      <c r="A599" s="6"/>
      <c r="B599" s="6"/>
      <c r="C599" s="8"/>
      <c r="D599" s="8"/>
      <c r="E599" s="8"/>
      <c r="F599" s="8"/>
      <c r="G599" s="8"/>
      <c r="H599" s="9"/>
      <c r="I599" s="9"/>
      <c r="J599" s="8"/>
      <c r="K599" s="8"/>
      <c r="L599" s="8"/>
      <c r="M599" s="8"/>
    </row>
    <row r="600">
      <c r="A600" s="6"/>
      <c r="B600" s="6"/>
      <c r="C600" s="8"/>
      <c r="D600" s="8"/>
      <c r="E600" s="8"/>
      <c r="F600" s="8"/>
      <c r="G600" s="8"/>
      <c r="H600" s="9"/>
      <c r="I600" s="9"/>
      <c r="J600" s="8"/>
      <c r="K600" s="8"/>
      <c r="L600" s="8"/>
      <c r="M600" s="8"/>
    </row>
    <row r="601">
      <c r="A601" s="6"/>
      <c r="B601" s="6"/>
      <c r="C601" s="8"/>
      <c r="D601" s="8"/>
      <c r="E601" s="8"/>
      <c r="F601" s="8"/>
      <c r="G601" s="8"/>
      <c r="H601" s="9"/>
      <c r="I601" s="9"/>
      <c r="J601" s="8"/>
      <c r="K601" s="8"/>
      <c r="L601" s="8"/>
      <c r="M601" s="8"/>
    </row>
    <row r="602">
      <c r="A602" s="6"/>
      <c r="B602" s="6"/>
      <c r="C602" s="8"/>
      <c r="D602" s="8"/>
      <c r="E602" s="8"/>
      <c r="F602" s="8"/>
      <c r="G602" s="8"/>
      <c r="H602" s="9"/>
      <c r="I602" s="9"/>
      <c r="J602" s="8"/>
      <c r="K602" s="8"/>
      <c r="L602" s="8"/>
      <c r="M602" s="8"/>
    </row>
    <row r="603">
      <c r="A603" s="6"/>
      <c r="B603" s="6"/>
      <c r="C603" s="8"/>
      <c r="D603" s="8"/>
      <c r="E603" s="8"/>
      <c r="F603" s="8"/>
      <c r="G603" s="8"/>
      <c r="H603" s="9"/>
      <c r="I603" s="9"/>
      <c r="J603" s="8"/>
      <c r="K603" s="8"/>
      <c r="L603" s="8"/>
      <c r="M603" s="8"/>
    </row>
    <row r="604">
      <c r="A604" s="6"/>
      <c r="B604" s="6"/>
      <c r="C604" s="8"/>
      <c r="D604" s="8"/>
      <c r="E604" s="8"/>
      <c r="F604" s="8"/>
      <c r="G604" s="8"/>
      <c r="H604" s="9"/>
      <c r="I604" s="9"/>
      <c r="J604" s="8"/>
      <c r="K604" s="8"/>
      <c r="L604" s="8"/>
      <c r="M604" s="8"/>
    </row>
    <row r="605">
      <c r="A605" s="6"/>
      <c r="B605" s="6"/>
      <c r="C605" s="8"/>
      <c r="D605" s="8"/>
      <c r="E605" s="8"/>
      <c r="F605" s="8"/>
      <c r="G605" s="8"/>
      <c r="H605" s="9"/>
      <c r="I605" s="9"/>
      <c r="J605" s="8"/>
      <c r="K605" s="8"/>
      <c r="L605" s="8"/>
      <c r="M605" s="8"/>
    </row>
    <row r="606">
      <c r="A606" s="6"/>
      <c r="B606" s="6"/>
      <c r="C606" s="8"/>
      <c r="D606" s="8"/>
      <c r="E606" s="8"/>
      <c r="F606" s="8"/>
      <c r="G606" s="8"/>
      <c r="H606" s="9"/>
      <c r="I606" s="9"/>
      <c r="J606" s="8"/>
      <c r="K606" s="8"/>
      <c r="L606" s="8"/>
      <c r="M606" s="8"/>
    </row>
    <row r="607">
      <c r="A607" s="6"/>
      <c r="B607" s="6"/>
      <c r="C607" s="8"/>
      <c r="D607" s="8"/>
      <c r="E607" s="8"/>
      <c r="F607" s="8"/>
      <c r="G607" s="8"/>
      <c r="H607" s="9"/>
      <c r="I607" s="9"/>
      <c r="J607" s="8"/>
      <c r="K607" s="8"/>
      <c r="L607" s="8"/>
      <c r="M607" s="8"/>
    </row>
    <row r="608">
      <c r="A608" s="6"/>
      <c r="B608" s="6"/>
      <c r="C608" s="8"/>
      <c r="D608" s="8"/>
      <c r="E608" s="8"/>
      <c r="F608" s="8"/>
      <c r="G608" s="8"/>
      <c r="H608" s="9"/>
      <c r="I608" s="9"/>
      <c r="J608" s="8"/>
      <c r="K608" s="8"/>
      <c r="L608" s="8"/>
      <c r="M608" s="8"/>
    </row>
    <row r="609">
      <c r="A609" s="6"/>
      <c r="B609" s="6"/>
      <c r="C609" s="8"/>
      <c r="D609" s="8"/>
      <c r="E609" s="8"/>
      <c r="F609" s="8"/>
      <c r="G609" s="8"/>
      <c r="H609" s="9"/>
      <c r="I609" s="9"/>
      <c r="J609" s="8"/>
      <c r="K609" s="8"/>
      <c r="L609" s="8"/>
      <c r="M609" s="8"/>
    </row>
    <row r="610">
      <c r="A610" s="6"/>
      <c r="B610" s="6"/>
      <c r="C610" s="8"/>
      <c r="D610" s="8"/>
      <c r="E610" s="8"/>
      <c r="F610" s="8"/>
      <c r="G610" s="8"/>
      <c r="H610" s="9"/>
      <c r="I610" s="9"/>
      <c r="J610" s="8"/>
      <c r="K610" s="8"/>
      <c r="L610" s="8"/>
      <c r="M610" s="8"/>
    </row>
    <row r="611">
      <c r="A611" s="6"/>
      <c r="B611" s="6"/>
      <c r="C611" s="8"/>
      <c r="D611" s="8"/>
      <c r="E611" s="8"/>
      <c r="F611" s="8"/>
      <c r="G611" s="8"/>
      <c r="H611" s="9"/>
      <c r="I611" s="9"/>
      <c r="J611" s="8"/>
      <c r="K611" s="8"/>
      <c r="L611" s="8"/>
      <c r="M611" s="8"/>
    </row>
    <row r="612">
      <c r="A612" s="6"/>
      <c r="B612" s="6"/>
      <c r="C612" s="8"/>
      <c r="D612" s="8"/>
      <c r="E612" s="8"/>
      <c r="F612" s="8"/>
      <c r="G612" s="8"/>
      <c r="H612" s="9"/>
      <c r="I612" s="9"/>
      <c r="J612" s="8"/>
      <c r="K612" s="8"/>
      <c r="L612" s="8"/>
      <c r="M612" s="8"/>
    </row>
    <row r="613">
      <c r="A613" s="6"/>
      <c r="B613" s="6"/>
      <c r="C613" s="8"/>
      <c r="D613" s="8"/>
      <c r="E613" s="8"/>
      <c r="F613" s="8"/>
      <c r="G613" s="8"/>
      <c r="H613" s="9"/>
      <c r="I613" s="9"/>
      <c r="J613" s="8"/>
      <c r="K613" s="8"/>
      <c r="L613" s="8"/>
      <c r="M613" s="8"/>
    </row>
    <row r="614">
      <c r="A614" s="6"/>
      <c r="B614" s="6"/>
      <c r="C614" s="8"/>
      <c r="D614" s="8"/>
      <c r="E614" s="8"/>
      <c r="F614" s="8"/>
      <c r="G614" s="8"/>
      <c r="H614" s="9"/>
      <c r="I614" s="9"/>
      <c r="J614" s="8"/>
      <c r="K614" s="8"/>
      <c r="L614" s="8"/>
      <c r="M614" s="8"/>
    </row>
    <row r="615">
      <c r="A615" s="6"/>
      <c r="B615" s="6"/>
      <c r="C615" s="8"/>
      <c r="D615" s="8"/>
      <c r="E615" s="8"/>
      <c r="F615" s="8"/>
      <c r="G615" s="8"/>
      <c r="H615" s="9"/>
      <c r="I615" s="9"/>
      <c r="J615" s="8"/>
      <c r="K615" s="8"/>
      <c r="L615" s="8"/>
      <c r="M615" s="8"/>
    </row>
    <row r="616">
      <c r="A616" s="6"/>
      <c r="B616" s="6"/>
      <c r="C616" s="8"/>
      <c r="D616" s="8"/>
      <c r="E616" s="8"/>
      <c r="F616" s="8"/>
      <c r="G616" s="8"/>
      <c r="H616" s="9"/>
      <c r="I616" s="9"/>
      <c r="J616" s="8"/>
      <c r="K616" s="8"/>
      <c r="L616" s="8"/>
      <c r="M616" s="8"/>
    </row>
    <row r="617">
      <c r="A617" s="6"/>
      <c r="B617" s="6"/>
      <c r="C617" s="8"/>
      <c r="D617" s="8"/>
      <c r="E617" s="8"/>
      <c r="F617" s="8"/>
      <c r="G617" s="8"/>
      <c r="H617" s="9"/>
      <c r="I617" s="9"/>
      <c r="J617" s="8"/>
      <c r="K617" s="8"/>
      <c r="L617" s="8"/>
      <c r="M617" s="8"/>
    </row>
    <row r="618">
      <c r="A618" s="6"/>
      <c r="B618" s="6"/>
      <c r="C618" s="8"/>
      <c r="D618" s="8"/>
      <c r="E618" s="8"/>
      <c r="F618" s="8"/>
      <c r="G618" s="8"/>
      <c r="H618" s="9"/>
      <c r="I618" s="9"/>
      <c r="J618" s="8"/>
      <c r="K618" s="8"/>
      <c r="L618" s="8"/>
      <c r="M618" s="8"/>
    </row>
    <row r="619">
      <c r="A619" s="6"/>
      <c r="B619" s="6"/>
      <c r="C619" s="8"/>
      <c r="D619" s="8"/>
      <c r="E619" s="8"/>
      <c r="F619" s="8"/>
      <c r="G619" s="8"/>
      <c r="H619" s="9"/>
      <c r="I619" s="9"/>
      <c r="J619" s="8"/>
      <c r="K619" s="8"/>
      <c r="L619" s="8"/>
      <c r="M619" s="8"/>
    </row>
    <row r="620">
      <c r="A620" s="6"/>
      <c r="B620" s="6"/>
      <c r="C620" s="8"/>
      <c r="D620" s="8"/>
      <c r="E620" s="8"/>
      <c r="F620" s="8"/>
      <c r="G620" s="8"/>
      <c r="H620" s="9"/>
      <c r="I620" s="9"/>
      <c r="J620" s="8"/>
      <c r="K620" s="8"/>
      <c r="L620" s="8"/>
      <c r="M620" s="8"/>
    </row>
    <row r="621">
      <c r="A621" s="6"/>
      <c r="B621" s="6"/>
      <c r="C621" s="8"/>
      <c r="D621" s="8"/>
      <c r="E621" s="8"/>
      <c r="F621" s="8"/>
      <c r="G621" s="8"/>
      <c r="H621" s="9"/>
      <c r="I621" s="9"/>
      <c r="J621" s="8"/>
      <c r="K621" s="8"/>
      <c r="L621" s="8"/>
      <c r="M621" s="8"/>
    </row>
    <row r="622">
      <c r="A622" s="6"/>
      <c r="B622" s="6"/>
      <c r="C622" s="8"/>
      <c r="D622" s="8"/>
      <c r="E622" s="8"/>
      <c r="F622" s="8"/>
      <c r="G622" s="8"/>
      <c r="H622" s="9"/>
      <c r="I622" s="9"/>
      <c r="J622" s="8"/>
      <c r="K622" s="8"/>
      <c r="L622" s="8"/>
      <c r="M622" s="8"/>
    </row>
    <row r="623">
      <c r="A623" s="6"/>
      <c r="B623" s="6"/>
      <c r="C623" s="8"/>
      <c r="D623" s="8"/>
      <c r="E623" s="8"/>
      <c r="F623" s="8"/>
      <c r="G623" s="8"/>
      <c r="H623" s="9"/>
      <c r="I623" s="9"/>
      <c r="J623" s="8"/>
      <c r="K623" s="8"/>
      <c r="L623" s="8"/>
      <c r="M623" s="8"/>
    </row>
    <row r="624">
      <c r="A624" s="6"/>
      <c r="B624" s="6"/>
      <c r="C624" s="8"/>
      <c r="D624" s="8"/>
      <c r="E624" s="8"/>
      <c r="F624" s="8"/>
      <c r="G624" s="8"/>
      <c r="H624" s="9"/>
      <c r="I624" s="9"/>
      <c r="J624" s="8"/>
      <c r="K624" s="8"/>
      <c r="L624" s="8"/>
      <c r="M624" s="8"/>
    </row>
    <row r="625">
      <c r="A625" s="6"/>
      <c r="B625" s="6"/>
      <c r="C625" s="8"/>
      <c r="D625" s="8"/>
      <c r="E625" s="8"/>
      <c r="F625" s="8"/>
      <c r="G625" s="8"/>
      <c r="H625" s="9"/>
      <c r="I625" s="9"/>
      <c r="J625" s="8"/>
      <c r="K625" s="8"/>
      <c r="L625" s="8"/>
      <c r="M625" s="8"/>
    </row>
    <row r="626">
      <c r="A626" s="6"/>
      <c r="B626" s="6"/>
      <c r="C626" s="8"/>
      <c r="D626" s="8"/>
      <c r="E626" s="8"/>
      <c r="F626" s="8"/>
      <c r="G626" s="8"/>
      <c r="H626" s="9"/>
      <c r="I626" s="9"/>
      <c r="J626" s="8"/>
      <c r="K626" s="8"/>
      <c r="L626" s="8"/>
      <c r="M626" s="8"/>
    </row>
    <row r="627">
      <c r="A627" s="6"/>
      <c r="B627" s="6"/>
      <c r="C627" s="8"/>
      <c r="D627" s="8"/>
      <c r="E627" s="8"/>
      <c r="F627" s="8"/>
      <c r="G627" s="8"/>
      <c r="H627" s="9"/>
      <c r="I627" s="9"/>
      <c r="J627" s="8"/>
      <c r="K627" s="8"/>
      <c r="L627" s="8"/>
      <c r="M627" s="8"/>
    </row>
    <row r="628">
      <c r="A628" s="6"/>
      <c r="B628" s="6"/>
      <c r="C628" s="8"/>
      <c r="D628" s="8"/>
      <c r="E628" s="8"/>
      <c r="F628" s="8"/>
      <c r="G628" s="8"/>
      <c r="H628" s="9"/>
      <c r="I628" s="9"/>
      <c r="J628" s="8"/>
      <c r="K628" s="8"/>
      <c r="L628" s="8"/>
      <c r="M628" s="8"/>
    </row>
    <row r="629">
      <c r="A629" s="6"/>
      <c r="B629" s="6"/>
      <c r="C629" s="8"/>
      <c r="D629" s="8"/>
      <c r="E629" s="8"/>
      <c r="F629" s="8"/>
      <c r="G629" s="8"/>
      <c r="H629" s="9"/>
      <c r="I629" s="9"/>
      <c r="J629" s="8"/>
      <c r="K629" s="8"/>
      <c r="L629" s="8"/>
      <c r="M629" s="8"/>
    </row>
    <row r="630">
      <c r="A630" s="6"/>
      <c r="B630" s="6"/>
      <c r="C630" s="8"/>
      <c r="D630" s="8"/>
      <c r="E630" s="8"/>
      <c r="F630" s="8"/>
      <c r="G630" s="8"/>
      <c r="H630" s="9"/>
      <c r="I630" s="9"/>
      <c r="J630" s="8"/>
      <c r="K630" s="8"/>
      <c r="L630" s="8"/>
      <c r="M630" s="8"/>
    </row>
    <row r="631">
      <c r="A631" s="6"/>
      <c r="B631" s="6"/>
      <c r="C631" s="8"/>
      <c r="D631" s="8"/>
      <c r="E631" s="8"/>
      <c r="F631" s="8"/>
      <c r="G631" s="8"/>
      <c r="H631" s="9"/>
      <c r="I631" s="9"/>
      <c r="J631" s="8"/>
      <c r="K631" s="8"/>
      <c r="L631" s="8"/>
      <c r="M631" s="8"/>
    </row>
    <row r="632">
      <c r="A632" s="6"/>
      <c r="B632" s="6"/>
      <c r="C632" s="8"/>
      <c r="D632" s="8"/>
      <c r="E632" s="8"/>
      <c r="F632" s="8"/>
      <c r="G632" s="8"/>
      <c r="H632" s="9"/>
      <c r="I632" s="9"/>
      <c r="J632" s="8"/>
      <c r="K632" s="8"/>
      <c r="L632" s="8"/>
      <c r="M632" s="8"/>
    </row>
    <row r="633">
      <c r="A633" s="6"/>
      <c r="B633" s="6"/>
      <c r="C633" s="8"/>
      <c r="D633" s="8"/>
      <c r="E633" s="8"/>
      <c r="F633" s="8"/>
      <c r="G633" s="8"/>
      <c r="H633" s="9"/>
      <c r="I633" s="9"/>
      <c r="J633" s="8"/>
      <c r="K633" s="8"/>
      <c r="L633" s="8"/>
      <c r="M633" s="8"/>
    </row>
    <row r="634">
      <c r="A634" s="6"/>
      <c r="B634" s="6"/>
      <c r="C634" s="8"/>
      <c r="D634" s="8"/>
      <c r="E634" s="8"/>
      <c r="F634" s="8"/>
      <c r="G634" s="8"/>
      <c r="H634" s="9"/>
      <c r="I634" s="9"/>
      <c r="J634" s="8"/>
      <c r="K634" s="8"/>
      <c r="L634" s="8"/>
      <c r="M634" s="8"/>
    </row>
    <row r="635">
      <c r="A635" s="6"/>
      <c r="B635" s="6"/>
      <c r="C635" s="8"/>
      <c r="D635" s="8"/>
      <c r="E635" s="8"/>
      <c r="F635" s="8"/>
      <c r="G635" s="8"/>
      <c r="H635" s="9"/>
      <c r="I635" s="9"/>
      <c r="J635" s="8"/>
      <c r="K635" s="8"/>
      <c r="L635" s="8"/>
      <c r="M635" s="8"/>
    </row>
    <row r="636">
      <c r="A636" s="6"/>
      <c r="B636" s="6"/>
      <c r="C636" s="8"/>
      <c r="D636" s="8"/>
      <c r="E636" s="8"/>
      <c r="F636" s="8"/>
      <c r="G636" s="8"/>
      <c r="H636" s="9"/>
      <c r="I636" s="9"/>
      <c r="J636" s="8"/>
      <c r="K636" s="8"/>
      <c r="L636" s="8"/>
      <c r="M636" s="8"/>
    </row>
    <row r="637">
      <c r="A637" s="6"/>
      <c r="B637" s="6"/>
      <c r="C637" s="8"/>
      <c r="D637" s="8"/>
      <c r="E637" s="8"/>
      <c r="F637" s="8"/>
      <c r="G637" s="8"/>
      <c r="H637" s="9"/>
      <c r="I637" s="9"/>
      <c r="J637" s="8"/>
      <c r="K637" s="8"/>
      <c r="L637" s="8"/>
      <c r="M637" s="8"/>
    </row>
    <row r="638">
      <c r="A638" s="6"/>
      <c r="B638" s="6"/>
      <c r="C638" s="8"/>
      <c r="D638" s="8"/>
      <c r="E638" s="8"/>
      <c r="F638" s="8"/>
      <c r="G638" s="8"/>
      <c r="H638" s="9"/>
      <c r="I638" s="9"/>
      <c r="J638" s="8"/>
      <c r="K638" s="8"/>
      <c r="L638" s="8"/>
      <c r="M638" s="8"/>
    </row>
    <row r="639">
      <c r="A639" s="6"/>
      <c r="B639" s="6"/>
      <c r="C639" s="8"/>
      <c r="D639" s="8"/>
      <c r="E639" s="8"/>
      <c r="F639" s="8"/>
      <c r="G639" s="8"/>
      <c r="H639" s="9"/>
      <c r="I639" s="9"/>
      <c r="J639" s="8"/>
      <c r="K639" s="8"/>
      <c r="L639" s="8"/>
      <c r="M639" s="8"/>
    </row>
    <row r="640">
      <c r="A640" s="6"/>
      <c r="B640" s="6"/>
      <c r="C640" s="8"/>
      <c r="D640" s="8"/>
      <c r="E640" s="8"/>
      <c r="F640" s="8"/>
      <c r="G640" s="8"/>
      <c r="H640" s="9"/>
      <c r="I640" s="9"/>
      <c r="J640" s="8"/>
      <c r="K640" s="8"/>
      <c r="L640" s="8"/>
      <c r="M640" s="8"/>
    </row>
    <row r="641">
      <c r="A641" s="6"/>
      <c r="B641" s="6"/>
      <c r="C641" s="8"/>
      <c r="D641" s="8"/>
      <c r="E641" s="8"/>
      <c r="F641" s="8"/>
      <c r="G641" s="8"/>
      <c r="H641" s="9"/>
      <c r="I641" s="9"/>
      <c r="J641" s="8"/>
      <c r="K641" s="8"/>
      <c r="L641" s="8"/>
      <c r="M641" s="8"/>
    </row>
    <row r="642">
      <c r="A642" s="6"/>
      <c r="B642" s="6"/>
      <c r="C642" s="8"/>
      <c r="D642" s="8"/>
      <c r="E642" s="8"/>
      <c r="F642" s="8"/>
      <c r="G642" s="8"/>
      <c r="H642" s="9"/>
      <c r="I642" s="9"/>
      <c r="J642" s="8"/>
      <c r="K642" s="8"/>
      <c r="L642" s="8"/>
      <c r="M642" s="8"/>
    </row>
    <row r="643">
      <c r="A643" s="6"/>
      <c r="B643" s="6"/>
      <c r="C643" s="8"/>
      <c r="D643" s="8"/>
      <c r="E643" s="8"/>
      <c r="F643" s="8"/>
      <c r="G643" s="8"/>
      <c r="H643" s="9"/>
      <c r="I643" s="9"/>
      <c r="J643" s="8"/>
      <c r="K643" s="8"/>
      <c r="L643" s="8"/>
      <c r="M643" s="8"/>
    </row>
    <row r="644">
      <c r="A644" s="6"/>
      <c r="B644" s="6"/>
      <c r="C644" s="8"/>
      <c r="D644" s="8"/>
      <c r="E644" s="8"/>
      <c r="F644" s="8"/>
      <c r="G644" s="8"/>
      <c r="H644" s="9"/>
      <c r="I644" s="9"/>
      <c r="J644" s="8"/>
      <c r="K644" s="8"/>
      <c r="L644" s="8"/>
      <c r="M644" s="8"/>
    </row>
    <row r="645">
      <c r="A645" s="6"/>
      <c r="B645" s="6"/>
      <c r="C645" s="8"/>
      <c r="D645" s="8"/>
      <c r="E645" s="8"/>
      <c r="F645" s="8"/>
      <c r="G645" s="8"/>
      <c r="H645" s="9"/>
      <c r="I645" s="9"/>
      <c r="J645" s="8"/>
      <c r="K645" s="8"/>
      <c r="L645" s="8"/>
      <c r="M645" s="8"/>
    </row>
    <row r="646">
      <c r="A646" s="6"/>
      <c r="B646" s="6"/>
      <c r="C646" s="8"/>
      <c r="D646" s="8"/>
      <c r="E646" s="8"/>
      <c r="F646" s="8"/>
      <c r="G646" s="8"/>
      <c r="H646" s="9"/>
      <c r="I646" s="9"/>
      <c r="J646" s="8"/>
      <c r="K646" s="8"/>
      <c r="L646" s="8"/>
      <c r="M646" s="8"/>
    </row>
    <row r="647">
      <c r="A647" s="6"/>
      <c r="B647" s="6"/>
      <c r="C647" s="8"/>
      <c r="D647" s="8"/>
      <c r="E647" s="8"/>
      <c r="F647" s="8"/>
      <c r="G647" s="8"/>
      <c r="H647" s="9"/>
      <c r="I647" s="9"/>
      <c r="J647" s="8"/>
      <c r="K647" s="8"/>
      <c r="L647" s="8"/>
      <c r="M647" s="8"/>
    </row>
    <row r="648">
      <c r="A648" s="6"/>
      <c r="B648" s="6"/>
      <c r="C648" s="8"/>
      <c r="D648" s="8"/>
      <c r="E648" s="8"/>
      <c r="F648" s="8"/>
      <c r="G648" s="8"/>
      <c r="H648" s="9"/>
      <c r="I648" s="9"/>
      <c r="J648" s="8"/>
      <c r="K648" s="8"/>
      <c r="L648" s="8"/>
      <c r="M648" s="8"/>
    </row>
    <row r="649">
      <c r="A649" s="6"/>
      <c r="B649" s="6"/>
      <c r="C649" s="8"/>
      <c r="D649" s="8"/>
      <c r="E649" s="8"/>
      <c r="F649" s="8"/>
      <c r="G649" s="8"/>
      <c r="H649" s="9"/>
      <c r="I649" s="9"/>
      <c r="J649" s="8"/>
      <c r="K649" s="8"/>
      <c r="L649" s="8"/>
      <c r="M649" s="8"/>
    </row>
    <row r="650">
      <c r="A650" s="6"/>
      <c r="B650" s="6"/>
      <c r="C650" s="8"/>
      <c r="D650" s="8"/>
      <c r="E650" s="8"/>
      <c r="F650" s="8"/>
      <c r="G650" s="8"/>
      <c r="H650" s="9"/>
      <c r="I650" s="9"/>
      <c r="J650" s="8"/>
      <c r="K650" s="8"/>
      <c r="L650" s="8"/>
      <c r="M650" s="8"/>
    </row>
    <row r="651">
      <c r="A651" s="6"/>
      <c r="B651" s="6"/>
      <c r="C651" s="8"/>
      <c r="D651" s="8"/>
      <c r="E651" s="8"/>
      <c r="F651" s="8"/>
      <c r="G651" s="8"/>
      <c r="H651" s="9"/>
      <c r="I651" s="9"/>
      <c r="J651" s="8"/>
      <c r="K651" s="8"/>
      <c r="L651" s="8"/>
      <c r="M651" s="8"/>
    </row>
    <row r="652">
      <c r="A652" s="6"/>
      <c r="B652" s="6"/>
      <c r="C652" s="8"/>
      <c r="D652" s="8"/>
      <c r="E652" s="8"/>
      <c r="F652" s="8"/>
      <c r="G652" s="8"/>
      <c r="H652" s="9"/>
      <c r="I652" s="9"/>
      <c r="J652" s="8"/>
      <c r="K652" s="8"/>
      <c r="L652" s="8"/>
      <c r="M652" s="8"/>
    </row>
    <row r="653">
      <c r="A653" s="6"/>
      <c r="B653" s="6"/>
      <c r="C653" s="8"/>
      <c r="D653" s="8"/>
      <c r="E653" s="8"/>
      <c r="F653" s="8"/>
      <c r="G653" s="8"/>
      <c r="H653" s="9"/>
      <c r="I653" s="9"/>
      <c r="J653" s="8"/>
      <c r="K653" s="8"/>
      <c r="L653" s="8"/>
      <c r="M653" s="8"/>
    </row>
    <row r="654">
      <c r="A654" s="6"/>
      <c r="B654" s="6"/>
      <c r="C654" s="8"/>
      <c r="D654" s="8"/>
      <c r="E654" s="8"/>
      <c r="F654" s="8"/>
      <c r="G654" s="8"/>
      <c r="H654" s="9"/>
      <c r="I654" s="9"/>
      <c r="J654" s="8"/>
      <c r="K654" s="8"/>
      <c r="L654" s="8"/>
      <c r="M654" s="8"/>
    </row>
    <row r="655">
      <c r="A655" s="6"/>
      <c r="B655" s="6"/>
      <c r="C655" s="8"/>
      <c r="D655" s="8"/>
      <c r="E655" s="8"/>
      <c r="F655" s="8"/>
      <c r="G655" s="8"/>
      <c r="H655" s="9"/>
      <c r="I655" s="9"/>
      <c r="J655" s="8"/>
      <c r="K655" s="8"/>
      <c r="L655" s="8"/>
      <c r="M655" s="8"/>
    </row>
    <row r="656">
      <c r="A656" s="6"/>
      <c r="B656" s="6"/>
      <c r="C656" s="8"/>
      <c r="D656" s="8"/>
      <c r="E656" s="8"/>
      <c r="F656" s="8"/>
      <c r="G656" s="8"/>
      <c r="H656" s="9"/>
      <c r="I656" s="9"/>
      <c r="J656" s="8"/>
      <c r="K656" s="8"/>
      <c r="L656" s="8"/>
      <c r="M656" s="8"/>
    </row>
    <row r="657">
      <c r="A657" s="6"/>
      <c r="B657" s="6"/>
      <c r="C657" s="8"/>
      <c r="D657" s="8"/>
      <c r="E657" s="8"/>
      <c r="F657" s="8"/>
      <c r="G657" s="8"/>
      <c r="H657" s="9"/>
      <c r="I657" s="9"/>
      <c r="J657" s="8"/>
      <c r="K657" s="8"/>
      <c r="L657" s="8"/>
      <c r="M657" s="8"/>
    </row>
    <row r="658">
      <c r="A658" s="6"/>
      <c r="B658" s="6"/>
      <c r="C658" s="8"/>
      <c r="D658" s="8"/>
      <c r="E658" s="8"/>
      <c r="F658" s="8"/>
      <c r="G658" s="8"/>
      <c r="H658" s="9"/>
      <c r="I658" s="9"/>
      <c r="J658" s="8"/>
      <c r="K658" s="8"/>
      <c r="L658" s="8"/>
      <c r="M658" s="8"/>
    </row>
    <row r="659">
      <c r="A659" s="6"/>
      <c r="B659" s="6"/>
      <c r="C659" s="8"/>
      <c r="D659" s="8"/>
      <c r="E659" s="8"/>
      <c r="F659" s="8"/>
      <c r="G659" s="8"/>
      <c r="H659" s="9"/>
      <c r="I659" s="9"/>
      <c r="J659" s="8"/>
      <c r="K659" s="8"/>
      <c r="L659" s="8"/>
      <c r="M659" s="8"/>
    </row>
    <row r="660">
      <c r="A660" s="6"/>
      <c r="B660" s="6"/>
      <c r="C660" s="8"/>
      <c r="D660" s="8"/>
      <c r="E660" s="8"/>
      <c r="F660" s="8"/>
      <c r="G660" s="8"/>
      <c r="H660" s="9"/>
      <c r="I660" s="9"/>
      <c r="J660" s="8"/>
      <c r="K660" s="8"/>
      <c r="L660" s="8"/>
      <c r="M660" s="8"/>
    </row>
    <row r="661">
      <c r="A661" s="6"/>
      <c r="B661" s="6"/>
      <c r="C661" s="8"/>
      <c r="D661" s="8"/>
      <c r="E661" s="8"/>
      <c r="F661" s="8"/>
      <c r="G661" s="8"/>
      <c r="H661" s="9"/>
      <c r="I661" s="9"/>
      <c r="J661" s="8"/>
      <c r="K661" s="8"/>
      <c r="L661" s="8"/>
      <c r="M661" s="8"/>
    </row>
    <row r="662">
      <c r="A662" s="6"/>
      <c r="B662" s="6"/>
      <c r="C662" s="8"/>
      <c r="D662" s="8"/>
      <c r="E662" s="8"/>
      <c r="F662" s="8"/>
      <c r="G662" s="8"/>
      <c r="H662" s="9"/>
      <c r="I662" s="9"/>
      <c r="J662" s="8"/>
      <c r="K662" s="8"/>
      <c r="L662" s="8"/>
      <c r="M662" s="8"/>
    </row>
    <row r="663">
      <c r="A663" s="6"/>
      <c r="B663" s="6"/>
      <c r="C663" s="8"/>
      <c r="D663" s="8"/>
      <c r="E663" s="8"/>
      <c r="F663" s="8"/>
      <c r="G663" s="8"/>
      <c r="H663" s="9"/>
      <c r="I663" s="9"/>
      <c r="J663" s="8"/>
      <c r="K663" s="8"/>
      <c r="L663" s="8"/>
      <c r="M663" s="8"/>
    </row>
    <row r="664">
      <c r="A664" s="6"/>
      <c r="B664" s="6"/>
      <c r="C664" s="8"/>
      <c r="D664" s="8"/>
      <c r="E664" s="8"/>
      <c r="F664" s="8"/>
      <c r="G664" s="8"/>
      <c r="H664" s="9"/>
      <c r="I664" s="9"/>
      <c r="J664" s="8"/>
      <c r="K664" s="8"/>
      <c r="L664" s="8"/>
      <c r="M664" s="8"/>
    </row>
    <row r="665">
      <c r="A665" s="6"/>
      <c r="B665" s="6"/>
      <c r="C665" s="8"/>
      <c r="D665" s="8"/>
      <c r="E665" s="8"/>
      <c r="F665" s="8"/>
      <c r="G665" s="8"/>
      <c r="H665" s="9"/>
      <c r="I665" s="9"/>
      <c r="J665" s="8"/>
      <c r="K665" s="8"/>
      <c r="L665" s="8"/>
      <c r="M665" s="8"/>
    </row>
    <row r="666">
      <c r="A666" s="6"/>
      <c r="B666" s="6"/>
      <c r="C666" s="8"/>
      <c r="D666" s="8"/>
      <c r="E666" s="8"/>
      <c r="F666" s="8"/>
      <c r="G666" s="8"/>
      <c r="H666" s="9"/>
      <c r="I666" s="9"/>
      <c r="J666" s="8"/>
      <c r="K666" s="8"/>
      <c r="L666" s="8"/>
      <c r="M666" s="8"/>
    </row>
    <row r="667">
      <c r="A667" s="6"/>
      <c r="B667" s="6"/>
      <c r="C667" s="8"/>
      <c r="D667" s="8"/>
      <c r="E667" s="8"/>
      <c r="F667" s="8"/>
      <c r="G667" s="8"/>
      <c r="H667" s="9"/>
      <c r="I667" s="9"/>
      <c r="J667" s="8"/>
      <c r="K667" s="8"/>
      <c r="L667" s="8"/>
      <c r="M667" s="8"/>
    </row>
    <row r="668">
      <c r="A668" s="6"/>
      <c r="B668" s="6"/>
      <c r="C668" s="8"/>
      <c r="D668" s="8"/>
      <c r="E668" s="8"/>
      <c r="F668" s="8"/>
      <c r="G668" s="8"/>
      <c r="H668" s="9"/>
      <c r="I668" s="9"/>
      <c r="J668" s="8"/>
      <c r="K668" s="8"/>
      <c r="L668" s="8"/>
      <c r="M668" s="8"/>
    </row>
    <row r="669">
      <c r="A669" s="6"/>
      <c r="B669" s="6"/>
      <c r="C669" s="8"/>
      <c r="D669" s="8"/>
      <c r="E669" s="8"/>
      <c r="F669" s="8"/>
      <c r="G669" s="8"/>
      <c r="H669" s="9"/>
      <c r="I669" s="9"/>
      <c r="J669" s="8"/>
      <c r="K669" s="8"/>
      <c r="L669" s="8"/>
      <c r="M669" s="8"/>
    </row>
    <row r="670">
      <c r="A670" s="6"/>
      <c r="B670" s="6"/>
      <c r="C670" s="8"/>
      <c r="D670" s="8"/>
      <c r="E670" s="8"/>
      <c r="F670" s="8"/>
      <c r="G670" s="8"/>
      <c r="H670" s="9"/>
      <c r="I670" s="9"/>
      <c r="J670" s="8"/>
      <c r="K670" s="8"/>
      <c r="L670" s="8"/>
      <c r="M670" s="8"/>
    </row>
    <row r="671">
      <c r="A671" s="6"/>
      <c r="B671" s="6"/>
      <c r="C671" s="8"/>
      <c r="D671" s="8"/>
      <c r="E671" s="8"/>
      <c r="F671" s="8"/>
      <c r="G671" s="8"/>
      <c r="H671" s="9"/>
      <c r="I671" s="9"/>
      <c r="J671" s="8"/>
      <c r="K671" s="8"/>
      <c r="L671" s="8"/>
      <c r="M671" s="8"/>
    </row>
    <row r="672">
      <c r="A672" s="6"/>
      <c r="B672" s="6"/>
      <c r="C672" s="8"/>
      <c r="D672" s="8"/>
      <c r="E672" s="8"/>
      <c r="F672" s="8"/>
      <c r="G672" s="8"/>
      <c r="H672" s="9"/>
      <c r="I672" s="9"/>
      <c r="J672" s="8"/>
      <c r="K672" s="8"/>
      <c r="L672" s="8"/>
      <c r="M672" s="8"/>
    </row>
    <row r="673">
      <c r="A673" s="6"/>
      <c r="B673" s="6"/>
      <c r="C673" s="8"/>
      <c r="D673" s="8"/>
      <c r="E673" s="8"/>
      <c r="F673" s="8"/>
      <c r="G673" s="8"/>
      <c r="H673" s="9"/>
      <c r="I673" s="9"/>
      <c r="J673" s="8"/>
      <c r="K673" s="8"/>
      <c r="L673" s="8"/>
      <c r="M673" s="8"/>
    </row>
    <row r="674">
      <c r="A674" s="6"/>
      <c r="B674" s="6"/>
      <c r="C674" s="8"/>
      <c r="D674" s="8"/>
      <c r="E674" s="8"/>
      <c r="F674" s="8"/>
      <c r="G674" s="8"/>
      <c r="H674" s="9"/>
      <c r="I674" s="9"/>
      <c r="J674" s="8"/>
      <c r="K674" s="8"/>
      <c r="L674" s="8"/>
      <c r="M674" s="8"/>
    </row>
    <row r="675">
      <c r="A675" s="6"/>
      <c r="B675" s="6"/>
      <c r="C675" s="8"/>
      <c r="D675" s="8"/>
      <c r="E675" s="8"/>
      <c r="F675" s="8"/>
      <c r="G675" s="8"/>
      <c r="H675" s="9"/>
      <c r="I675" s="9"/>
      <c r="J675" s="8"/>
      <c r="K675" s="8"/>
      <c r="L675" s="8"/>
      <c r="M675" s="8"/>
    </row>
    <row r="676">
      <c r="A676" s="6"/>
      <c r="B676" s="6"/>
      <c r="C676" s="8"/>
      <c r="D676" s="8"/>
      <c r="E676" s="8"/>
      <c r="F676" s="8"/>
      <c r="G676" s="8"/>
      <c r="H676" s="9"/>
      <c r="I676" s="9"/>
      <c r="J676" s="8"/>
      <c r="K676" s="8"/>
      <c r="L676" s="8"/>
      <c r="M676" s="8"/>
    </row>
    <row r="677">
      <c r="A677" s="6"/>
      <c r="B677" s="6"/>
      <c r="C677" s="8"/>
      <c r="D677" s="8"/>
      <c r="E677" s="8"/>
      <c r="F677" s="8"/>
      <c r="G677" s="8"/>
      <c r="H677" s="9"/>
      <c r="I677" s="9"/>
      <c r="J677" s="8"/>
      <c r="K677" s="8"/>
      <c r="L677" s="8"/>
      <c r="M677" s="8"/>
    </row>
    <row r="678">
      <c r="A678" s="6"/>
      <c r="B678" s="6"/>
      <c r="C678" s="8"/>
      <c r="D678" s="8"/>
      <c r="E678" s="8"/>
      <c r="F678" s="8"/>
      <c r="G678" s="8"/>
      <c r="H678" s="9"/>
      <c r="I678" s="9"/>
      <c r="J678" s="8"/>
      <c r="K678" s="8"/>
      <c r="L678" s="8"/>
      <c r="M678" s="8"/>
    </row>
    <row r="679">
      <c r="A679" s="6"/>
      <c r="B679" s="6"/>
      <c r="C679" s="8"/>
      <c r="D679" s="8"/>
      <c r="E679" s="8"/>
      <c r="F679" s="8"/>
      <c r="G679" s="8"/>
      <c r="H679" s="9"/>
      <c r="I679" s="9"/>
      <c r="J679" s="8"/>
      <c r="K679" s="8"/>
      <c r="L679" s="8"/>
      <c r="M679" s="8"/>
    </row>
    <row r="680">
      <c r="A680" s="6"/>
      <c r="B680" s="6"/>
      <c r="C680" s="8"/>
      <c r="D680" s="8"/>
      <c r="E680" s="8"/>
      <c r="F680" s="8"/>
      <c r="G680" s="8"/>
      <c r="H680" s="9"/>
      <c r="I680" s="9"/>
      <c r="J680" s="8"/>
      <c r="K680" s="8"/>
      <c r="L680" s="8"/>
      <c r="M680" s="8"/>
    </row>
    <row r="681">
      <c r="A681" s="6"/>
      <c r="B681" s="6"/>
      <c r="C681" s="8"/>
      <c r="D681" s="8"/>
      <c r="E681" s="8"/>
      <c r="F681" s="8"/>
      <c r="G681" s="8"/>
      <c r="H681" s="9"/>
      <c r="I681" s="9"/>
      <c r="J681" s="8"/>
      <c r="K681" s="8"/>
      <c r="L681" s="8"/>
      <c r="M681" s="8"/>
    </row>
    <row r="682">
      <c r="A682" s="6"/>
      <c r="B682" s="6"/>
      <c r="C682" s="8"/>
      <c r="D682" s="8"/>
      <c r="E682" s="8"/>
      <c r="F682" s="8"/>
      <c r="G682" s="8"/>
      <c r="H682" s="9"/>
      <c r="I682" s="9"/>
      <c r="J682" s="8"/>
      <c r="K682" s="8"/>
      <c r="L682" s="8"/>
      <c r="M682" s="8"/>
    </row>
    <row r="683">
      <c r="A683" s="6"/>
      <c r="B683" s="6"/>
      <c r="C683" s="8"/>
      <c r="D683" s="8"/>
      <c r="E683" s="8"/>
      <c r="F683" s="8"/>
      <c r="G683" s="8"/>
      <c r="H683" s="9"/>
      <c r="I683" s="9"/>
      <c r="J683" s="8"/>
      <c r="K683" s="8"/>
      <c r="L683" s="8"/>
      <c r="M683" s="8"/>
    </row>
    <row r="684">
      <c r="A684" s="6"/>
      <c r="B684" s="6"/>
      <c r="C684" s="8"/>
      <c r="D684" s="8"/>
      <c r="E684" s="8"/>
      <c r="F684" s="8"/>
      <c r="G684" s="8"/>
      <c r="H684" s="9"/>
      <c r="I684" s="9"/>
      <c r="J684" s="8"/>
      <c r="K684" s="8"/>
      <c r="L684" s="8"/>
      <c r="M684" s="8"/>
    </row>
    <row r="685">
      <c r="A685" s="6"/>
      <c r="B685" s="6"/>
      <c r="C685" s="8"/>
      <c r="D685" s="8"/>
      <c r="E685" s="8"/>
      <c r="F685" s="8"/>
      <c r="G685" s="8"/>
      <c r="H685" s="9"/>
      <c r="I685" s="9"/>
      <c r="J685" s="8"/>
      <c r="K685" s="8"/>
      <c r="L685" s="8"/>
      <c r="M685" s="8"/>
    </row>
    <row r="686">
      <c r="A686" s="6"/>
      <c r="B686" s="6"/>
      <c r="C686" s="8"/>
      <c r="D686" s="8"/>
      <c r="E686" s="8"/>
      <c r="F686" s="8"/>
      <c r="G686" s="8"/>
      <c r="H686" s="9"/>
      <c r="I686" s="9"/>
      <c r="J686" s="8"/>
      <c r="K686" s="8"/>
      <c r="L686" s="8"/>
      <c r="M686" s="8"/>
    </row>
    <row r="687">
      <c r="A687" s="6"/>
      <c r="B687" s="6"/>
      <c r="C687" s="8"/>
      <c r="D687" s="8"/>
      <c r="E687" s="8"/>
      <c r="F687" s="8"/>
      <c r="G687" s="8"/>
      <c r="H687" s="9"/>
      <c r="I687" s="9"/>
      <c r="J687" s="8"/>
      <c r="K687" s="8"/>
      <c r="L687" s="8"/>
      <c r="M687" s="8"/>
    </row>
    <row r="688">
      <c r="A688" s="6"/>
      <c r="B688" s="6"/>
      <c r="C688" s="8"/>
      <c r="D688" s="8"/>
      <c r="E688" s="8"/>
      <c r="F688" s="8"/>
      <c r="G688" s="8"/>
      <c r="H688" s="9"/>
      <c r="I688" s="9"/>
      <c r="J688" s="8"/>
      <c r="K688" s="8"/>
      <c r="L688" s="8"/>
      <c r="M688" s="8"/>
    </row>
    <row r="689">
      <c r="A689" s="6"/>
      <c r="B689" s="6"/>
      <c r="C689" s="8"/>
      <c r="D689" s="8"/>
      <c r="E689" s="8"/>
      <c r="F689" s="8"/>
      <c r="G689" s="8"/>
      <c r="H689" s="9"/>
      <c r="I689" s="9"/>
      <c r="J689" s="8"/>
      <c r="K689" s="8"/>
      <c r="L689" s="8"/>
      <c r="M689" s="8"/>
    </row>
    <row r="690">
      <c r="A690" s="6"/>
      <c r="B690" s="6"/>
      <c r="C690" s="8"/>
      <c r="D690" s="8"/>
      <c r="E690" s="8"/>
      <c r="F690" s="8"/>
      <c r="G690" s="8"/>
      <c r="H690" s="9"/>
      <c r="I690" s="9"/>
      <c r="J690" s="8"/>
      <c r="K690" s="8"/>
      <c r="L690" s="8"/>
      <c r="M690" s="8"/>
    </row>
    <row r="691">
      <c r="A691" s="6"/>
      <c r="B691" s="6"/>
      <c r="C691" s="8"/>
      <c r="D691" s="8"/>
      <c r="E691" s="8"/>
      <c r="F691" s="8"/>
      <c r="G691" s="8"/>
      <c r="H691" s="9"/>
      <c r="I691" s="9"/>
      <c r="J691" s="8"/>
      <c r="K691" s="8"/>
      <c r="L691" s="8"/>
      <c r="M691" s="8"/>
    </row>
    <row r="692">
      <c r="A692" s="6"/>
      <c r="B692" s="6"/>
      <c r="C692" s="8"/>
      <c r="D692" s="8"/>
      <c r="E692" s="8"/>
      <c r="F692" s="8"/>
      <c r="G692" s="8"/>
      <c r="H692" s="9"/>
      <c r="I692" s="9"/>
      <c r="J692" s="8"/>
      <c r="K692" s="8"/>
      <c r="L692" s="8"/>
      <c r="M692" s="8"/>
    </row>
    <row r="693">
      <c r="A693" s="6"/>
      <c r="B693" s="6"/>
      <c r="C693" s="8"/>
      <c r="D693" s="8"/>
      <c r="E693" s="8"/>
      <c r="F693" s="8"/>
      <c r="G693" s="8"/>
      <c r="H693" s="9"/>
      <c r="I693" s="9"/>
      <c r="J693" s="8"/>
      <c r="K693" s="8"/>
      <c r="L693" s="8"/>
      <c r="M693" s="8"/>
    </row>
    <row r="694">
      <c r="A694" s="6"/>
      <c r="B694" s="6"/>
      <c r="C694" s="8"/>
      <c r="D694" s="8"/>
      <c r="E694" s="8"/>
      <c r="F694" s="8"/>
      <c r="G694" s="8"/>
      <c r="H694" s="9"/>
      <c r="I694" s="9"/>
      <c r="J694" s="8"/>
      <c r="K694" s="8"/>
      <c r="L694" s="8"/>
      <c r="M694" s="8"/>
    </row>
    <row r="695">
      <c r="A695" s="6"/>
      <c r="B695" s="6"/>
      <c r="C695" s="8"/>
      <c r="D695" s="8"/>
      <c r="E695" s="8"/>
      <c r="F695" s="8"/>
      <c r="G695" s="8"/>
      <c r="H695" s="9"/>
      <c r="I695" s="9"/>
      <c r="J695" s="8"/>
      <c r="K695" s="8"/>
      <c r="L695" s="8"/>
      <c r="M695" s="8"/>
    </row>
    <row r="696">
      <c r="A696" s="6"/>
      <c r="B696" s="6"/>
      <c r="C696" s="8"/>
      <c r="D696" s="8"/>
      <c r="E696" s="8"/>
      <c r="F696" s="8"/>
      <c r="G696" s="8"/>
      <c r="H696" s="9"/>
      <c r="I696" s="9"/>
      <c r="J696" s="8"/>
      <c r="K696" s="8"/>
      <c r="L696" s="8"/>
      <c r="M696" s="8"/>
    </row>
    <row r="697">
      <c r="A697" s="6"/>
      <c r="B697" s="6"/>
      <c r="C697" s="8"/>
      <c r="D697" s="8"/>
      <c r="E697" s="8"/>
      <c r="F697" s="8"/>
      <c r="G697" s="8"/>
      <c r="H697" s="9"/>
      <c r="I697" s="9"/>
      <c r="J697" s="8"/>
      <c r="K697" s="8"/>
      <c r="L697" s="8"/>
      <c r="M697" s="8"/>
    </row>
    <row r="698">
      <c r="A698" s="6"/>
      <c r="B698" s="6"/>
      <c r="C698" s="8"/>
      <c r="D698" s="8"/>
      <c r="E698" s="8"/>
      <c r="F698" s="8"/>
      <c r="G698" s="8"/>
      <c r="H698" s="9"/>
      <c r="I698" s="9"/>
      <c r="J698" s="8"/>
      <c r="K698" s="8"/>
      <c r="L698" s="8"/>
      <c r="M698" s="8"/>
    </row>
    <row r="699">
      <c r="A699" s="6"/>
      <c r="B699" s="6"/>
      <c r="C699" s="8"/>
      <c r="D699" s="8"/>
      <c r="E699" s="8"/>
      <c r="F699" s="8"/>
      <c r="G699" s="8"/>
      <c r="H699" s="9"/>
      <c r="I699" s="9"/>
      <c r="J699" s="8"/>
      <c r="K699" s="8"/>
      <c r="L699" s="8"/>
      <c r="M699" s="8"/>
    </row>
    <row r="700">
      <c r="A700" s="6"/>
      <c r="B700" s="6"/>
      <c r="C700" s="8"/>
      <c r="D700" s="8"/>
      <c r="E700" s="8"/>
      <c r="F700" s="8"/>
      <c r="G700" s="8"/>
      <c r="H700" s="9"/>
      <c r="I700" s="9"/>
      <c r="J700" s="8"/>
      <c r="K700" s="8"/>
      <c r="L700" s="8"/>
      <c r="M700" s="8"/>
    </row>
    <row r="701">
      <c r="A701" s="6"/>
      <c r="B701" s="6"/>
      <c r="C701" s="8"/>
      <c r="D701" s="8"/>
      <c r="E701" s="8"/>
      <c r="F701" s="8"/>
      <c r="G701" s="8"/>
      <c r="H701" s="9"/>
      <c r="I701" s="9"/>
      <c r="J701" s="8"/>
      <c r="K701" s="8"/>
      <c r="L701" s="8"/>
      <c r="M701" s="8"/>
    </row>
    <row r="702">
      <c r="A702" s="6"/>
      <c r="B702" s="6"/>
      <c r="C702" s="8"/>
      <c r="D702" s="8"/>
      <c r="E702" s="8"/>
      <c r="F702" s="8"/>
      <c r="G702" s="8"/>
      <c r="H702" s="9"/>
      <c r="I702" s="9"/>
      <c r="J702" s="8"/>
      <c r="K702" s="8"/>
      <c r="L702" s="8"/>
      <c r="M702" s="8"/>
    </row>
    <row r="703">
      <c r="A703" s="6"/>
      <c r="B703" s="6"/>
      <c r="C703" s="8"/>
      <c r="D703" s="8"/>
      <c r="E703" s="8"/>
      <c r="F703" s="8"/>
      <c r="G703" s="8"/>
      <c r="H703" s="9"/>
      <c r="I703" s="9"/>
      <c r="J703" s="8"/>
      <c r="K703" s="8"/>
      <c r="L703" s="8"/>
      <c r="M703" s="8"/>
    </row>
    <row r="704">
      <c r="A704" s="6"/>
      <c r="B704" s="6"/>
      <c r="C704" s="8"/>
      <c r="D704" s="8"/>
      <c r="E704" s="8"/>
      <c r="F704" s="8"/>
      <c r="G704" s="8"/>
      <c r="H704" s="9"/>
      <c r="I704" s="9"/>
      <c r="J704" s="8"/>
      <c r="K704" s="8"/>
      <c r="L704" s="8"/>
      <c r="M704" s="8"/>
    </row>
    <row r="705">
      <c r="A705" s="6"/>
      <c r="B705" s="6"/>
      <c r="C705" s="8"/>
      <c r="D705" s="8"/>
      <c r="E705" s="8"/>
      <c r="F705" s="8"/>
      <c r="G705" s="8"/>
      <c r="H705" s="9"/>
      <c r="I705" s="9"/>
      <c r="J705" s="8"/>
      <c r="K705" s="8"/>
      <c r="L705" s="8"/>
      <c r="M705" s="8"/>
    </row>
    <row r="706">
      <c r="A706" s="6"/>
      <c r="B706" s="6"/>
      <c r="C706" s="8"/>
      <c r="D706" s="8"/>
      <c r="E706" s="8"/>
      <c r="F706" s="8"/>
      <c r="G706" s="8"/>
      <c r="H706" s="9"/>
      <c r="I706" s="9"/>
      <c r="J706" s="8"/>
      <c r="K706" s="8"/>
      <c r="L706" s="8"/>
      <c r="M706" s="8"/>
    </row>
    <row r="707">
      <c r="A707" s="6"/>
      <c r="B707" s="6"/>
      <c r="C707" s="8"/>
      <c r="D707" s="8"/>
      <c r="E707" s="8"/>
      <c r="F707" s="8"/>
      <c r="G707" s="8"/>
      <c r="H707" s="9"/>
      <c r="I707" s="9"/>
      <c r="J707" s="8"/>
      <c r="K707" s="8"/>
      <c r="L707" s="8"/>
      <c r="M707" s="8"/>
    </row>
    <row r="708">
      <c r="A708" s="6"/>
      <c r="B708" s="6"/>
      <c r="C708" s="8"/>
      <c r="D708" s="8"/>
      <c r="E708" s="8"/>
      <c r="F708" s="8"/>
      <c r="G708" s="8"/>
      <c r="H708" s="9"/>
      <c r="I708" s="9"/>
      <c r="J708" s="8"/>
      <c r="K708" s="8"/>
      <c r="L708" s="8"/>
      <c r="M708" s="8"/>
    </row>
    <row r="709">
      <c r="A709" s="6"/>
      <c r="B709" s="6"/>
      <c r="C709" s="8"/>
      <c r="D709" s="8"/>
      <c r="E709" s="8"/>
      <c r="F709" s="8"/>
      <c r="G709" s="8"/>
      <c r="H709" s="9"/>
      <c r="I709" s="9"/>
      <c r="J709" s="8"/>
      <c r="K709" s="8"/>
      <c r="L709" s="8"/>
      <c r="M709" s="8"/>
    </row>
    <row r="710">
      <c r="A710" s="6"/>
      <c r="B710" s="6"/>
      <c r="C710" s="8"/>
      <c r="D710" s="8"/>
      <c r="E710" s="8"/>
      <c r="F710" s="8"/>
      <c r="G710" s="8"/>
      <c r="H710" s="9"/>
      <c r="I710" s="9"/>
      <c r="J710" s="8"/>
      <c r="K710" s="8"/>
      <c r="L710" s="8"/>
      <c r="M710" s="8"/>
    </row>
    <row r="711">
      <c r="A711" s="6"/>
      <c r="B711" s="6"/>
      <c r="C711" s="8"/>
      <c r="D711" s="8"/>
      <c r="E711" s="8"/>
      <c r="F711" s="8"/>
      <c r="G711" s="8"/>
      <c r="H711" s="9"/>
      <c r="I711" s="9"/>
      <c r="J711" s="8"/>
      <c r="K711" s="8"/>
      <c r="L711" s="8"/>
      <c r="M711" s="8"/>
    </row>
    <row r="712">
      <c r="A712" s="6"/>
      <c r="B712" s="6"/>
      <c r="C712" s="8"/>
      <c r="D712" s="8"/>
      <c r="E712" s="8"/>
      <c r="F712" s="8"/>
      <c r="G712" s="8"/>
      <c r="H712" s="9"/>
      <c r="I712" s="9"/>
      <c r="J712" s="8"/>
      <c r="K712" s="8"/>
      <c r="L712" s="8"/>
      <c r="M712" s="8"/>
    </row>
    <row r="713">
      <c r="A713" s="6"/>
      <c r="B713" s="6"/>
      <c r="C713" s="8"/>
      <c r="D713" s="8"/>
      <c r="E713" s="8"/>
      <c r="F713" s="8"/>
      <c r="G713" s="8"/>
      <c r="H713" s="9"/>
      <c r="I713" s="9"/>
      <c r="J713" s="8"/>
      <c r="K713" s="8"/>
      <c r="L713" s="8"/>
      <c r="M713" s="8"/>
    </row>
    <row r="714">
      <c r="A714" s="6"/>
      <c r="B714" s="6"/>
      <c r="C714" s="8"/>
      <c r="D714" s="8"/>
      <c r="E714" s="8"/>
      <c r="F714" s="8"/>
      <c r="G714" s="8"/>
      <c r="H714" s="9"/>
      <c r="I714" s="9"/>
      <c r="J714" s="8"/>
      <c r="K714" s="8"/>
      <c r="L714" s="8"/>
      <c r="M714" s="8"/>
    </row>
    <row r="715">
      <c r="A715" s="6"/>
      <c r="B715" s="6"/>
      <c r="C715" s="8"/>
      <c r="D715" s="8"/>
      <c r="E715" s="8"/>
      <c r="F715" s="8"/>
      <c r="G715" s="8"/>
      <c r="H715" s="9"/>
      <c r="I715" s="9"/>
      <c r="J715" s="8"/>
      <c r="K715" s="8"/>
      <c r="L715" s="8"/>
      <c r="M715" s="8"/>
    </row>
    <row r="716">
      <c r="A716" s="6"/>
      <c r="B716" s="6"/>
      <c r="C716" s="8"/>
      <c r="D716" s="8"/>
      <c r="E716" s="8"/>
      <c r="F716" s="8"/>
      <c r="G716" s="8"/>
      <c r="H716" s="9"/>
      <c r="I716" s="9"/>
      <c r="J716" s="8"/>
      <c r="K716" s="8"/>
      <c r="L716" s="8"/>
      <c r="M716" s="8"/>
    </row>
    <row r="717">
      <c r="A717" s="6"/>
      <c r="B717" s="6"/>
      <c r="C717" s="8"/>
      <c r="D717" s="8"/>
      <c r="E717" s="8"/>
      <c r="F717" s="8"/>
      <c r="G717" s="8"/>
      <c r="H717" s="9"/>
      <c r="I717" s="9"/>
      <c r="J717" s="8"/>
      <c r="K717" s="8"/>
      <c r="L717" s="8"/>
      <c r="M717" s="8"/>
    </row>
    <row r="718">
      <c r="A718" s="6"/>
      <c r="B718" s="6"/>
      <c r="C718" s="8"/>
      <c r="D718" s="8"/>
      <c r="E718" s="8"/>
      <c r="F718" s="8"/>
      <c r="G718" s="8"/>
      <c r="H718" s="9"/>
      <c r="I718" s="9"/>
      <c r="J718" s="8"/>
      <c r="K718" s="8"/>
      <c r="L718" s="8"/>
      <c r="M718" s="8"/>
    </row>
    <row r="719">
      <c r="A719" s="6"/>
      <c r="B719" s="6"/>
      <c r="C719" s="8"/>
      <c r="D719" s="8"/>
      <c r="E719" s="8"/>
      <c r="F719" s="8"/>
      <c r="G719" s="8"/>
      <c r="H719" s="9"/>
      <c r="I719" s="9"/>
      <c r="J719" s="8"/>
      <c r="K719" s="8"/>
      <c r="L719" s="8"/>
      <c r="M719" s="8"/>
    </row>
    <row r="720">
      <c r="A720" s="6"/>
      <c r="B720" s="6"/>
      <c r="C720" s="8"/>
      <c r="D720" s="8"/>
      <c r="E720" s="8"/>
      <c r="F720" s="8"/>
      <c r="G720" s="8"/>
      <c r="H720" s="9"/>
      <c r="I720" s="9"/>
      <c r="J720" s="8"/>
      <c r="K720" s="8"/>
      <c r="L720" s="8"/>
      <c r="M720" s="8"/>
    </row>
    <row r="721">
      <c r="A721" s="6"/>
      <c r="B721" s="6"/>
      <c r="C721" s="8"/>
      <c r="D721" s="8"/>
      <c r="E721" s="8"/>
      <c r="F721" s="8"/>
      <c r="G721" s="8"/>
      <c r="H721" s="9"/>
      <c r="I721" s="9"/>
      <c r="J721" s="8"/>
      <c r="K721" s="8"/>
      <c r="L721" s="8"/>
      <c r="M721" s="8"/>
    </row>
    <row r="722">
      <c r="A722" s="6"/>
      <c r="B722" s="6"/>
      <c r="C722" s="8"/>
      <c r="D722" s="8"/>
      <c r="E722" s="8"/>
      <c r="F722" s="8"/>
      <c r="G722" s="8"/>
      <c r="H722" s="9"/>
      <c r="I722" s="9"/>
      <c r="J722" s="8"/>
      <c r="K722" s="8"/>
      <c r="L722" s="8"/>
      <c r="M722" s="8"/>
    </row>
    <row r="723">
      <c r="A723" s="6"/>
      <c r="B723" s="6"/>
      <c r="C723" s="8"/>
      <c r="D723" s="8"/>
      <c r="E723" s="8"/>
      <c r="F723" s="8"/>
      <c r="G723" s="8"/>
      <c r="H723" s="9"/>
      <c r="I723" s="9"/>
      <c r="J723" s="8"/>
      <c r="K723" s="8"/>
      <c r="L723" s="8"/>
      <c r="M723" s="8"/>
    </row>
    <row r="724">
      <c r="A724" s="6"/>
      <c r="B724" s="6"/>
      <c r="C724" s="8"/>
      <c r="D724" s="8"/>
      <c r="E724" s="8"/>
      <c r="F724" s="8"/>
      <c r="G724" s="8"/>
      <c r="H724" s="9"/>
      <c r="I724" s="9"/>
      <c r="J724" s="8"/>
      <c r="K724" s="8"/>
      <c r="L724" s="8"/>
      <c r="M724" s="8"/>
    </row>
    <row r="725">
      <c r="A725" s="6"/>
      <c r="B725" s="6"/>
      <c r="C725" s="8"/>
      <c r="D725" s="8"/>
      <c r="E725" s="8"/>
      <c r="F725" s="8"/>
      <c r="G725" s="8"/>
      <c r="H725" s="9"/>
      <c r="I725" s="9"/>
      <c r="J725" s="8"/>
      <c r="K725" s="8"/>
      <c r="L725" s="8"/>
      <c r="M725" s="8"/>
    </row>
    <row r="726">
      <c r="A726" s="6"/>
      <c r="B726" s="6"/>
      <c r="C726" s="8"/>
      <c r="D726" s="8"/>
      <c r="E726" s="8"/>
      <c r="F726" s="8"/>
      <c r="G726" s="8"/>
      <c r="H726" s="9"/>
      <c r="I726" s="9"/>
      <c r="J726" s="8"/>
      <c r="K726" s="8"/>
      <c r="L726" s="8"/>
      <c r="M726" s="8"/>
    </row>
    <row r="727">
      <c r="A727" s="6"/>
      <c r="B727" s="6"/>
      <c r="C727" s="8"/>
      <c r="D727" s="8"/>
      <c r="E727" s="8"/>
      <c r="F727" s="8"/>
      <c r="G727" s="8"/>
      <c r="H727" s="9"/>
      <c r="I727" s="9"/>
      <c r="J727" s="8"/>
      <c r="K727" s="8"/>
      <c r="L727" s="8"/>
      <c r="M727" s="8"/>
    </row>
    <row r="728">
      <c r="A728" s="6"/>
      <c r="B728" s="6"/>
      <c r="C728" s="8"/>
      <c r="D728" s="8"/>
      <c r="E728" s="8"/>
      <c r="F728" s="8"/>
      <c r="G728" s="8"/>
      <c r="H728" s="9"/>
      <c r="I728" s="9"/>
      <c r="J728" s="8"/>
      <c r="K728" s="8"/>
      <c r="L728" s="8"/>
      <c r="M728" s="8"/>
    </row>
    <row r="729">
      <c r="A729" s="6"/>
      <c r="B729" s="6"/>
      <c r="C729" s="8"/>
      <c r="D729" s="8"/>
      <c r="E729" s="8"/>
      <c r="F729" s="8"/>
      <c r="G729" s="8"/>
      <c r="H729" s="9"/>
      <c r="I729" s="9"/>
      <c r="J729" s="8"/>
      <c r="K729" s="8"/>
      <c r="L729" s="8"/>
      <c r="M729" s="8"/>
    </row>
    <row r="730">
      <c r="A730" s="6"/>
      <c r="B730" s="6"/>
      <c r="C730" s="8"/>
      <c r="D730" s="8"/>
      <c r="E730" s="8"/>
      <c r="F730" s="8"/>
      <c r="G730" s="8"/>
      <c r="H730" s="9"/>
      <c r="I730" s="9"/>
      <c r="J730" s="8"/>
      <c r="K730" s="8"/>
      <c r="L730" s="8"/>
      <c r="M730" s="8"/>
    </row>
    <row r="731">
      <c r="A731" s="6"/>
      <c r="B731" s="6"/>
      <c r="C731" s="8"/>
      <c r="D731" s="8"/>
      <c r="E731" s="8"/>
      <c r="F731" s="8"/>
      <c r="G731" s="8"/>
      <c r="H731" s="9"/>
      <c r="I731" s="9"/>
      <c r="J731" s="8"/>
      <c r="K731" s="8"/>
      <c r="L731" s="8"/>
      <c r="M731" s="8"/>
    </row>
    <row r="732">
      <c r="A732" s="6"/>
      <c r="B732" s="6"/>
      <c r="C732" s="8"/>
      <c r="D732" s="8"/>
      <c r="E732" s="8"/>
      <c r="F732" s="8"/>
      <c r="G732" s="8"/>
      <c r="H732" s="9"/>
      <c r="I732" s="9"/>
      <c r="J732" s="8"/>
      <c r="K732" s="8"/>
      <c r="L732" s="8"/>
      <c r="M732" s="8"/>
    </row>
    <row r="733">
      <c r="A733" s="6"/>
      <c r="B733" s="6"/>
      <c r="C733" s="8"/>
      <c r="D733" s="8"/>
      <c r="E733" s="8"/>
      <c r="F733" s="8"/>
      <c r="G733" s="8"/>
      <c r="H733" s="9"/>
      <c r="I733" s="9"/>
      <c r="J733" s="8"/>
      <c r="K733" s="8"/>
      <c r="L733" s="8"/>
      <c r="M733" s="8"/>
    </row>
    <row r="734">
      <c r="A734" s="6"/>
      <c r="B734" s="6"/>
      <c r="C734" s="8"/>
      <c r="D734" s="8"/>
      <c r="E734" s="8"/>
      <c r="F734" s="8"/>
      <c r="G734" s="8"/>
      <c r="H734" s="9"/>
      <c r="I734" s="9"/>
      <c r="J734" s="8"/>
      <c r="K734" s="8"/>
      <c r="L734" s="8"/>
      <c r="M734" s="8"/>
    </row>
    <row r="735">
      <c r="A735" s="6"/>
      <c r="B735" s="6"/>
      <c r="C735" s="8"/>
      <c r="D735" s="8"/>
      <c r="E735" s="8"/>
      <c r="F735" s="8"/>
      <c r="G735" s="8"/>
      <c r="H735" s="9"/>
      <c r="I735" s="9"/>
      <c r="J735" s="8"/>
      <c r="K735" s="8"/>
      <c r="L735" s="8"/>
      <c r="M735" s="8"/>
    </row>
    <row r="736">
      <c r="A736" s="6"/>
      <c r="B736" s="6"/>
      <c r="C736" s="8"/>
      <c r="D736" s="8"/>
      <c r="E736" s="8"/>
      <c r="F736" s="8"/>
      <c r="G736" s="8"/>
      <c r="H736" s="9"/>
      <c r="I736" s="9"/>
      <c r="J736" s="8"/>
      <c r="K736" s="8"/>
      <c r="L736" s="8"/>
      <c r="M736" s="8"/>
    </row>
    <row r="737">
      <c r="A737" s="6"/>
      <c r="B737" s="6"/>
      <c r="C737" s="8"/>
      <c r="D737" s="8"/>
      <c r="E737" s="8"/>
      <c r="F737" s="8"/>
      <c r="G737" s="8"/>
      <c r="H737" s="9"/>
      <c r="I737" s="9"/>
      <c r="J737" s="8"/>
      <c r="K737" s="8"/>
      <c r="L737" s="8"/>
      <c r="M737" s="8"/>
    </row>
    <row r="738">
      <c r="A738" s="6"/>
      <c r="B738" s="6"/>
      <c r="C738" s="8"/>
      <c r="D738" s="8"/>
      <c r="E738" s="8"/>
      <c r="F738" s="8"/>
      <c r="G738" s="8"/>
      <c r="H738" s="9"/>
      <c r="I738" s="9"/>
      <c r="J738" s="8"/>
      <c r="K738" s="8"/>
      <c r="L738" s="8"/>
      <c r="M738" s="8"/>
    </row>
    <row r="739">
      <c r="A739" s="6"/>
      <c r="B739" s="6"/>
      <c r="C739" s="8"/>
      <c r="D739" s="8"/>
      <c r="E739" s="8"/>
      <c r="F739" s="8"/>
      <c r="G739" s="8"/>
      <c r="H739" s="9"/>
      <c r="I739" s="9"/>
      <c r="J739" s="8"/>
      <c r="K739" s="8"/>
      <c r="L739" s="8"/>
      <c r="M739" s="8"/>
    </row>
    <row r="740">
      <c r="A740" s="6"/>
      <c r="B740" s="6"/>
      <c r="C740" s="8"/>
      <c r="D740" s="8"/>
      <c r="E740" s="8"/>
      <c r="F740" s="8"/>
      <c r="G740" s="8"/>
      <c r="H740" s="9"/>
      <c r="I740" s="9"/>
      <c r="J740" s="8"/>
      <c r="K740" s="8"/>
      <c r="L740" s="8"/>
      <c r="M740" s="8"/>
    </row>
    <row r="741">
      <c r="A741" s="6"/>
      <c r="B741" s="6"/>
      <c r="C741" s="8"/>
      <c r="D741" s="8"/>
      <c r="E741" s="8"/>
      <c r="F741" s="8"/>
      <c r="G741" s="8"/>
      <c r="H741" s="9"/>
      <c r="I741" s="9"/>
      <c r="J741" s="8"/>
      <c r="K741" s="8"/>
      <c r="L741" s="8"/>
      <c r="M741" s="8"/>
    </row>
    <row r="742">
      <c r="A742" s="6"/>
      <c r="B742" s="6"/>
      <c r="C742" s="8"/>
      <c r="D742" s="8"/>
      <c r="E742" s="8"/>
      <c r="F742" s="8"/>
      <c r="G742" s="8"/>
      <c r="H742" s="9"/>
      <c r="I742" s="9"/>
      <c r="J742" s="8"/>
      <c r="K742" s="8"/>
      <c r="L742" s="8"/>
      <c r="M742" s="8"/>
    </row>
    <row r="743">
      <c r="A743" s="6"/>
      <c r="B743" s="6"/>
      <c r="C743" s="8"/>
      <c r="D743" s="8"/>
      <c r="E743" s="8"/>
      <c r="F743" s="8"/>
      <c r="G743" s="8"/>
      <c r="H743" s="9"/>
      <c r="I743" s="9"/>
      <c r="J743" s="8"/>
      <c r="K743" s="8"/>
      <c r="L743" s="8"/>
      <c r="M743" s="8"/>
    </row>
    <row r="744">
      <c r="A744" s="6"/>
      <c r="B744" s="6"/>
      <c r="C744" s="8"/>
      <c r="D744" s="8"/>
      <c r="E744" s="8"/>
      <c r="F744" s="8"/>
      <c r="G744" s="8"/>
      <c r="H744" s="9"/>
      <c r="I744" s="9"/>
      <c r="J744" s="8"/>
      <c r="K744" s="8"/>
      <c r="L744" s="8"/>
      <c r="M744" s="8"/>
    </row>
    <row r="745">
      <c r="A745" s="6"/>
      <c r="B745" s="6"/>
      <c r="C745" s="8"/>
      <c r="D745" s="8"/>
      <c r="E745" s="8"/>
      <c r="F745" s="8"/>
      <c r="G745" s="8"/>
      <c r="H745" s="9"/>
      <c r="I745" s="9"/>
      <c r="J745" s="8"/>
      <c r="K745" s="8"/>
      <c r="L745" s="8"/>
      <c r="M745" s="8"/>
    </row>
    <row r="746">
      <c r="A746" s="6"/>
      <c r="B746" s="6"/>
      <c r="C746" s="8"/>
      <c r="D746" s="8"/>
      <c r="E746" s="8"/>
      <c r="F746" s="8"/>
      <c r="G746" s="8"/>
      <c r="H746" s="9"/>
      <c r="I746" s="9"/>
      <c r="J746" s="8"/>
      <c r="K746" s="8"/>
      <c r="L746" s="8"/>
      <c r="M746" s="8"/>
    </row>
    <row r="747">
      <c r="A747" s="6"/>
      <c r="B747" s="6"/>
      <c r="C747" s="8"/>
      <c r="D747" s="8"/>
      <c r="E747" s="8"/>
      <c r="F747" s="8"/>
      <c r="G747" s="8"/>
      <c r="H747" s="9"/>
      <c r="I747" s="9"/>
      <c r="J747" s="8"/>
      <c r="K747" s="8"/>
      <c r="L747" s="8"/>
      <c r="M747" s="8"/>
    </row>
    <row r="748">
      <c r="A748" s="6"/>
      <c r="B748" s="6"/>
      <c r="C748" s="8"/>
      <c r="D748" s="8"/>
      <c r="E748" s="8"/>
      <c r="F748" s="8"/>
      <c r="G748" s="8"/>
      <c r="H748" s="9"/>
      <c r="I748" s="9"/>
      <c r="J748" s="8"/>
      <c r="K748" s="8"/>
      <c r="L748" s="8"/>
      <c r="M748" s="8"/>
    </row>
    <row r="749">
      <c r="A749" s="6"/>
      <c r="B749" s="6"/>
      <c r="C749" s="8"/>
      <c r="D749" s="8"/>
      <c r="E749" s="8"/>
      <c r="F749" s="8"/>
      <c r="G749" s="8"/>
      <c r="H749" s="9"/>
      <c r="I749" s="9"/>
      <c r="J749" s="8"/>
      <c r="K749" s="8"/>
      <c r="L749" s="8"/>
      <c r="M749" s="8"/>
    </row>
    <row r="750">
      <c r="A750" s="6"/>
      <c r="B750" s="6"/>
      <c r="C750" s="8"/>
      <c r="D750" s="8"/>
      <c r="E750" s="8"/>
      <c r="F750" s="8"/>
      <c r="G750" s="8"/>
      <c r="H750" s="9"/>
      <c r="I750" s="9"/>
      <c r="J750" s="8"/>
      <c r="K750" s="8"/>
      <c r="L750" s="8"/>
      <c r="M750" s="8"/>
    </row>
    <row r="751">
      <c r="A751" s="6"/>
      <c r="B751" s="6"/>
      <c r="C751" s="8"/>
      <c r="D751" s="8"/>
      <c r="E751" s="8"/>
      <c r="F751" s="8"/>
      <c r="G751" s="8"/>
      <c r="H751" s="9"/>
      <c r="I751" s="9"/>
      <c r="J751" s="8"/>
      <c r="K751" s="8"/>
      <c r="L751" s="8"/>
      <c r="M751" s="8"/>
    </row>
    <row r="752">
      <c r="A752" s="6"/>
      <c r="B752" s="6"/>
      <c r="C752" s="8"/>
      <c r="D752" s="8"/>
      <c r="E752" s="8"/>
      <c r="F752" s="8"/>
      <c r="G752" s="8"/>
      <c r="H752" s="9"/>
      <c r="I752" s="9"/>
      <c r="J752" s="8"/>
      <c r="K752" s="8"/>
      <c r="L752" s="8"/>
      <c r="M752" s="8"/>
    </row>
    <row r="753">
      <c r="A753" s="6"/>
      <c r="B753" s="6"/>
      <c r="C753" s="8"/>
      <c r="D753" s="8"/>
      <c r="E753" s="8"/>
      <c r="F753" s="8"/>
      <c r="G753" s="8"/>
      <c r="H753" s="9"/>
      <c r="I753" s="9"/>
      <c r="J753" s="8"/>
      <c r="K753" s="8"/>
      <c r="L753" s="8"/>
      <c r="M753" s="8"/>
    </row>
    <row r="754">
      <c r="A754" s="6"/>
      <c r="B754" s="6"/>
      <c r="C754" s="8"/>
      <c r="D754" s="8"/>
      <c r="E754" s="8"/>
      <c r="F754" s="8"/>
      <c r="G754" s="8"/>
      <c r="H754" s="9"/>
      <c r="I754" s="9"/>
      <c r="J754" s="8"/>
      <c r="K754" s="8"/>
      <c r="L754" s="8"/>
      <c r="M754" s="8"/>
    </row>
    <row r="755">
      <c r="A755" s="6"/>
      <c r="B755" s="6"/>
      <c r="C755" s="8"/>
      <c r="D755" s="8"/>
      <c r="E755" s="8"/>
      <c r="F755" s="8"/>
      <c r="G755" s="8"/>
      <c r="H755" s="9"/>
      <c r="I755" s="9"/>
      <c r="J755" s="8"/>
      <c r="K755" s="8"/>
      <c r="L755" s="8"/>
      <c r="M755" s="8"/>
    </row>
    <row r="756">
      <c r="A756" s="6"/>
      <c r="B756" s="6"/>
      <c r="C756" s="8"/>
      <c r="D756" s="8"/>
      <c r="E756" s="8"/>
      <c r="F756" s="8"/>
      <c r="G756" s="8"/>
      <c r="H756" s="9"/>
      <c r="I756" s="9"/>
      <c r="J756" s="8"/>
      <c r="K756" s="8"/>
      <c r="L756" s="8"/>
      <c r="M756" s="8"/>
    </row>
    <row r="757">
      <c r="A757" s="6"/>
      <c r="B757" s="6"/>
      <c r="C757" s="8"/>
      <c r="D757" s="8"/>
      <c r="E757" s="8"/>
      <c r="F757" s="8"/>
      <c r="G757" s="8"/>
      <c r="H757" s="9"/>
      <c r="I757" s="9"/>
      <c r="J757" s="8"/>
      <c r="K757" s="8"/>
      <c r="L757" s="8"/>
      <c r="M757" s="8"/>
    </row>
    <row r="758">
      <c r="A758" s="6"/>
      <c r="B758" s="6"/>
      <c r="C758" s="8"/>
      <c r="D758" s="8"/>
      <c r="E758" s="8"/>
      <c r="F758" s="8"/>
      <c r="G758" s="8"/>
      <c r="H758" s="9"/>
      <c r="I758" s="9"/>
      <c r="J758" s="8"/>
      <c r="K758" s="8"/>
      <c r="L758" s="8"/>
      <c r="M758" s="8"/>
    </row>
    <row r="759">
      <c r="A759" s="6"/>
      <c r="B759" s="6"/>
      <c r="C759" s="8"/>
      <c r="D759" s="8"/>
      <c r="E759" s="8"/>
      <c r="F759" s="8"/>
      <c r="G759" s="8"/>
      <c r="H759" s="9"/>
      <c r="I759" s="9"/>
      <c r="J759" s="8"/>
      <c r="K759" s="8"/>
      <c r="L759" s="8"/>
      <c r="M759" s="8"/>
    </row>
    <row r="760">
      <c r="A760" s="6"/>
      <c r="B760" s="6"/>
      <c r="C760" s="8"/>
      <c r="D760" s="8"/>
      <c r="E760" s="8"/>
      <c r="F760" s="8"/>
      <c r="G760" s="8"/>
      <c r="H760" s="9"/>
      <c r="I760" s="9"/>
      <c r="J760" s="8"/>
      <c r="K760" s="8"/>
      <c r="L760" s="8"/>
      <c r="M760" s="8"/>
    </row>
    <row r="761">
      <c r="A761" s="6"/>
      <c r="B761" s="6"/>
      <c r="C761" s="8"/>
      <c r="D761" s="8"/>
      <c r="E761" s="8"/>
      <c r="F761" s="8"/>
      <c r="G761" s="8"/>
      <c r="H761" s="9"/>
      <c r="I761" s="9"/>
      <c r="J761" s="8"/>
      <c r="K761" s="8"/>
      <c r="L761" s="8"/>
      <c r="M761" s="8"/>
    </row>
    <row r="762">
      <c r="A762" s="6"/>
      <c r="B762" s="6"/>
      <c r="C762" s="8"/>
      <c r="D762" s="8"/>
      <c r="E762" s="8"/>
      <c r="F762" s="8"/>
      <c r="G762" s="8"/>
      <c r="H762" s="9"/>
      <c r="I762" s="9"/>
      <c r="J762" s="8"/>
      <c r="K762" s="8"/>
      <c r="L762" s="8"/>
      <c r="M762" s="8"/>
    </row>
    <row r="763">
      <c r="A763" s="6"/>
      <c r="B763" s="6"/>
      <c r="C763" s="8"/>
      <c r="D763" s="8"/>
      <c r="E763" s="8"/>
      <c r="F763" s="8"/>
      <c r="G763" s="8"/>
      <c r="H763" s="9"/>
      <c r="I763" s="9"/>
      <c r="J763" s="8"/>
      <c r="K763" s="8"/>
      <c r="L763" s="8"/>
      <c r="M763" s="8"/>
    </row>
    <row r="764">
      <c r="A764" s="6"/>
      <c r="B764" s="6"/>
      <c r="C764" s="8"/>
      <c r="D764" s="8"/>
      <c r="E764" s="8"/>
      <c r="F764" s="8"/>
      <c r="G764" s="8"/>
      <c r="H764" s="9"/>
      <c r="I764" s="9"/>
      <c r="J764" s="8"/>
      <c r="K764" s="8"/>
      <c r="L764" s="8"/>
      <c r="M764" s="8"/>
    </row>
    <row r="765">
      <c r="A765" s="6"/>
      <c r="B765" s="6"/>
      <c r="C765" s="8"/>
      <c r="D765" s="8"/>
      <c r="E765" s="8"/>
      <c r="F765" s="8"/>
      <c r="G765" s="8"/>
      <c r="H765" s="9"/>
      <c r="I765" s="9"/>
      <c r="J765" s="8"/>
      <c r="K765" s="8"/>
      <c r="L765" s="8"/>
      <c r="M765" s="8"/>
    </row>
    <row r="766">
      <c r="A766" s="6"/>
      <c r="B766" s="6"/>
      <c r="C766" s="8"/>
      <c r="D766" s="8"/>
      <c r="E766" s="8"/>
      <c r="F766" s="8"/>
      <c r="G766" s="8"/>
      <c r="H766" s="9"/>
      <c r="I766" s="9"/>
      <c r="J766" s="8"/>
      <c r="K766" s="8"/>
      <c r="L766" s="8"/>
      <c r="M766" s="8"/>
    </row>
    <row r="767">
      <c r="A767" s="6"/>
      <c r="B767" s="6"/>
      <c r="C767" s="8"/>
      <c r="D767" s="8"/>
      <c r="E767" s="8"/>
      <c r="F767" s="8"/>
      <c r="G767" s="8"/>
      <c r="H767" s="9"/>
      <c r="I767" s="9"/>
      <c r="J767" s="8"/>
      <c r="K767" s="8"/>
      <c r="L767" s="8"/>
      <c r="M767" s="8"/>
    </row>
    <row r="768">
      <c r="A768" s="6"/>
      <c r="B768" s="6"/>
      <c r="C768" s="8"/>
      <c r="D768" s="8"/>
      <c r="E768" s="8"/>
      <c r="F768" s="8"/>
      <c r="G768" s="8"/>
      <c r="H768" s="9"/>
      <c r="I768" s="9"/>
      <c r="J768" s="8"/>
      <c r="K768" s="8"/>
      <c r="L768" s="8"/>
      <c r="M768" s="8"/>
    </row>
    <row r="769">
      <c r="A769" s="6"/>
      <c r="B769" s="6"/>
      <c r="C769" s="8"/>
      <c r="D769" s="8"/>
      <c r="E769" s="8"/>
      <c r="F769" s="8"/>
      <c r="G769" s="8"/>
      <c r="H769" s="9"/>
      <c r="I769" s="9"/>
      <c r="J769" s="8"/>
      <c r="K769" s="8"/>
      <c r="L769" s="8"/>
      <c r="M769" s="8"/>
    </row>
    <row r="770">
      <c r="A770" s="6"/>
      <c r="B770" s="6"/>
      <c r="C770" s="8"/>
      <c r="D770" s="8"/>
      <c r="E770" s="8"/>
      <c r="F770" s="8"/>
      <c r="G770" s="8"/>
      <c r="H770" s="9"/>
      <c r="I770" s="9"/>
      <c r="J770" s="8"/>
      <c r="K770" s="8"/>
      <c r="L770" s="8"/>
      <c r="M770" s="8"/>
    </row>
    <row r="771">
      <c r="A771" s="6"/>
      <c r="B771" s="6"/>
      <c r="C771" s="8"/>
      <c r="D771" s="8"/>
      <c r="E771" s="8"/>
      <c r="F771" s="8"/>
      <c r="G771" s="8"/>
      <c r="H771" s="9"/>
      <c r="I771" s="9"/>
      <c r="J771" s="8"/>
      <c r="K771" s="8"/>
      <c r="L771" s="8"/>
      <c r="M771" s="8"/>
    </row>
    <row r="772">
      <c r="A772" s="6"/>
      <c r="B772" s="6"/>
      <c r="C772" s="8"/>
      <c r="D772" s="8"/>
      <c r="E772" s="8"/>
      <c r="F772" s="8"/>
      <c r="G772" s="8"/>
      <c r="H772" s="9"/>
      <c r="I772" s="9"/>
      <c r="J772" s="8"/>
      <c r="K772" s="8"/>
      <c r="L772" s="8"/>
      <c r="M772" s="8"/>
    </row>
    <row r="773">
      <c r="A773" s="6"/>
      <c r="B773" s="6"/>
      <c r="C773" s="8"/>
      <c r="D773" s="8"/>
      <c r="E773" s="8"/>
      <c r="F773" s="8"/>
      <c r="G773" s="8"/>
      <c r="H773" s="9"/>
      <c r="I773" s="9"/>
      <c r="J773" s="8"/>
      <c r="K773" s="8"/>
      <c r="L773" s="8"/>
      <c r="M773" s="8"/>
    </row>
    <row r="774">
      <c r="A774" s="6"/>
      <c r="B774" s="6"/>
      <c r="C774" s="8"/>
      <c r="D774" s="8"/>
      <c r="E774" s="8"/>
      <c r="F774" s="8"/>
      <c r="G774" s="8"/>
      <c r="H774" s="9"/>
      <c r="I774" s="9"/>
      <c r="J774" s="8"/>
      <c r="K774" s="8"/>
      <c r="L774" s="8"/>
      <c r="M774" s="8"/>
    </row>
    <row r="775">
      <c r="A775" s="6"/>
      <c r="B775" s="6"/>
      <c r="C775" s="8"/>
      <c r="D775" s="8"/>
      <c r="E775" s="8"/>
      <c r="F775" s="8"/>
      <c r="G775" s="8"/>
      <c r="H775" s="9"/>
      <c r="I775" s="9"/>
      <c r="J775" s="8"/>
      <c r="K775" s="8"/>
      <c r="L775" s="8"/>
      <c r="M775" s="8"/>
    </row>
    <row r="776">
      <c r="A776" s="6"/>
      <c r="B776" s="6"/>
      <c r="C776" s="8"/>
      <c r="D776" s="8"/>
      <c r="E776" s="8"/>
      <c r="F776" s="8"/>
      <c r="G776" s="8"/>
      <c r="H776" s="9"/>
      <c r="I776" s="9"/>
      <c r="J776" s="8"/>
      <c r="K776" s="8"/>
      <c r="L776" s="8"/>
      <c r="M776" s="8"/>
    </row>
    <row r="777">
      <c r="A777" s="6"/>
      <c r="B777" s="6"/>
      <c r="C777" s="8"/>
      <c r="D777" s="8"/>
      <c r="E777" s="8"/>
      <c r="F777" s="8"/>
      <c r="G777" s="8"/>
      <c r="H777" s="9"/>
      <c r="I777" s="9"/>
      <c r="J777" s="8"/>
      <c r="K777" s="8"/>
      <c r="L777" s="8"/>
      <c r="M777" s="8"/>
    </row>
    <row r="778">
      <c r="A778" s="6"/>
      <c r="B778" s="6"/>
      <c r="C778" s="8"/>
      <c r="D778" s="8"/>
      <c r="E778" s="8"/>
      <c r="F778" s="8"/>
      <c r="G778" s="8"/>
      <c r="H778" s="9"/>
      <c r="I778" s="9"/>
      <c r="J778" s="8"/>
      <c r="K778" s="8"/>
      <c r="L778" s="8"/>
      <c r="M778" s="8"/>
    </row>
    <row r="779">
      <c r="A779" s="6"/>
      <c r="B779" s="6"/>
      <c r="C779" s="8"/>
      <c r="D779" s="8"/>
      <c r="E779" s="8"/>
      <c r="F779" s="8"/>
      <c r="G779" s="8"/>
      <c r="H779" s="9"/>
      <c r="I779" s="9"/>
      <c r="J779" s="8"/>
      <c r="K779" s="8"/>
      <c r="L779" s="8"/>
      <c r="M779" s="8"/>
    </row>
    <row r="780">
      <c r="A780" s="6"/>
      <c r="B780" s="6"/>
      <c r="C780" s="8"/>
      <c r="D780" s="8"/>
      <c r="E780" s="8"/>
      <c r="F780" s="8"/>
      <c r="G780" s="8"/>
      <c r="H780" s="9"/>
      <c r="I780" s="9"/>
      <c r="J780" s="8"/>
      <c r="K780" s="8"/>
      <c r="L780" s="8"/>
      <c r="M780" s="8"/>
    </row>
    <row r="781">
      <c r="A781" s="6"/>
      <c r="B781" s="6"/>
      <c r="C781" s="8"/>
      <c r="D781" s="8"/>
      <c r="E781" s="8"/>
      <c r="F781" s="8"/>
      <c r="G781" s="8"/>
      <c r="H781" s="9"/>
      <c r="I781" s="9"/>
      <c r="J781" s="8"/>
      <c r="K781" s="8"/>
      <c r="L781" s="8"/>
      <c r="M781" s="8"/>
    </row>
    <row r="782">
      <c r="A782" s="6"/>
      <c r="B782" s="6"/>
      <c r="C782" s="8"/>
      <c r="D782" s="8"/>
      <c r="E782" s="8"/>
      <c r="F782" s="8"/>
      <c r="G782" s="8"/>
      <c r="H782" s="9"/>
      <c r="I782" s="9"/>
      <c r="J782" s="8"/>
      <c r="K782" s="8"/>
      <c r="L782" s="8"/>
      <c r="M782" s="8"/>
    </row>
    <row r="783">
      <c r="A783" s="6"/>
      <c r="B783" s="6"/>
      <c r="C783" s="8"/>
      <c r="D783" s="8"/>
      <c r="E783" s="8"/>
      <c r="F783" s="8"/>
      <c r="G783" s="8"/>
      <c r="H783" s="9"/>
      <c r="I783" s="9"/>
      <c r="J783" s="8"/>
      <c r="K783" s="8"/>
      <c r="L783" s="8"/>
      <c r="M783" s="8"/>
    </row>
    <row r="784">
      <c r="A784" s="6"/>
      <c r="B784" s="6"/>
      <c r="C784" s="8"/>
      <c r="D784" s="8"/>
      <c r="E784" s="8"/>
      <c r="F784" s="8"/>
      <c r="G784" s="8"/>
      <c r="H784" s="9"/>
      <c r="I784" s="9"/>
      <c r="J784" s="8"/>
      <c r="K784" s="8"/>
      <c r="L784" s="8"/>
      <c r="M784" s="8"/>
    </row>
    <row r="785">
      <c r="A785" s="6"/>
      <c r="B785" s="6"/>
      <c r="C785" s="8"/>
      <c r="D785" s="8"/>
      <c r="E785" s="8"/>
      <c r="F785" s="8"/>
      <c r="G785" s="8"/>
      <c r="H785" s="9"/>
      <c r="I785" s="9"/>
      <c r="J785" s="8"/>
      <c r="K785" s="8"/>
      <c r="L785" s="8"/>
      <c r="M785" s="8"/>
    </row>
    <row r="786">
      <c r="A786" s="6"/>
      <c r="B786" s="6"/>
      <c r="C786" s="8"/>
      <c r="D786" s="8"/>
      <c r="E786" s="8"/>
      <c r="F786" s="8"/>
      <c r="G786" s="8"/>
      <c r="H786" s="9"/>
      <c r="I786" s="9"/>
      <c r="J786" s="8"/>
      <c r="K786" s="8"/>
      <c r="L786" s="8"/>
      <c r="M786" s="8"/>
    </row>
    <row r="787">
      <c r="A787" s="6"/>
      <c r="B787" s="6"/>
      <c r="C787" s="8"/>
      <c r="D787" s="8"/>
      <c r="E787" s="8"/>
      <c r="F787" s="8"/>
      <c r="G787" s="8"/>
      <c r="H787" s="9"/>
      <c r="I787" s="9"/>
      <c r="J787" s="8"/>
      <c r="K787" s="8"/>
      <c r="L787" s="8"/>
      <c r="M787" s="8"/>
    </row>
    <row r="788">
      <c r="A788" s="6"/>
      <c r="B788" s="6"/>
      <c r="C788" s="8"/>
      <c r="D788" s="8"/>
      <c r="E788" s="8"/>
      <c r="F788" s="8"/>
      <c r="G788" s="8"/>
      <c r="H788" s="9"/>
      <c r="I788" s="9"/>
      <c r="J788" s="8"/>
      <c r="K788" s="8"/>
      <c r="L788" s="8"/>
      <c r="M788" s="8"/>
    </row>
    <row r="789">
      <c r="A789" s="6"/>
      <c r="B789" s="6"/>
      <c r="C789" s="8"/>
      <c r="D789" s="8"/>
      <c r="E789" s="8"/>
      <c r="F789" s="8"/>
      <c r="G789" s="8"/>
      <c r="H789" s="9"/>
      <c r="I789" s="9"/>
      <c r="J789" s="8"/>
      <c r="K789" s="8"/>
      <c r="L789" s="8"/>
      <c r="M789" s="8"/>
    </row>
    <row r="790">
      <c r="A790" s="6"/>
      <c r="B790" s="6"/>
      <c r="C790" s="8"/>
      <c r="D790" s="8"/>
      <c r="E790" s="8"/>
      <c r="F790" s="8"/>
      <c r="G790" s="8"/>
      <c r="H790" s="9"/>
      <c r="I790" s="9"/>
      <c r="J790" s="8"/>
      <c r="K790" s="8"/>
      <c r="L790" s="8"/>
      <c r="M790" s="8"/>
    </row>
    <row r="791">
      <c r="A791" s="6"/>
      <c r="B791" s="6"/>
      <c r="C791" s="8"/>
      <c r="D791" s="8"/>
      <c r="E791" s="8"/>
      <c r="F791" s="8"/>
      <c r="G791" s="8"/>
      <c r="H791" s="9"/>
      <c r="I791" s="9"/>
      <c r="J791" s="8"/>
      <c r="K791" s="8"/>
      <c r="L791" s="8"/>
      <c r="M791" s="8"/>
    </row>
    <row r="792">
      <c r="A792" s="6"/>
      <c r="B792" s="6"/>
      <c r="C792" s="8"/>
      <c r="D792" s="8"/>
      <c r="E792" s="8"/>
      <c r="F792" s="8"/>
      <c r="G792" s="8"/>
      <c r="H792" s="9"/>
      <c r="I792" s="9"/>
      <c r="J792" s="8"/>
      <c r="K792" s="8"/>
      <c r="L792" s="8"/>
      <c r="M792" s="8"/>
    </row>
    <row r="793">
      <c r="A793" s="6"/>
      <c r="B793" s="6"/>
      <c r="C793" s="8"/>
      <c r="D793" s="8"/>
      <c r="E793" s="8"/>
      <c r="F793" s="8"/>
      <c r="G793" s="8"/>
      <c r="H793" s="9"/>
      <c r="I793" s="9"/>
      <c r="J793" s="8"/>
      <c r="K793" s="8"/>
      <c r="L793" s="8"/>
      <c r="M793" s="8"/>
    </row>
    <row r="794">
      <c r="A794" s="6"/>
      <c r="B794" s="6"/>
      <c r="C794" s="8"/>
      <c r="D794" s="8"/>
      <c r="E794" s="8"/>
      <c r="F794" s="8"/>
      <c r="G794" s="8"/>
      <c r="H794" s="9"/>
      <c r="I794" s="9"/>
      <c r="J794" s="8"/>
      <c r="K794" s="8"/>
      <c r="L794" s="8"/>
      <c r="M794" s="8"/>
    </row>
    <row r="795">
      <c r="A795" s="6"/>
      <c r="B795" s="6"/>
      <c r="C795" s="8"/>
      <c r="D795" s="8"/>
      <c r="E795" s="8"/>
      <c r="F795" s="8"/>
      <c r="G795" s="8"/>
      <c r="H795" s="9"/>
      <c r="I795" s="9"/>
      <c r="J795" s="8"/>
      <c r="K795" s="8"/>
      <c r="L795" s="8"/>
      <c r="M795" s="8"/>
    </row>
    <row r="796">
      <c r="A796" s="6"/>
      <c r="B796" s="6"/>
      <c r="C796" s="8"/>
      <c r="D796" s="8"/>
      <c r="E796" s="8"/>
      <c r="F796" s="8"/>
      <c r="G796" s="8"/>
      <c r="H796" s="9"/>
      <c r="I796" s="9"/>
      <c r="J796" s="8"/>
      <c r="K796" s="8"/>
      <c r="L796" s="8"/>
      <c r="M796" s="8"/>
    </row>
    <row r="797">
      <c r="A797" s="6"/>
      <c r="B797" s="6"/>
      <c r="C797" s="8"/>
      <c r="D797" s="8"/>
      <c r="E797" s="8"/>
      <c r="F797" s="8"/>
      <c r="G797" s="8"/>
      <c r="H797" s="9"/>
      <c r="I797" s="9"/>
      <c r="J797" s="8"/>
      <c r="K797" s="8"/>
      <c r="L797" s="8"/>
      <c r="M797" s="8"/>
    </row>
    <row r="798">
      <c r="A798" s="6"/>
      <c r="B798" s="6"/>
      <c r="C798" s="8"/>
      <c r="D798" s="8"/>
      <c r="E798" s="8"/>
      <c r="F798" s="8"/>
      <c r="G798" s="8"/>
      <c r="H798" s="9"/>
      <c r="I798" s="9"/>
      <c r="J798" s="8"/>
      <c r="K798" s="8"/>
      <c r="L798" s="8"/>
      <c r="M798" s="8"/>
    </row>
    <row r="799">
      <c r="A799" s="6"/>
      <c r="B799" s="6"/>
      <c r="C799" s="8"/>
      <c r="D799" s="8"/>
      <c r="E799" s="8"/>
      <c r="F799" s="8"/>
      <c r="G799" s="8"/>
      <c r="H799" s="9"/>
      <c r="I799" s="9"/>
      <c r="J799" s="8"/>
      <c r="K799" s="8"/>
      <c r="L799" s="8"/>
      <c r="M799" s="8"/>
    </row>
    <row r="800">
      <c r="A800" s="6"/>
      <c r="B800" s="6"/>
      <c r="C800" s="8"/>
      <c r="D800" s="8"/>
      <c r="E800" s="8"/>
      <c r="F800" s="8"/>
      <c r="G800" s="8"/>
      <c r="H800" s="9"/>
      <c r="I800" s="9"/>
      <c r="J800" s="8"/>
      <c r="K800" s="8"/>
      <c r="L800" s="8"/>
      <c r="M800" s="8"/>
    </row>
    <row r="801">
      <c r="A801" s="6"/>
      <c r="B801" s="6"/>
      <c r="C801" s="8"/>
      <c r="D801" s="8"/>
      <c r="E801" s="8"/>
      <c r="F801" s="8"/>
      <c r="G801" s="8"/>
      <c r="H801" s="9"/>
      <c r="I801" s="9"/>
      <c r="J801" s="8"/>
      <c r="K801" s="8"/>
      <c r="L801" s="8"/>
      <c r="M801" s="8"/>
    </row>
    <row r="802">
      <c r="A802" s="6"/>
      <c r="B802" s="6"/>
      <c r="C802" s="8"/>
      <c r="D802" s="8"/>
      <c r="E802" s="8"/>
      <c r="F802" s="8"/>
      <c r="G802" s="8"/>
      <c r="H802" s="9"/>
      <c r="I802" s="9"/>
      <c r="J802" s="8"/>
      <c r="K802" s="8"/>
      <c r="L802" s="8"/>
      <c r="M802" s="8"/>
    </row>
    <row r="803">
      <c r="A803" s="6"/>
      <c r="B803" s="6"/>
      <c r="C803" s="8"/>
      <c r="D803" s="8"/>
      <c r="E803" s="8"/>
      <c r="F803" s="8"/>
      <c r="G803" s="8"/>
      <c r="H803" s="9"/>
      <c r="I803" s="9"/>
      <c r="J803" s="8"/>
      <c r="K803" s="8"/>
      <c r="L803" s="8"/>
      <c r="M803" s="8"/>
    </row>
    <row r="804">
      <c r="A804" s="6"/>
      <c r="B804" s="6"/>
      <c r="C804" s="8"/>
      <c r="D804" s="8"/>
      <c r="E804" s="8"/>
      <c r="F804" s="8"/>
      <c r="G804" s="8"/>
      <c r="H804" s="9"/>
      <c r="I804" s="9"/>
      <c r="J804" s="8"/>
      <c r="K804" s="8"/>
      <c r="L804" s="8"/>
      <c r="M804" s="8"/>
    </row>
    <row r="805">
      <c r="A805" s="6"/>
      <c r="B805" s="6"/>
      <c r="C805" s="8"/>
      <c r="D805" s="8"/>
      <c r="E805" s="8"/>
      <c r="F805" s="8"/>
      <c r="G805" s="8"/>
      <c r="H805" s="9"/>
      <c r="I805" s="9"/>
      <c r="J805" s="8"/>
      <c r="K805" s="8"/>
      <c r="L805" s="8"/>
      <c r="M805" s="8"/>
    </row>
    <row r="806">
      <c r="A806" s="6"/>
      <c r="B806" s="6"/>
      <c r="C806" s="8"/>
      <c r="D806" s="8"/>
      <c r="E806" s="8"/>
      <c r="F806" s="8"/>
      <c r="G806" s="8"/>
      <c r="H806" s="9"/>
      <c r="I806" s="9"/>
      <c r="J806" s="8"/>
      <c r="K806" s="8"/>
      <c r="L806" s="8"/>
      <c r="M806" s="8"/>
    </row>
    <row r="807">
      <c r="A807" s="6"/>
      <c r="B807" s="6"/>
      <c r="C807" s="8"/>
      <c r="D807" s="8"/>
      <c r="E807" s="8"/>
      <c r="F807" s="8"/>
      <c r="G807" s="8"/>
      <c r="H807" s="9"/>
      <c r="I807" s="9"/>
      <c r="J807" s="8"/>
      <c r="K807" s="8"/>
      <c r="L807" s="8"/>
      <c r="M807" s="8"/>
    </row>
    <row r="808">
      <c r="A808" s="6"/>
      <c r="B808" s="6"/>
      <c r="C808" s="8"/>
      <c r="D808" s="8"/>
      <c r="E808" s="8"/>
      <c r="F808" s="8"/>
      <c r="G808" s="8"/>
      <c r="H808" s="9"/>
      <c r="I808" s="9"/>
      <c r="J808" s="8"/>
      <c r="K808" s="8"/>
      <c r="L808" s="8"/>
      <c r="M808" s="8"/>
    </row>
    <row r="809">
      <c r="A809" s="6"/>
      <c r="B809" s="6"/>
      <c r="C809" s="8"/>
      <c r="D809" s="8"/>
      <c r="E809" s="8"/>
      <c r="F809" s="8"/>
      <c r="G809" s="8"/>
      <c r="H809" s="9"/>
      <c r="I809" s="9"/>
      <c r="J809" s="8"/>
      <c r="K809" s="8"/>
      <c r="L809" s="8"/>
      <c r="M809" s="8"/>
    </row>
    <row r="810">
      <c r="A810" s="6"/>
      <c r="B810" s="6"/>
      <c r="C810" s="8"/>
      <c r="D810" s="8"/>
      <c r="E810" s="8"/>
      <c r="F810" s="8"/>
      <c r="G810" s="8"/>
      <c r="H810" s="9"/>
      <c r="I810" s="9"/>
      <c r="J810" s="8"/>
      <c r="K810" s="8"/>
      <c r="L810" s="8"/>
      <c r="M810" s="8"/>
    </row>
    <row r="811">
      <c r="A811" s="6"/>
      <c r="B811" s="6"/>
      <c r="C811" s="8"/>
      <c r="D811" s="8"/>
      <c r="E811" s="8"/>
      <c r="F811" s="8"/>
      <c r="G811" s="8"/>
      <c r="H811" s="9"/>
      <c r="I811" s="9"/>
      <c r="J811" s="8"/>
      <c r="K811" s="8"/>
      <c r="L811" s="8"/>
      <c r="M811" s="8"/>
    </row>
    <row r="812">
      <c r="A812" s="6"/>
      <c r="B812" s="6"/>
      <c r="C812" s="8"/>
      <c r="D812" s="8"/>
      <c r="E812" s="8"/>
      <c r="F812" s="8"/>
      <c r="G812" s="8"/>
      <c r="H812" s="9"/>
      <c r="I812" s="9"/>
      <c r="J812" s="8"/>
      <c r="K812" s="8"/>
      <c r="L812" s="8"/>
      <c r="M812" s="8"/>
    </row>
    <row r="813">
      <c r="A813" s="6"/>
      <c r="B813" s="6"/>
      <c r="C813" s="8"/>
      <c r="D813" s="8"/>
      <c r="E813" s="8"/>
      <c r="F813" s="8"/>
      <c r="G813" s="8"/>
      <c r="H813" s="9"/>
      <c r="I813" s="9"/>
      <c r="J813" s="8"/>
      <c r="K813" s="8"/>
      <c r="L813" s="8"/>
      <c r="M813" s="8"/>
    </row>
    <row r="814">
      <c r="A814" s="6"/>
      <c r="B814" s="6"/>
      <c r="C814" s="8"/>
      <c r="D814" s="8"/>
      <c r="E814" s="8"/>
      <c r="F814" s="8"/>
      <c r="G814" s="8"/>
      <c r="H814" s="9"/>
      <c r="I814" s="9"/>
      <c r="J814" s="8"/>
      <c r="K814" s="8"/>
      <c r="L814" s="8"/>
      <c r="M814" s="8"/>
    </row>
    <row r="815">
      <c r="A815" s="6"/>
      <c r="B815" s="6"/>
      <c r="C815" s="8"/>
      <c r="D815" s="8"/>
      <c r="E815" s="8"/>
      <c r="F815" s="8"/>
      <c r="G815" s="8"/>
      <c r="H815" s="9"/>
      <c r="I815" s="9"/>
      <c r="J815" s="8"/>
      <c r="K815" s="8"/>
      <c r="L815" s="8"/>
      <c r="M815" s="8"/>
    </row>
    <row r="816">
      <c r="A816" s="6"/>
      <c r="B816" s="6"/>
      <c r="C816" s="8"/>
      <c r="D816" s="8"/>
      <c r="E816" s="8"/>
      <c r="F816" s="8"/>
      <c r="G816" s="8"/>
      <c r="H816" s="9"/>
      <c r="I816" s="9"/>
      <c r="J816" s="8"/>
      <c r="K816" s="8"/>
      <c r="L816" s="8"/>
      <c r="M816" s="8"/>
    </row>
    <row r="817">
      <c r="A817" s="6"/>
      <c r="B817" s="6"/>
      <c r="C817" s="8"/>
      <c r="D817" s="8"/>
      <c r="E817" s="8"/>
      <c r="F817" s="8"/>
      <c r="G817" s="8"/>
      <c r="H817" s="9"/>
      <c r="I817" s="9"/>
      <c r="J817" s="8"/>
      <c r="K817" s="8"/>
      <c r="L817" s="8"/>
      <c r="M817" s="8"/>
    </row>
    <row r="818">
      <c r="A818" s="6"/>
      <c r="B818" s="6"/>
      <c r="C818" s="8"/>
      <c r="D818" s="8"/>
      <c r="E818" s="8"/>
      <c r="F818" s="8"/>
      <c r="G818" s="8"/>
      <c r="H818" s="9"/>
      <c r="I818" s="9"/>
      <c r="J818" s="8"/>
      <c r="K818" s="8"/>
      <c r="L818" s="8"/>
      <c r="M818" s="8"/>
    </row>
    <row r="819">
      <c r="A819" s="6"/>
      <c r="B819" s="6"/>
      <c r="C819" s="8"/>
      <c r="D819" s="8"/>
      <c r="E819" s="8"/>
      <c r="F819" s="8"/>
      <c r="G819" s="8"/>
      <c r="H819" s="9"/>
      <c r="I819" s="9"/>
      <c r="J819" s="8"/>
      <c r="K819" s="8"/>
      <c r="L819" s="8"/>
      <c r="M819" s="8"/>
    </row>
    <row r="820">
      <c r="A820" s="6"/>
      <c r="B820" s="6"/>
      <c r="C820" s="8"/>
      <c r="D820" s="8"/>
      <c r="E820" s="8"/>
      <c r="F820" s="8"/>
      <c r="G820" s="8"/>
      <c r="H820" s="9"/>
      <c r="I820" s="9"/>
      <c r="J820" s="8"/>
      <c r="K820" s="8"/>
      <c r="L820" s="8"/>
      <c r="M820" s="8"/>
    </row>
    <row r="821">
      <c r="A821" s="6"/>
      <c r="B821" s="6"/>
      <c r="C821" s="8"/>
      <c r="D821" s="8"/>
      <c r="E821" s="8"/>
      <c r="F821" s="8"/>
      <c r="G821" s="8"/>
      <c r="H821" s="9"/>
      <c r="I821" s="9"/>
      <c r="J821" s="8"/>
      <c r="K821" s="8"/>
      <c r="L821" s="8"/>
      <c r="M821" s="8"/>
    </row>
    <row r="822">
      <c r="A822" s="6"/>
      <c r="B822" s="6"/>
      <c r="C822" s="8"/>
      <c r="D822" s="8"/>
      <c r="E822" s="8"/>
      <c r="F822" s="8"/>
      <c r="G822" s="8"/>
      <c r="H822" s="9"/>
      <c r="I822" s="9"/>
      <c r="J822" s="8"/>
      <c r="K822" s="8"/>
      <c r="L822" s="8"/>
      <c r="M822" s="8"/>
    </row>
    <row r="823">
      <c r="A823" s="6"/>
      <c r="B823" s="6"/>
      <c r="C823" s="8"/>
      <c r="D823" s="8"/>
      <c r="E823" s="8"/>
      <c r="F823" s="8"/>
      <c r="G823" s="8"/>
      <c r="H823" s="9"/>
      <c r="I823" s="9"/>
      <c r="J823" s="8"/>
      <c r="K823" s="8"/>
      <c r="L823" s="8"/>
      <c r="M823" s="8"/>
    </row>
    <row r="824">
      <c r="A824" s="6"/>
      <c r="B824" s="6"/>
      <c r="C824" s="8"/>
      <c r="D824" s="8"/>
      <c r="E824" s="8"/>
      <c r="F824" s="8"/>
      <c r="G824" s="8"/>
      <c r="H824" s="9"/>
      <c r="I824" s="9"/>
      <c r="J824" s="8"/>
      <c r="K824" s="8"/>
      <c r="L824" s="8"/>
      <c r="M824" s="8"/>
    </row>
    <row r="825">
      <c r="A825" s="6"/>
      <c r="B825" s="6"/>
      <c r="C825" s="8"/>
      <c r="D825" s="8"/>
      <c r="E825" s="8"/>
      <c r="F825" s="8"/>
      <c r="G825" s="8"/>
      <c r="H825" s="9"/>
      <c r="I825" s="9"/>
      <c r="J825" s="8"/>
      <c r="K825" s="8"/>
      <c r="L825" s="8"/>
      <c r="M825" s="8"/>
    </row>
    <row r="826">
      <c r="A826" s="6"/>
      <c r="B826" s="6"/>
      <c r="C826" s="8"/>
      <c r="D826" s="8"/>
      <c r="E826" s="8"/>
      <c r="F826" s="8"/>
      <c r="G826" s="8"/>
      <c r="H826" s="9"/>
      <c r="I826" s="9"/>
      <c r="J826" s="8"/>
      <c r="K826" s="8"/>
      <c r="L826" s="8"/>
      <c r="M826" s="8"/>
    </row>
    <row r="827">
      <c r="A827" s="6"/>
      <c r="B827" s="6"/>
      <c r="C827" s="8"/>
      <c r="D827" s="8"/>
      <c r="E827" s="8"/>
      <c r="F827" s="8"/>
      <c r="G827" s="8"/>
      <c r="H827" s="9"/>
      <c r="I827" s="9"/>
      <c r="J827" s="8"/>
      <c r="K827" s="8"/>
      <c r="L827" s="8"/>
      <c r="M827" s="8"/>
    </row>
    <row r="828">
      <c r="A828" s="6"/>
      <c r="B828" s="6"/>
      <c r="C828" s="8"/>
      <c r="D828" s="8"/>
      <c r="E828" s="8"/>
      <c r="F828" s="8"/>
      <c r="G828" s="8"/>
      <c r="H828" s="9"/>
      <c r="I828" s="9"/>
      <c r="J828" s="8"/>
      <c r="K828" s="8"/>
      <c r="L828" s="8"/>
      <c r="M828" s="8"/>
    </row>
    <row r="829">
      <c r="A829" s="6"/>
      <c r="B829" s="6"/>
      <c r="C829" s="8"/>
      <c r="D829" s="8"/>
      <c r="E829" s="8"/>
      <c r="F829" s="8"/>
      <c r="G829" s="8"/>
      <c r="H829" s="9"/>
      <c r="I829" s="9"/>
      <c r="J829" s="8"/>
      <c r="K829" s="8"/>
      <c r="L829" s="8"/>
      <c r="M829" s="8"/>
    </row>
    <row r="830">
      <c r="A830" s="6"/>
      <c r="B830" s="6"/>
      <c r="C830" s="8"/>
      <c r="D830" s="8"/>
      <c r="E830" s="8"/>
      <c r="F830" s="8"/>
      <c r="G830" s="8"/>
      <c r="H830" s="9"/>
      <c r="I830" s="9"/>
      <c r="J830" s="8"/>
      <c r="K830" s="8"/>
      <c r="L830" s="8"/>
      <c r="M830" s="8"/>
    </row>
    <row r="831">
      <c r="A831" s="6"/>
      <c r="B831" s="6"/>
      <c r="C831" s="8"/>
      <c r="D831" s="8"/>
      <c r="E831" s="8"/>
      <c r="F831" s="8"/>
      <c r="G831" s="8"/>
      <c r="H831" s="9"/>
      <c r="I831" s="9"/>
      <c r="J831" s="8"/>
      <c r="K831" s="8"/>
      <c r="L831" s="8"/>
      <c r="M831" s="8"/>
    </row>
    <row r="832">
      <c r="A832" s="6"/>
      <c r="B832" s="6"/>
      <c r="C832" s="8"/>
      <c r="D832" s="8"/>
      <c r="E832" s="8"/>
      <c r="F832" s="8"/>
      <c r="G832" s="8"/>
      <c r="H832" s="9"/>
      <c r="I832" s="9"/>
      <c r="J832" s="8"/>
      <c r="K832" s="8"/>
      <c r="L832" s="8"/>
      <c r="M832" s="8"/>
    </row>
    <row r="833">
      <c r="A833" s="6"/>
      <c r="B833" s="6"/>
      <c r="C833" s="8"/>
      <c r="D833" s="8"/>
      <c r="E833" s="8"/>
      <c r="F833" s="8"/>
      <c r="G833" s="8"/>
      <c r="H833" s="9"/>
      <c r="I833" s="9"/>
      <c r="J833" s="8"/>
      <c r="K833" s="8"/>
      <c r="L833" s="8"/>
      <c r="M833" s="8"/>
    </row>
    <row r="834">
      <c r="A834" s="6"/>
      <c r="B834" s="6"/>
      <c r="C834" s="8"/>
      <c r="D834" s="8"/>
      <c r="E834" s="8"/>
      <c r="F834" s="8"/>
      <c r="G834" s="8"/>
      <c r="H834" s="9"/>
      <c r="I834" s="9"/>
      <c r="J834" s="8"/>
      <c r="K834" s="8"/>
      <c r="L834" s="8"/>
      <c r="M834" s="8"/>
    </row>
    <row r="835">
      <c r="A835" s="6"/>
      <c r="B835" s="6"/>
      <c r="C835" s="8"/>
      <c r="D835" s="8"/>
      <c r="E835" s="8"/>
      <c r="F835" s="8"/>
      <c r="G835" s="8"/>
      <c r="H835" s="9"/>
      <c r="I835" s="9"/>
      <c r="J835" s="8"/>
      <c r="K835" s="8"/>
      <c r="L835" s="8"/>
      <c r="M835" s="8"/>
    </row>
    <row r="836">
      <c r="A836" s="6"/>
      <c r="B836" s="6"/>
      <c r="C836" s="8"/>
      <c r="D836" s="8"/>
      <c r="E836" s="8"/>
      <c r="F836" s="8"/>
      <c r="G836" s="8"/>
      <c r="H836" s="9"/>
      <c r="I836" s="9"/>
      <c r="J836" s="8"/>
      <c r="K836" s="8"/>
      <c r="L836" s="8"/>
      <c r="M836" s="8"/>
    </row>
    <row r="837">
      <c r="A837" s="6"/>
      <c r="B837" s="6"/>
      <c r="C837" s="8"/>
      <c r="D837" s="8"/>
      <c r="E837" s="8"/>
      <c r="F837" s="8"/>
      <c r="G837" s="8"/>
      <c r="H837" s="9"/>
      <c r="I837" s="9"/>
      <c r="J837" s="8"/>
      <c r="K837" s="8"/>
      <c r="L837" s="8"/>
      <c r="M837" s="8"/>
    </row>
    <row r="838">
      <c r="A838" s="6"/>
      <c r="B838" s="6"/>
      <c r="C838" s="8"/>
      <c r="D838" s="8"/>
      <c r="E838" s="8"/>
      <c r="F838" s="8"/>
      <c r="G838" s="8"/>
      <c r="H838" s="9"/>
      <c r="I838" s="9"/>
      <c r="J838" s="8"/>
      <c r="K838" s="8"/>
      <c r="L838" s="8"/>
      <c r="M838" s="8"/>
    </row>
    <row r="839">
      <c r="A839" s="6"/>
      <c r="B839" s="6"/>
      <c r="C839" s="8"/>
      <c r="D839" s="8"/>
      <c r="E839" s="8"/>
      <c r="F839" s="8"/>
      <c r="G839" s="8"/>
      <c r="H839" s="9"/>
      <c r="I839" s="9"/>
      <c r="J839" s="8"/>
      <c r="K839" s="8"/>
      <c r="L839" s="8"/>
      <c r="M839" s="8"/>
    </row>
    <row r="840">
      <c r="A840" s="6"/>
      <c r="B840" s="6"/>
      <c r="C840" s="8"/>
      <c r="D840" s="8"/>
      <c r="E840" s="8"/>
      <c r="F840" s="8"/>
      <c r="G840" s="8"/>
      <c r="H840" s="9"/>
      <c r="I840" s="9"/>
      <c r="J840" s="8"/>
      <c r="K840" s="8"/>
      <c r="L840" s="8"/>
      <c r="M840" s="8"/>
    </row>
    <row r="841">
      <c r="A841" s="6"/>
      <c r="B841" s="6"/>
      <c r="C841" s="8"/>
      <c r="D841" s="8"/>
      <c r="E841" s="8"/>
      <c r="F841" s="8"/>
      <c r="G841" s="8"/>
      <c r="H841" s="9"/>
      <c r="I841" s="9"/>
      <c r="J841" s="8"/>
      <c r="K841" s="8"/>
      <c r="L841" s="8"/>
      <c r="M841" s="8"/>
    </row>
    <row r="842">
      <c r="A842" s="6"/>
      <c r="B842" s="6"/>
      <c r="C842" s="8"/>
      <c r="D842" s="8"/>
      <c r="E842" s="8"/>
      <c r="F842" s="8"/>
      <c r="G842" s="8"/>
      <c r="H842" s="9"/>
      <c r="I842" s="9"/>
      <c r="J842" s="8"/>
      <c r="K842" s="8"/>
      <c r="L842" s="8"/>
      <c r="M842" s="8"/>
    </row>
    <row r="843">
      <c r="A843" s="6"/>
      <c r="B843" s="6"/>
      <c r="C843" s="8"/>
      <c r="D843" s="8"/>
      <c r="E843" s="8"/>
      <c r="F843" s="8"/>
      <c r="G843" s="8"/>
      <c r="H843" s="9"/>
      <c r="I843" s="9"/>
      <c r="J843" s="8"/>
      <c r="K843" s="8"/>
      <c r="L843" s="8"/>
      <c r="M843" s="8"/>
    </row>
    <row r="844">
      <c r="A844" s="6"/>
      <c r="B844" s="6"/>
      <c r="C844" s="8"/>
      <c r="D844" s="8"/>
      <c r="E844" s="8"/>
      <c r="F844" s="8"/>
      <c r="G844" s="8"/>
      <c r="H844" s="9"/>
      <c r="I844" s="9"/>
      <c r="J844" s="8"/>
      <c r="K844" s="8"/>
      <c r="L844" s="8"/>
      <c r="M844" s="8"/>
    </row>
    <row r="845">
      <c r="A845" s="6"/>
      <c r="B845" s="6"/>
      <c r="C845" s="8"/>
      <c r="D845" s="8"/>
      <c r="E845" s="8"/>
      <c r="F845" s="8"/>
      <c r="G845" s="8"/>
      <c r="H845" s="9"/>
      <c r="I845" s="9"/>
      <c r="J845" s="8"/>
      <c r="K845" s="8"/>
      <c r="L845" s="8"/>
      <c r="M845" s="8"/>
    </row>
    <row r="846">
      <c r="A846" s="6"/>
      <c r="B846" s="6"/>
      <c r="C846" s="8"/>
      <c r="D846" s="8"/>
      <c r="E846" s="8"/>
      <c r="F846" s="8"/>
      <c r="G846" s="8"/>
      <c r="H846" s="9"/>
      <c r="I846" s="9"/>
      <c r="J846" s="8"/>
      <c r="K846" s="8"/>
      <c r="L846" s="8"/>
      <c r="M846" s="8"/>
    </row>
    <row r="847">
      <c r="A847" s="6"/>
      <c r="B847" s="6"/>
      <c r="C847" s="8"/>
      <c r="D847" s="8"/>
      <c r="E847" s="8"/>
      <c r="F847" s="8"/>
      <c r="G847" s="8"/>
      <c r="H847" s="9"/>
      <c r="I847" s="9"/>
      <c r="J847" s="8"/>
      <c r="K847" s="8"/>
      <c r="L847" s="8"/>
      <c r="M847" s="8"/>
    </row>
    <row r="848">
      <c r="A848" s="6"/>
      <c r="B848" s="6"/>
      <c r="C848" s="8"/>
      <c r="D848" s="8"/>
      <c r="E848" s="8"/>
      <c r="F848" s="8"/>
      <c r="G848" s="8"/>
      <c r="H848" s="9"/>
      <c r="I848" s="9"/>
      <c r="J848" s="8"/>
      <c r="K848" s="8"/>
      <c r="L848" s="8"/>
      <c r="M848" s="8"/>
    </row>
    <row r="849">
      <c r="A849" s="6"/>
      <c r="B849" s="6"/>
      <c r="C849" s="8"/>
      <c r="D849" s="8"/>
      <c r="E849" s="8"/>
      <c r="F849" s="8"/>
      <c r="G849" s="8"/>
      <c r="H849" s="9"/>
      <c r="I849" s="9"/>
      <c r="J849" s="8"/>
      <c r="K849" s="8"/>
      <c r="L849" s="8"/>
      <c r="M849" s="8"/>
    </row>
    <row r="850">
      <c r="A850" s="6"/>
      <c r="B850" s="6"/>
      <c r="C850" s="8"/>
      <c r="D850" s="8"/>
      <c r="E850" s="8"/>
      <c r="F850" s="8"/>
      <c r="G850" s="8"/>
      <c r="H850" s="9"/>
      <c r="I850" s="9"/>
      <c r="J850" s="8"/>
      <c r="K850" s="8"/>
      <c r="L850" s="8"/>
      <c r="M850" s="8"/>
    </row>
    <row r="851">
      <c r="A851" s="6"/>
      <c r="B851" s="6"/>
      <c r="C851" s="8"/>
      <c r="D851" s="8"/>
      <c r="E851" s="8"/>
      <c r="F851" s="8"/>
      <c r="G851" s="8"/>
      <c r="H851" s="9"/>
      <c r="I851" s="9"/>
      <c r="J851" s="8"/>
      <c r="K851" s="8"/>
      <c r="L851" s="8"/>
      <c r="M851" s="8"/>
    </row>
    <row r="852">
      <c r="A852" s="6"/>
      <c r="B852" s="6"/>
      <c r="C852" s="8"/>
      <c r="D852" s="8"/>
      <c r="E852" s="8"/>
      <c r="F852" s="8"/>
      <c r="G852" s="8"/>
      <c r="H852" s="9"/>
      <c r="I852" s="9"/>
      <c r="J852" s="8"/>
      <c r="K852" s="8"/>
      <c r="L852" s="8"/>
      <c r="M852" s="8"/>
    </row>
    <row r="853">
      <c r="A853" s="6"/>
      <c r="B853" s="6"/>
      <c r="C853" s="8"/>
      <c r="D853" s="8"/>
      <c r="E853" s="8"/>
      <c r="F853" s="8"/>
      <c r="G853" s="8"/>
      <c r="H853" s="9"/>
      <c r="I853" s="9"/>
      <c r="J853" s="8"/>
      <c r="K853" s="8"/>
      <c r="L853" s="8"/>
      <c r="M853" s="8"/>
    </row>
    <row r="854">
      <c r="A854" s="6"/>
      <c r="B854" s="6"/>
      <c r="C854" s="8"/>
      <c r="D854" s="8"/>
      <c r="E854" s="8"/>
      <c r="F854" s="8"/>
      <c r="G854" s="8"/>
      <c r="H854" s="9"/>
      <c r="I854" s="9"/>
      <c r="J854" s="8"/>
      <c r="K854" s="8"/>
      <c r="L854" s="8"/>
      <c r="M854" s="8"/>
    </row>
    <row r="855">
      <c r="A855" s="6"/>
      <c r="B855" s="6"/>
      <c r="C855" s="8"/>
      <c r="D855" s="8"/>
      <c r="E855" s="8"/>
      <c r="F855" s="8"/>
      <c r="G855" s="8"/>
      <c r="H855" s="9"/>
      <c r="I855" s="9"/>
      <c r="J855" s="8"/>
      <c r="K855" s="8"/>
      <c r="L855" s="8"/>
      <c r="M855" s="8"/>
    </row>
    <row r="856">
      <c r="A856" s="6"/>
      <c r="B856" s="6"/>
      <c r="C856" s="8"/>
      <c r="D856" s="8"/>
      <c r="E856" s="8"/>
      <c r="F856" s="8"/>
      <c r="G856" s="8"/>
      <c r="H856" s="9"/>
      <c r="I856" s="9"/>
      <c r="J856" s="8"/>
      <c r="K856" s="8"/>
      <c r="L856" s="8"/>
      <c r="M856" s="8"/>
    </row>
    <row r="857">
      <c r="A857" s="6"/>
      <c r="B857" s="6"/>
      <c r="C857" s="8"/>
      <c r="D857" s="8"/>
      <c r="E857" s="8"/>
      <c r="F857" s="8"/>
      <c r="G857" s="8"/>
      <c r="H857" s="9"/>
      <c r="I857" s="9"/>
      <c r="J857" s="8"/>
      <c r="K857" s="8"/>
      <c r="L857" s="8"/>
      <c r="M857" s="8"/>
    </row>
    <row r="858">
      <c r="A858" s="6"/>
      <c r="B858" s="6"/>
      <c r="C858" s="8"/>
      <c r="D858" s="8"/>
      <c r="E858" s="8"/>
      <c r="F858" s="8"/>
      <c r="G858" s="8"/>
      <c r="H858" s="9"/>
      <c r="I858" s="9"/>
      <c r="J858" s="8"/>
      <c r="K858" s="8"/>
      <c r="L858" s="8"/>
      <c r="M858" s="8"/>
    </row>
    <row r="859">
      <c r="A859" s="6"/>
      <c r="B859" s="6"/>
      <c r="C859" s="8"/>
      <c r="D859" s="8"/>
      <c r="E859" s="8"/>
      <c r="F859" s="8"/>
      <c r="G859" s="8"/>
      <c r="H859" s="9"/>
      <c r="I859" s="9"/>
      <c r="J859" s="8"/>
      <c r="K859" s="8"/>
      <c r="L859" s="8"/>
      <c r="M859" s="8"/>
    </row>
    <row r="860">
      <c r="A860" s="6"/>
      <c r="B860" s="6"/>
      <c r="C860" s="8"/>
      <c r="D860" s="8"/>
      <c r="E860" s="8"/>
      <c r="F860" s="8"/>
      <c r="G860" s="8"/>
      <c r="H860" s="9"/>
      <c r="I860" s="9"/>
      <c r="J860" s="8"/>
      <c r="K860" s="8"/>
      <c r="L860" s="8"/>
      <c r="M860" s="8"/>
    </row>
    <row r="861">
      <c r="A861" s="6"/>
      <c r="B861" s="6"/>
      <c r="C861" s="8"/>
      <c r="D861" s="8"/>
      <c r="E861" s="8"/>
      <c r="F861" s="8"/>
      <c r="G861" s="8"/>
      <c r="H861" s="9"/>
      <c r="I861" s="9"/>
      <c r="J861" s="8"/>
      <c r="K861" s="8"/>
      <c r="L861" s="8"/>
      <c r="M861" s="8"/>
    </row>
    <row r="862">
      <c r="A862" s="6"/>
      <c r="B862" s="6"/>
      <c r="C862" s="8"/>
      <c r="D862" s="8"/>
      <c r="E862" s="8"/>
      <c r="F862" s="8"/>
      <c r="G862" s="8"/>
      <c r="H862" s="9"/>
      <c r="I862" s="9"/>
      <c r="J862" s="8"/>
      <c r="K862" s="8"/>
      <c r="L862" s="8"/>
      <c r="M862" s="8"/>
    </row>
    <row r="863">
      <c r="A863" s="6"/>
      <c r="B863" s="6"/>
      <c r="C863" s="8"/>
      <c r="D863" s="8"/>
      <c r="E863" s="8"/>
      <c r="F863" s="8"/>
      <c r="G863" s="8"/>
      <c r="H863" s="9"/>
      <c r="I863" s="9"/>
      <c r="J863" s="8"/>
      <c r="K863" s="8"/>
      <c r="L863" s="8"/>
      <c r="M863" s="8"/>
    </row>
    <row r="864">
      <c r="A864" s="6"/>
      <c r="B864" s="6"/>
      <c r="C864" s="8"/>
      <c r="D864" s="8"/>
      <c r="E864" s="8"/>
      <c r="F864" s="8"/>
      <c r="G864" s="8"/>
      <c r="H864" s="9"/>
      <c r="I864" s="9"/>
      <c r="J864" s="8"/>
      <c r="K864" s="8"/>
      <c r="L864" s="8"/>
      <c r="M864" s="8"/>
    </row>
    <row r="865">
      <c r="A865" s="6"/>
      <c r="B865" s="6"/>
      <c r="C865" s="8"/>
      <c r="D865" s="8"/>
      <c r="E865" s="8"/>
      <c r="F865" s="8"/>
      <c r="G865" s="8"/>
      <c r="H865" s="9"/>
      <c r="I865" s="9"/>
      <c r="J865" s="8"/>
      <c r="K865" s="8"/>
      <c r="L865" s="8"/>
      <c r="M865" s="8"/>
    </row>
    <row r="866">
      <c r="A866" s="6"/>
      <c r="B866" s="6"/>
      <c r="C866" s="8"/>
      <c r="D866" s="8"/>
      <c r="E866" s="8"/>
      <c r="F866" s="8"/>
      <c r="G866" s="8"/>
      <c r="H866" s="9"/>
      <c r="I866" s="9"/>
      <c r="J866" s="8"/>
      <c r="K866" s="8"/>
      <c r="L866" s="8"/>
      <c r="M866" s="8"/>
    </row>
    <row r="867">
      <c r="A867" s="6"/>
      <c r="B867" s="6"/>
      <c r="C867" s="8"/>
      <c r="D867" s="8"/>
      <c r="E867" s="8"/>
      <c r="F867" s="8"/>
      <c r="G867" s="8"/>
      <c r="H867" s="9"/>
      <c r="I867" s="9"/>
      <c r="J867" s="8"/>
      <c r="K867" s="8"/>
      <c r="L867" s="8"/>
      <c r="M867" s="8"/>
    </row>
    <row r="868">
      <c r="A868" s="6"/>
      <c r="B868" s="6"/>
      <c r="C868" s="8"/>
      <c r="D868" s="8"/>
      <c r="E868" s="8"/>
      <c r="F868" s="8"/>
      <c r="G868" s="8"/>
      <c r="H868" s="9"/>
      <c r="I868" s="9"/>
      <c r="J868" s="8"/>
      <c r="K868" s="8"/>
      <c r="L868" s="8"/>
      <c r="M868" s="8"/>
    </row>
    <row r="869">
      <c r="A869" s="6"/>
      <c r="B869" s="6"/>
      <c r="C869" s="8"/>
      <c r="D869" s="8"/>
      <c r="E869" s="8"/>
      <c r="F869" s="8"/>
      <c r="G869" s="8"/>
      <c r="H869" s="9"/>
      <c r="I869" s="9"/>
      <c r="J869" s="8"/>
      <c r="K869" s="8"/>
      <c r="L869" s="8"/>
      <c r="M869" s="8"/>
    </row>
    <row r="870">
      <c r="A870" s="6"/>
      <c r="B870" s="6"/>
      <c r="C870" s="8"/>
      <c r="D870" s="8"/>
      <c r="E870" s="8"/>
      <c r="F870" s="8"/>
      <c r="G870" s="8"/>
      <c r="H870" s="9"/>
      <c r="I870" s="9"/>
      <c r="J870" s="8"/>
      <c r="K870" s="8"/>
      <c r="L870" s="8"/>
      <c r="M870" s="8"/>
    </row>
    <row r="871">
      <c r="A871" s="6"/>
      <c r="B871" s="6"/>
      <c r="C871" s="8"/>
      <c r="D871" s="8"/>
      <c r="E871" s="8"/>
      <c r="F871" s="8"/>
      <c r="G871" s="8"/>
      <c r="H871" s="9"/>
      <c r="I871" s="9"/>
      <c r="J871" s="8"/>
      <c r="K871" s="8"/>
      <c r="L871" s="8"/>
      <c r="M871" s="8"/>
    </row>
    <row r="872">
      <c r="A872" s="6"/>
      <c r="B872" s="6"/>
      <c r="C872" s="8"/>
      <c r="D872" s="8"/>
      <c r="E872" s="8"/>
      <c r="F872" s="8"/>
      <c r="G872" s="8"/>
      <c r="H872" s="9"/>
      <c r="I872" s="9"/>
      <c r="J872" s="8"/>
      <c r="K872" s="8"/>
      <c r="L872" s="8"/>
      <c r="M872" s="8"/>
    </row>
    <row r="873">
      <c r="A873" s="6"/>
      <c r="B873" s="6"/>
      <c r="C873" s="8"/>
      <c r="D873" s="8"/>
      <c r="E873" s="8"/>
      <c r="F873" s="8"/>
      <c r="G873" s="8"/>
      <c r="H873" s="9"/>
      <c r="I873" s="9"/>
      <c r="J873" s="8"/>
      <c r="K873" s="8"/>
      <c r="L873" s="8"/>
      <c r="M873" s="8"/>
    </row>
    <row r="874">
      <c r="A874" s="6"/>
      <c r="B874" s="6"/>
      <c r="C874" s="8"/>
      <c r="D874" s="8"/>
      <c r="E874" s="8"/>
      <c r="F874" s="8"/>
      <c r="G874" s="8"/>
      <c r="H874" s="9"/>
      <c r="I874" s="9"/>
      <c r="J874" s="8"/>
      <c r="K874" s="8"/>
      <c r="L874" s="8"/>
      <c r="M874" s="8"/>
    </row>
    <row r="875">
      <c r="A875" s="6"/>
      <c r="B875" s="6"/>
      <c r="C875" s="8"/>
      <c r="D875" s="8"/>
      <c r="E875" s="8"/>
      <c r="F875" s="8"/>
      <c r="G875" s="8"/>
      <c r="H875" s="9"/>
      <c r="I875" s="9"/>
      <c r="J875" s="8"/>
      <c r="K875" s="8"/>
      <c r="L875" s="8"/>
      <c r="M875" s="8"/>
    </row>
    <row r="876">
      <c r="A876" s="6"/>
      <c r="B876" s="6"/>
      <c r="C876" s="8"/>
      <c r="D876" s="8"/>
      <c r="E876" s="8"/>
      <c r="F876" s="8"/>
      <c r="G876" s="8"/>
      <c r="H876" s="9"/>
      <c r="I876" s="9"/>
      <c r="J876" s="8"/>
      <c r="K876" s="8"/>
      <c r="L876" s="8"/>
      <c r="M876" s="8"/>
    </row>
    <row r="877">
      <c r="A877" s="6"/>
      <c r="B877" s="6"/>
      <c r="C877" s="8"/>
      <c r="D877" s="8"/>
      <c r="E877" s="8"/>
      <c r="F877" s="8"/>
      <c r="G877" s="8"/>
      <c r="H877" s="9"/>
      <c r="I877" s="9"/>
      <c r="J877" s="8"/>
      <c r="K877" s="8"/>
      <c r="L877" s="8"/>
      <c r="M877" s="8"/>
    </row>
    <row r="878">
      <c r="A878" s="6"/>
      <c r="B878" s="6"/>
      <c r="C878" s="8"/>
      <c r="D878" s="8"/>
      <c r="E878" s="8"/>
      <c r="F878" s="8"/>
      <c r="G878" s="8"/>
      <c r="H878" s="9"/>
      <c r="I878" s="9"/>
      <c r="J878" s="8"/>
      <c r="K878" s="8"/>
      <c r="L878" s="8"/>
      <c r="M878" s="8"/>
    </row>
    <row r="879">
      <c r="A879" s="6"/>
      <c r="B879" s="6"/>
      <c r="C879" s="8"/>
      <c r="D879" s="8"/>
      <c r="E879" s="8"/>
      <c r="F879" s="8"/>
      <c r="G879" s="8"/>
      <c r="H879" s="9"/>
      <c r="I879" s="9"/>
      <c r="J879" s="8"/>
      <c r="K879" s="8"/>
      <c r="L879" s="8"/>
      <c r="M879" s="8"/>
    </row>
    <row r="880">
      <c r="A880" s="6"/>
      <c r="B880" s="6"/>
      <c r="C880" s="8"/>
      <c r="D880" s="8"/>
      <c r="E880" s="8"/>
      <c r="F880" s="8"/>
      <c r="G880" s="8"/>
      <c r="H880" s="9"/>
      <c r="I880" s="9"/>
      <c r="J880" s="8"/>
      <c r="K880" s="8"/>
      <c r="L880" s="8"/>
      <c r="M880" s="8"/>
    </row>
    <row r="881">
      <c r="A881" s="6"/>
      <c r="B881" s="6"/>
      <c r="C881" s="8"/>
      <c r="D881" s="8"/>
      <c r="E881" s="8"/>
      <c r="F881" s="8"/>
      <c r="G881" s="8"/>
      <c r="H881" s="9"/>
      <c r="I881" s="9"/>
      <c r="J881" s="8"/>
      <c r="K881" s="8"/>
      <c r="L881" s="8"/>
      <c r="M881" s="8"/>
    </row>
    <row r="882">
      <c r="A882" s="6"/>
      <c r="B882" s="6"/>
      <c r="C882" s="8"/>
      <c r="D882" s="8"/>
      <c r="E882" s="8"/>
      <c r="F882" s="8"/>
      <c r="G882" s="8"/>
      <c r="H882" s="9"/>
      <c r="I882" s="9"/>
      <c r="J882" s="8"/>
      <c r="K882" s="8"/>
      <c r="L882" s="8"/>
      <c r="M882" s="8"/>
    </row>
    <row r="883">
      <c r="A883" s="6"/>
      <c r="B883" s="6"/>
      <c r="C883" s="8"/>
      <c r="D883" s="8"/>
      <c r="E883" s="8"/>
      <c r="F883" s="8"/>
      <c r="G883" s="8"/>
      <c r="H883" s="9"/>
      <c r="I883" s="9"/>
      <c r="J883" s="8"/>
      <c r="K883" s="8"/>
      <c r="L883" s="8"/>
      <c r="M883" s="8"/>
    </row>
    <row r="884">
      <c r="A884" s="6"/>
      <c r="B884" s="6"/>
      <c r="C884" s="8"/>
      <c r="D884" s="8"/>
      <c r="E884" s="8"/>
      <c r="F884" s="8"/>
      <c r="G884" s="8"/>
      <c r="H884" s="9"/>
      <c r="I884" s="9"/>
      <c r="J884" s="8"/>
      <c r="K884" s="8"/>
      <c r="L884" s="8"/>
      <c r="M884" s="8"/>
    </row>
    <row r="885">
      <c r="A885" s="6"/>
      <c r="B885" s="6"/>
      <c r="C885" s="8"/>
      <c r="D885" s="8"/>
      <c r="E885" s="8"/>
      <c r="F885" s="8"/>
      <c r="G885" s="8"/>
      <c r="H885" s="9"/>
      <c r="I885" s="9"/>
      <c r="J885" s="8"/>
      <c r="K885" s="8"/>
      <c r="L885" s="8"/>
      <c r="M885" s="8"/>
    </row>
    <row r="886">
      <c r="A886" s="6"/>
      <c r="B886" s="6"/>
      <c r="C886" s="8"/>
      <c r="D886" s="8"/>
      <c r="E886" s="8"/>
      <c r="F886" s="8"/>
      <c r="G886" s="8"/>
      <c r="H886" s="9"/>
      <c r="I886" s="9"/>
      <c r="J886" s="8"/>
      <c r="K886" s="8"/>
      <c r="L886" s="8"/>
      <c r="M886" s="8"/>
    </row>
    <row r="887">
      <c r="A887" s="6"/>
      <c r="B887" s="6"/>
      <c r="C887" s="8"/>
      <c r="D887" s="8"/>
      <c r="E887" s="8"/>
      <c r="F887" s="8"/>
      <c r="G887" s="8"/>
      <c r="H887" s="9"/>
      <c r="I887" s="9"/>
      <c r="J887" s="8"/>
      <c r="K887" s="8"/>
      <c r="L887" s="8"/>
      <c r="M887" s="8"/>
    </row>
    <row r="888">
      <c r="A888" s="6"/>
      <c r="B888" s="6"/>
      <c r="C888" s="8"/>
      <c r="D888" s="8"/>
      <c r="E888" s="8"/>
      <c r="F888" s="8"/>
      <c r="G888" s="8"/>
      <c r="H888" s="9"/>
      <c r="I888" s="9"/>
      <c r="J888" s="8"/>
      <c r="K888" s="8"/>
      <c r="L888" s="8"/>
      <c r="M888" s="8"/>
    </row>
    <row r="889">
      <c r="A889" s="6"/>
      <c r="B889" s="6"/>
      <c r="C889" s="8"/>
      <c r="D889" s="8"/>
      <c r="E889" s="8"/>
      <c r="F889" s="8"/>
      <c r="G889" s="8"/>
      <c r="H889" s="9"/>
      <c r="I889" s="9"/>
      <c r="J889" s="8"/>
      <c r="K889" s="8"/>
      <c r="L889" s="8"/>
      <c r="M889" s="8"/>
    </row>
    <row r="890">
      <c r="A890" s="6"/>
      <c r="B890" s="6"/>
      <c r="C890" s="8"/>
      <c r="D890" s="8"/>
      <c r="E890" s="8"/>
      <c r="F890" s="8"/>
      <c r="G890" s="8"/>
      <c r="H890" s="9"/>
      <c r="I890" s="9"/>
      <c r="J890" s="8"/>
      <c r="K890" s="8"/>
      <c r="L890" s="8"/>
      <c r="M890" s="8"/>
    </row>
    <row r="891">
      <c r="A891" s="6"/>
      <c r="B891" s="6"/>
      <c r="C891" s="8"/>
      <c r="D891" s="8"/>
      <c r="E891" s="8"/>
      <c r="F891" s="8"/>
      <c r="G891" s="8"/>
      <c r="H891" s="9"/>
      <c r="I891" s="9"/>
      <c r="J891" s="8"/>
      <c r="K891" s="8"/>
      <c r="L891" s="8"/>
      <c r="M891" s="8"/>
    </row>
    <row r="892">
      <c r="A892" s="6"/>
      <c r="B892" s="6"/>
      <c r="C892" s="8"/>
      <c r="D892" s="8"/>
      <c r="E892" s="8"/>
      <c r="F892" s="8"/>
      <c r="G892" s="8"/>
      <c r="H892" s="9"/>
      <c r="I892" s="9"/>
      <c r="J892" s="8"/>
      <c r="K892" s="8"/>
      <c r="L892" s="8"/>
      <c r="M892" s="8"/>
    </row>
    <row r="893">
      <c r="A893" s="6"/>
      <c r="B893" s="6"/>
      <c r="C893" s="8"/>
      <c r="D893" s="8"/>
      <c r="E893" s="8"/>
      <c r="F893" s="8"/>
      <c r="G893" s="8"/>
      <c r="H893" s="9"/>
      <c r="I893" s="9"/>
      <c r="J893" s="8"/>
      <c r="K893" s="8"/>
      <c r="L893" s="8"/>
      <c r="M893" s="8"/>
    </row>
    <row r="894">
      <c r="A894" s="6"/>
      <c r="B894" s="6"/>
      <c r="C894" s="8"/>
      <c r="D894" s="8"/>
      <c r="E894" s="8"/>
      <c r="F894" s="8"/>
      <c r="G894" s="8"/>
      <c r="H894" s="9"/>
      <c r="I894" s="9"/>
      <c r="J894" s="8"/>
      <c r="K894" s="8"/>
      <c r="L894" s="8"/>
      <c r="M894" s="8"/>
    </row>
    <row r="895">
      <c r="A895" s="6"/>
      <c r="B895" s="6"/>
      <c r="C895" s="8"/>
      <c r="D895" s="8"/>
      <c r="E895" s="8"/>
      <c r="F895" s="8"/>
      <c r="G895" s="8"/>
      <c r="H895" s="9"/>
      <c r="I895" s="9"/>
      <c r="J895" s="8"/>
      <c r="K895" s="8"/>
      <c r="L895" s="8"/>
      <c r="M895" s="8"/>
    </row>
    <row r="896">
      <c r="A896" s="6"/>
      <c r="B896" s="6"/>
      <c r="C896" s="8"/>
      <c r="D896" s="8"/>
      <c r="E896" s="8"/>
      <c r="F896" s="8"/>
      <c r="G896" s="8"/>
      <c r="H896" s="9"/>
      <c r="I896" s="9"/>
      <c r="J896" s="8"/>
      <c r="K896" s="8"/>
      <c r="L896" s="8"/>
      <c r="M896" s="8"/>
    </row>
    <row r="897">
      <c r="A897" s="6"/>
      <c r="B897" s="6"/>
      <c r="C897" s="8"/>
      <c r="D897" s="8"/>
      <c r="E897" s="8"/>
      <c r="F897" s="8"/>
      <c r="G897" s="8"/>
      <c r="H897" s="9"/>
      <c r="I897" s="9"/>
      <c r="J897" s="8"/>
      <c r="K897" s="8"/>
      <c r="L897" s="8"/>
      <c r="M897" s="8"/>
    </row>
    <row r="898">
      <c r="A898" s="6"/>
      <c r="B898" s="6"/>
      <c r="C898" s="8"/>
      <c r="D898" s="8"/>
      <c r="E898" s="8"/>
      <c r="F898" s="8"/>
      <c r="G898" s="8"/>
      <c r="H898" s="9"/>
      <c r="I898" s="9"/>
      <c r="J898" s="8"/>
      <c r="K898" s="8"/>
      <c r="L898" s="8"/>
      <c r="M898" s="8"/>
    </row>
    <row r="899">
      <c r="A899" s="6"/>
      <c r="B899" s="6"/>
      <c r="C899" s="8"/>
      <c r="D899" s="8"/>
      <c r="E899" s="8"/>
      <c r="F899" s="8"/>
      <c r="G899" s="8"/>
      <c r="H899" s="9"/>
      <c r="I899" s="9"/>
      <c r="J899" s="8"/>
      <c r="K899" s="8"/>
      <c r="L899" s="8"/>
      <c r="M899" s="8"/>
    </row>
    <row r="900">
      <c r="A900" s="6"/>
      <c r="B900" s="6"/>
      <c r="C900" s="8"/>
      <c r="D900" s="8"/>
      <c r="E900" s="8"/>
      <c r="F900" s="8"/>
      <c r="G900" s="8"/>
      <c r="H900" s="9"/>
      <c r="I900" s="9"/>
      <c r="J900" s="8"/>
      <c r="K900" s="8"/>
      <c r="L900" s="8"/>
      <c r="M900" s="8"/>
    </row>
    <row r="901">
      <c r="A901" s="6"/>
      <c r="B901" s="6"/>
      <c r="C901" s="8"/>
      <c r="D901" s="8"/>
      <c r="E901" s="8"/>
      <c r="F901" s="8"/>
      <c r="G901" s="8"/>
      <c r="H901" s="9"/>
      <c r="I901" s="9"/>
      <c r="J901" s="8"/>
      <c r="K901" s="8"/>
      <c r="L901" s="8"/>
      <c r="M901" s="8"/>
    </row>
    <row r="902">
      <c r="A902" s="6"/>
      <c r="B902" s="6"/>
      <c r="C902" s="8"/>
      <c r="D902" s="8"/>
      <c r="E902" s="8"/>
      <c r="F902" s="8"/>
      <c r="G902" s="8"/>
      <c r="H902" s="9"/>
      <c r="I902" s="9"/>
      <c r="J902" s="8"/>
      <c r="K902" s="8"/>
      <c r="L902" s="8"/>
      <c r="M902" s="8"/>
    </row>
    <row r="903">
      <c r="A903" s="6"/>
      <c r="B903" s="6"/>
      <c r="C903" s="8"/>
      <c r="D903" s="8"/>
      <c r="E903" s="8"/>
      <c r="F903" s="8"/>
      <c r="G903" s="8"/>
      <c r="H903" s="9"/>
      <c r="I903" s="9"/>
      <c r="J903" s="8"/>
      <c r="K903" s="8"/>
      <c r="L903" s="8"/>
      <c r="M903" s="8"/>
    </row>
    <row r="904">
      <c r="A904" s="6"/>
      <c r="B904" s="6"/>
      <c r="C904" s="8"/>
      <c r="D904" s="8"/>
      <c r="E904" s="8"/>
      <c r="F904" s="8"/>
      <c r="G904" s="8"/>
      <c r="H904" s="9"/>
      <c r="I904" s="9"/>
      <c r="J904" s="8"/>
      <c r="K904" s="8"/>
      <c r="L904" s="8"/>
      <c r="M904" s="8"/>
    </row>
    <row r="905">
      <c r="A905" s="6"/>
      <c r="B905" s="6"/>
      <c r="C905" s="8"/>
      <c r="D905" s="8"/>
      <c r="E905" s="8"/>
      <c r="F905" s="8"/>
      <c r="G905" s="8"/>
      <c r="H905" s="9"/>
      <c r="I905" s="9"/>
      <c r="J905" s="8"/>
      <c r="K905" s="8"/>
      <c r="L905" s="8"/>
      <c r="M905" s="8"/>
    </row>
    <row r="906">
      <c r="A906" s="6"/>
      <c r="B906" s="6"/>
      <c r="C906" s="8"/>
      <c r="D906" s="8"/>
      <c r="E906" s="8"/>
      <c r="F906" s="8"/>
      <c r="G906" s="8"/>
      <c r="H906" s="9"/>
      <c r="I906" s="9"/>
      <c r="J906" s="8"/>
      <c r="K906" s="8"/>
      <c r="L906" s="8"/>
      <c r="M906" s="8"/>
    </row>
    <row r="907">
      <c r="A907" s="6"/>
      <c r="B907" s="6"/>
      <c r="C907" s="8"/>
      <c r="D907" s="8"/>
      <c r="E907" s="8"/>
      <c r="F907" s="8"/>
      <c r="G907" s="8"/>
      <c r="H907" s="9"/>
      <c r="I907" s="9"/>
      <c r="J907" s="8"/>
      <c r="K907" s="8"/>
      <c r="L907" s="8"/>
      <c r="M907" s="8"/>
    </row>
    <row r="908">
      <c r="A908" s="6"/>
      <c r="B908" s="6"/>
      <c r="C908" s="8"/>
      <c r="D908" s="8"/>
      <c r="E908" s="8"/>
      <c r="F908" s="8"/>
      <c r="G908" s="8"/>
      <c r="H908" s="9"/>
      <c r="I908" s="9"/>
      <c r="J908" s="8"/>
      <c r="K908" s="8"/>
      <c r="L908" s="8"/>
      <c r="M908" s="8"/>
    </row>
    <row r="909">
      <c r="A909" s="6"/>
      <c r="B909" s="6"/>
      <c r="C909" s="8"/>
      <c r="D909" s="8"/>
      <c r="E909" s="8"/>
      <c r="F909" s="8"/>
      <c r="G909" s="8"/>
      <c r="H909" s="9"/>
      <c r="I909" s="9"/>
      <c r="J909" s="8"/>
      <c r="K909" s="8"/>
      <c r="L909" s="8"/>
      <c r="M909" s="8"/>
    </row>
    <row r="910">
      <c r="A910" s="6"/>
      <c r="B910" s="6"/>
      <c r="C910" s="8"/>
      <c r="D910" s="8"/>
      <c r="E910" s="8"/>
      <c r="F910" s="8"/>
      <c r="G910" s="8"/>
      <c r="H910" s="9"/>
      <c r="I910" s="9"/>
      <c r="J910" s="8"/>
      <c r="K910" s="8"/>
      <c r="L910" s="8"/>
      <c r="M910" s="8"/>
    </row>
    <row r="911">
      <c r="A911" s="6"/>
      <c r="B911" s="6"/>
      <c r="C911" s="8"/>
      <c r="D911" s="8"/>
      <c r="E911" s="8"/>
      <c r="F911" s="8"/>
      <c r="G911" s="8"/>
      <c r="H911" s="9"/>
      <c r="I911" s="9"/>
      <c r="J911" s="8"/>
      <c r="K911" s="8"/>
      <c r="L911" s="8"/>
      <c r="M911" s="8"/>
    </row>
    <row r="912">
      <c r="A912" s="6"/>
      <c r="B912" s="6"/>
      <c r="C912" s="8"/>
      <c r="D912" s="8"/>
      <c r="E912" s="8"/>
      <c r="F912" s="8"/>
      <c r="G912" s="8"/>
      <c r="H912" s="9"/>
      <c r="I912" s="9"/>
      <c r="J912" s="8"/>
      <c r="K912" s="8"/>
      <c r="L912" s="8"/>
      <c r="M912" s="8"/>
    </row>
    <row r="913">
      <c r="A913" s="6"/>
      <c r="B913" s="6"/>
      <c r="C913" s="8"/>
      <c r="D913" s="8"/>
      <c r="E913" s="8"/>
      <c r="F913" s="8"/>
      <c r="G913" s="8"/>
      <c r="H913" s="9"/>
      <c r="I913" s="9"/>
      <c r="J913" s="8"/>
      <c r="K913" s="8"/>
      <c r="L913" s="8"/>
      <c r="M913" s="8"/>
    </row>
    <row r="914">
      <c r="A914" s="6"/>
      <c r="B914" s="6"/>
      <c r="C914" s="8"/>
      <c r="D914" s="8"/>
      <c r="E914" s="8"/>
      <c r="F914" s="8"/>
      <c r="G914" s="8"/>
      <c r="H914" s="9"/>
      <c r="I914" s="9"/>
      <c r="J914" s="8"/>
      <c r="K914" s="8"/>
      <c r="L914" s="8"/>
      <c r="M914" s="8"/>
    </row>
    <row r="915">
      <c r="A915" s="6"/>
      <c r="B915" s="6"/>
      <c r="C915" s="8"/>
      <c r="D915" s="8"/>
      <c r="E915" s="8"/>
      <c r="F915" s="8"/>
      <c r="G915" s="8"/>
      <c r="H915" s="9"/>
      <c r="I915" s="9"/>
      <c r="J915" s="8"/>
      <c r="K915" s="8"/>
      <c r="L915" s="8"/>
      <c r="M915" s="8"/>
    </row>
    <row r="916">
      <c r="A916" s="6"/>
      <c r="B916" s="6"/>
      <c r="C916" s="8"/>
      <c r="D916" s="8"/>
      <c r="E916" s="8"/>
      <c r="F916" s="8"/>
      <c r="G916" s="8"/>
      <c r="H916" s="9"/>
      <c r="I916" s="9"/>
      <c r="J916" s="8"/>
      <c r="K916" s="8"/>
      <c r="L916" s="8"/>
      <c r="M916" s="8"/>
    </row>
    <row r="917">
      <c r="A917" s="6"/>
      <c r="B917" s="6"/>
      <c r="C917" s="8"/>
      <c r="D917" s="8"/>
      <c r="E917" s="8"/>
      <c r="F917" s="8"/>
      <c r="G917" s="8"/>
      <c r="H917" s="9"/>
      <c r="I917" s="9"/>
      <c r="J917" s="8"/>
      <c r="K917" s="8"/>
      <c r="L917" s="8"/>
      <c r="M917" s="8"/>
    </row>
    <row r="918">
      <c r="A918" s="6"/>
      <c r="B918" s="6"/>
      <c r="C918" s="8"/>
      <c r="D918" s="8"/>
      <c r="E918" s="8"/>
      <c r="F918" s="8"/>
      <c r="G918" s="8"/>
      <c r="H918" s="9"/>
      <c r="I918" s="9"/>
      <c r="J918" s="8"/>
      <c r="K918" s="8"/>
      <c r="L918" s="8"/>
      <c r="M918" s="8"/>
    </row>
    <row r="919">
      <c r="A919" s="6"/>
      <c r="B919" s="6"/>
      <c r="C919" s="8"/>
      <c r="D919" s="8"/>
      <c r="E919" s="8"/>
      <c r="F919" s="8"/>
      <c r="G919" s="8"/>
      <c r="H919" s="9"/>
      <c r="I919" s="9"/>
      <c r="J919" s="8"/>
      <c r="K919" s="8"/>
      <c r="L919" s="8"/>
      <c r="M919" s="8"/>
    </row>
    <row r="920">
      <c r="A920" s="6"/>
      <c r="B920" s="6"/>
      <c r="C920" s="8"/>
      <c r="D920" s="8"/>
      <c r="E920" s="8"/>
      <c r="F920" s="8"/>
      <c r="G920" s="8"/>
      <c r="H920" s="9"/>
      <c r="I920" s="9"/>
      <c r="J920" s="8"/>
      <c r="K920" s="8"/>
      <c r="L920" s="8"/>
      <c r="M920" s="8"/>
    </row>
    <row r="921">
      <c r="A921" s="6"/>
      <c r="B921" s="6"/>
      <c r="C921" s="8"/>
      <c r="D921" s="8"/>
      <c r="E921" s="8"/>
      <c r="F921" s="8"/>
      <c r="G921" s="8"/>
      <c r="H921" s="9"/>
      <c r="I921" s="9"/>
      <c r="J921" s="8"/>
      <c r="K921" s="8"/>
      <c r="L921" s="8"/>
      <c r="M921" s="8"/>
    </row>
    <row r="922">
      <c r="A922" s="6"/>
      <c r="B922" s="6"/>
      <c r="C922" s="8"/>
      <c r="D922" s="8"/>
      <c r="E922" s="8"/>
      <c r="F922" s="8"/>
      <c r="G922" s="8"/>
      <c r="H922" s="9"/>
      <c r="I922" s="9"/>
      <c r="J922" s="8"/>
      <c r="K922" s="8"/>
      <c r="L922" s="8"/>
      <c r="M922" s="8"/>
    </row>
    <row r="923">
      <c r="A923" s="6"/>
      <c r="B923" s="6"/>
      <c r="C923" s="8"/>
      <c r="D923" s="8"/>
      <c r="E923" s="8"/>
      <c r="F923" s="8"/>
      <c r="G923" s="8"/>
      <c r="H923" s="9"/>
      <c r="I923" s="9"/>
      <c r="J923" s="8"/>
      <c r="K923" s="8"/>
      <c r="L923" s="8"/>
      <c r="M923" s="8"/>
    </row>
    <row r="924">
      <c r="A924" s="6"/>
      <c r="B924" s="6"/>
      <c r="C924" s="8"/>
      <c r="D924" s="8"/>
      <c r="E924" s="8"/>
      <c r="F924" s="8"/>
      <c r="G924" s="8"/>
      <c r="H924" s="9"/>
      <c r="I924" s="9"/>
      <c r="J924" s="8"/>
      <c r="K924" s="8"/>
      <c r="L924" s="8"/>
      <c r="M924" s="8"/>
    </row>
    <row r="925">
      <c r="A925" s="6"/>
      <c r="B925" s="6"/>
      <c r="C925" s="8"/>
      <c r="D925" s="8"/>
      <c r="E925" s="8"/>
      <c r="F925" s="8"/>
      <c r="G925" s="8"/>
      <c r="H925" s="9"/>
      <c r="I925" s="9"/>
      <c r="J925" s="8"/>
      <c r="K925" s="8"/>
      <c r="L925" s="8"/>
      <c r="M925" s="8"/>
    </row>
    <row r="926">
      <c r="A926" s="6"/>
      <c r="B926" s="6"/>
      <c r="C926" s="8"/>
      <c r="D926" s="8"/>
      <c r="E926" s="8"/>
      <c r="F926" s="8"/>
      <c r="G926" s="8"/>
      <c r="H926" s="9"/>
      <c r="I926" s="9"/>
      <c r="J926" s="8"/>
      <c r="K926" s="8"/>
      <c r="L926" s="8"/>
      <c r="M926" s="8"/>
    </row>
    <row r="927">
      <c r="A927" s="6"/>
      <c r="B927" s="6"/>
      <c r="C927" s="8"/>
      <c r="D927" s="8"/>
      <c r="E927" s="8"/>
      <c r="F927" s="8"/>
      <c r="G927" s="8"/>
      <c r="H927" s="9"/>
      <c r="I927" s="9"/>
      <c r="J927" s="8"/>
      <c r="K927" s="8"/>
      <c r="L927" s="8"/>
      <c r="M927" s="8"/>
    </row>
    <row r="928">
      <c r="A928" s="6"/>
      <c r="B928" s="6"/>
      <c r="C928" s="8"/>
      <c r="D928" s="8"/>
      <c r="E928" s="8"/>
      <c r="F928" s="8"/>
      <c r="G928" s="8"/>
      <c r="H928" s="9"/>
      <c r="I928" s="9"/>
      <c r="J928" s="8"/>
      <c r="K928" s="8"/>
      <c r="L928" s="8"/>
      <c r="M928" s="8"/>
    </row>
    <row r="929">
      <c r="A929" s="6"/>
      <c r="B929" s="6"/>
      <c r="C929" s="8"/>
      <c r="D929" s="8"/>
      <c r="E929" s="8"/>
      <c r="F929" s="8"/>
      <c r="G929" s="8"/>
      <c r="H929" s="9"/>
      <c r="I929" s="9"/>
      <c r="J929" s="8"/>
      <c r="K929" s="8"/>
      <c r="L929" s="8"/>
      <c r="M929" s="8"/>
    </row>
    <row r="930">
      <c r="A930" s="6"/>
      <c r="B930" s="6"/>
      <c r="C930" s="8"/>
      <c r="D930" s="8"/>
      <c r="E930" s="8"/>
      <c r="F930" s="8"/>
      <c r="G930" s="8"/>
      <c r="H930" s="9"/>
      <c r="I930" s="9"/>
      <c r="J930" s="8"/>
      <c r="K930" s="8"/>
      <c r="L930" s="8"/>
      <c r="M930" s="8"/>
    </row>
    <row r="931">
      <c r="A931" s="6"/>
      <c r="B931" s="6"/>
      <c r="C931" s="8"/>
      <c r="D931" s="8"/>
      <c r="E931" s="8"/>
      <c r="F931" s="8"/>
      <c r="G931" s="8"/>
      <c r="H931" s="9"/>
      <c r="I931" s="9"/>
      <c r="J931" s="8"/>
      <c r="K931" s="8"/>
      <c r="L931" s="8"/>
      <c r="M931" s="8"/>
    </row>
    <row r="932">
      <c r="A932" s="6"/>
      <c r="B932" s="6"/>
      <c r="C932" s="8"/>
      <c r="D932" s="8"/>
      <c r="E932" s="8"/>
      <c r="F932" s="8"/>
      <c r="G932" s="8"/>
      <c r="H932" s="9"/>
      <c r="I932" s="9"/>
      <c r="J932" s="8"/>
      <c r="K932" s="8"/>
      <c r="L932" s="8"/>
      <c r="M932" s="8"/>
    </row>
    <row r="933">
      <c r="A933" s="6"/>
      <c r="B933" s="6"/>
      <c r="C933" s="8"/>
      <c r="D933" s="8"/>
      <c r="E933" s="8"/>
      <c r="F933" s="8"/>
      <c r="G933" s="8"/>
      <c r="H933" s="9"/>
      <c r="I933" s="9"/>
      <c r="J933" s="8"/>
      <c r="K933" s="8"/>
      <c r="L933" s="8"/>
      <c r="M933" s="8"/>
    </row>
    <row r="934">
      <c r="A934" s="6"/>
      <c r="B934" s="6"/>
      <c r="C934" s="8"/>
      <c r="D934" s="8"/>
      <c r="E934" s="8"/>
      <c r="F934" s="8"/>
      <c r="G934" s="8"/>
      <c r="H934" s="9"/>
      <c r="I934" s="9"/>
      <c r="J934" s="8"/>
      <c r="K934" s="8"/>
      <c r="L934" s="8"/>
      <c r="M934" s="8"/>
    </row>
    <row r="935">
      <c r="A935" s="6"/>
      <c r="B935" s="6"/>
      <c r="C935" s="8"/>
      <c r="D935" s="8"/>
      <c r="E935" s="8"/>
      <c r="F935" s="8"/>
      <c r="G935" s="8"/>
      <c r="H935" s="9"/>
      <c r="I935" s="9"/>
      <c r="J935" s="8"/>
      <c r="K935" s="8"/>
      <c r="L935" s="8"/>
      <c r="M935" s="8"/>
    </row>
    <row r="936">
      <c r="A936" s="6"/>
      <c r="B936" s="6"/>
      <c r="C936" s="8"/>
      <c r="D936" s="8"/>
      <c r="E936" s="8"/>
      <c r="F936" s="8"/>
      <c r="G936" s="8"/>
      <c r="H936" s="9"/>
      <c r="I936" s="9"/>
      <c r="J936" s="8"/>
      <c r="K936" s="8"/>
      <c r="L936" s="8"/>
      <c r="M936" s="8"/>
    </row>
    <row r="937">
      <c r="A937" s="6"/>
      <c r="B937" s="6"/>
      <c r="C937" s="8"/>
      <c r="D937" s="8"/>
      <c r="E937" s="8"/>
      <c r="F937" s="8"/>
      <c r="G937" s="8"/>
      <c r="H937" s="9"/>
      <c r="I937" s="9"/>
      <c r="J937" s="8"/>
      <c r="K937" s="8"/>
      <c r="L937" s="8"/>
      <c r="M937" s="8"/>
    </row>
    <row r="938">
      <c r="A938" s="6"/>
      <c r="B938" s="6"/>
      <c r="C938" s="8"/>
      <c r="D938" s="8"/>
      <c r="E938" s="8"/>
      <c r="F938" s="8"/>
      <c r="G938" s="8"/>
      <c r="H938" s="9"/>
      <c r="I938" s="9"/>
      <c r="J938" s="8"/>
      <c r="K938" s="8"/>
      <c r="L938" s="8"/>
      <c r="M938" s="8"/>
    </row>
    <row r="939">
      <c r="A939" s="6"/>
      <c r="B939" s="6"/>
      <c r="C939" s="8"/>
      <c r="D939" s="8"/>
      <c r="E939" s="8"/>
      <c r="F939" s="8"/>
      <c r="G939" s="8"/>
      <c r="H939" s="9"/>
      <c r="I939" s="9"/>
      <c r="J939" s="8"/>
      <c r="K939" s="8"/>
      <c r="L939" s="8"/>
      <c r="M939" s="8"/>
    </row>
    <row r="940">
      <c r="A940" s="6"/>
      <c r="B940" s="6"/>
      <c r="C940" s="8"/>
      <c r="D940" s="8"/>
      <c r="E940" s="8"/>
      <c r="F940" s="8"/>
      <c r="G940" s="8"/>
      <c r="H940" s="9"/>
      <c r="I940" s="9"/>
      <c r="J940" s="8"/>
      <c r="K940" s="8"/>
      <c r="L940" s="8"/>
      <c r="M940" s="8"/>
    </row>
    <row r="941">
      <c r="A941" s="6"/>
      <c r="B941" s="6"/>
      <c r="C941" s="8"/>
      <c r="D941" s="8"/>
      <c r="E941" s="8"/>
      <c r="F941" s="8"/>
      <c r="G941" s="8"/>
      <c r="H941" s="9"/>
      <c r="I941" s="9"/>
      <c r="J941" s="8"/>
      <c r="K941" s="8"/>
      <c r="L941" s="8"/>
      <c r="M941" s="8"/>
    </row>
    <row r="942">
      <c r="A942" s="6"/>
      <c r="B942" s="6"/>
      <c r="C942" s="8"/>
      <c r="D942" s="8"/>
      <c r="E942" s="8"/>
      <c r="F942" s="8"/>
      <c r="G942" s="8"/>
      <c r="H942" s="9"/>
      <c r="I942" s="9"/>
      <c r="J942" s="8"/>
      <c r="K942" s="8"/>
      <c r="L942" s="8"/>
      <c r="M942" s="8"/>
    </row>
    <row r="943">
      <c r="A943" s="6"/>
      <c r="B943" s="6"/>
      <c r="C943" s="8"/>
      <c r="D943" s="8"/>
      <c r="E943" s="8"/>
      <c r="F943" s="8"/>
      <c r="G943" s="8"/>
      <c r="H943" s="9"/>
      <c r="I943" s="9"/>
      <c r="J943" s="8"/>
      <c r="K943" s="8"/>
      <c r="L943" s="8"/>
      <c r="M943" s="8"/>
    </row>
    <row r="944">
      <c r="A944" s="6"/>
      <c r="B944" s="6"/>
      <c r="C944" s="8"/>
      <c r="D944" s="8"/>
      <c r="E944" s="8"/>
      <c r="F944" s="8"/>
      <c r="G944" s="8"/>
      <c r="H944" s="9"/>
      <c r="I944" s="9"/>
      <c r="J944" s="8"/>
      <c r="K944" s="8"/>
      <c r="L944" s="8"/>
      <c r="M944" s="8"/>
    </row>
    <row r="945">
      <c r="A945" s="6"/>
      <c r="B945" s="6"/>
      <c r="C945" s="8"/>
      <c r="D945" s="8"/>
      <c r="E945" s="8"/>
      <c r="F945" s="8"/>
      <c r="G945" s="8"/>
      <c r="H945" s="9"/>
      <c r="I945" s="9"/>
      <c r="J945" s="8"/>
      <c r="K945" s="8"/>
      <c r="L945" s="8"/>
      <c r="M945" s="8"/>
    </row>
    <row r="946">
      <c r="A946" s="6"/>
      <c r="B946" s="6"/>
      <c r="C946" s="8"/>
      <c r="D946" s="8"/>
      <c r="E946" s="8"/>
      <c r="F946" s="8"/>
      <c r="G946" s="8"/>
      <c r="H946" s="9"/>
      <c r="I946" s="9"/>
      <c r="J946" s="8"/>
      <c r="K946" s="8"/>
      <c r="L946" s="8"/>
      <c r="M946" s="8"/>
    </row>
    <row r="947">
      <c r="A947" s="6"/>
      <c r="B947" s="6"/>
      <c r="C947" s="8"/>
      <c r="D947" s="8"/>
      <c r="E947" s="8"/>
      <c r="F947" s="8"/>
      <c r="G947" s="8"/>
      <c r="H947" s="9"/>
      <c r="I947" s="9"/>
      <c r="J947" s="8"/>
      <c r="K947" s="8"/>
      <c r="L947" s="8"/>
      <c r="M947" s="8"/>
    </row>
    <row r="948">
      <c r="A948" s="6"/>
      <c r="B948" s="6"/>
      <c r="C948" s="8"/>
      <c r="D948" s="8"/>
      <c r="E948" s="8"/>
      <c r="F948" s="8"/>
      <c r="G948" s="8"/>
      <c r="H948" s="9"/>
      <c r="I948" s="9"/>
      <c r="J948" s="8"/>
      <c r="K948" s="8"/>
      <c r="L948" s="8"/>
      <c r="M948" s="8"/>
    </row>
    <row r="949">
      <c r="A949" s="6"/>
      <c r="B949" s="6"/>
      <c r="C949" s="8"/>
      <c r="D949" s="8"/>
      <c r="E949" s="8"/>
      <c r="F949" s="8"/>
      <c r="G949" s="8"/>
      <c r="H949" s="9"/>
      <c r="I949" s="9"/>
      <c r="J949" s="8"/>
      <c r="K949" s="8"/>
      <c r="L949" s="8"/>
      <c r="M949" s="8"/>
    </row>
    <row r="950">
      <c r="A950" s="6"/>
      <c r="B950" s="6"/>
      <c r="C950" s="8"/>
      <c r="D950" s="8"/>
      <c r="E950" s="8"/>
      <c r="F950" s="8"/>
      <c r="G950" s="8"/>
      <c r="H950" s="9"/>
      <c r="I950" s="9"/>
      <c r="J950" s="8"/>
      <c r="K950" s="8"/>
      <c r="L950" s="8"/>
      <c r="M950" s="8"/>
    </row>
    <row r="951">
      <c r="A951" s="6"/>
      <c r="B951" s="6"/>
      <c r="C951" s="8"/>
      <c r="D951" s="8"/>
      <c r="E951" s="8"/>
      <c r="F951" s="8"/>
      <c r="G951" s="8"/>
      <c r="H951" s="9"/>
      <c r="I951" s="9"/>
      <c r="J951" s="8"/>
      <c r="K951" s="8"/>
      <c r="L951" s="8"/>
      <c r="M951" s="8"/>
    </row>
    <row r="952">
      <c r="A952" s="6"/>
      <c r="B952" s="6"/>
      <c r="C952" s="8"/>
      <c r="D952" s="8"/>
      <c r="E952" s="8"/>
      <c r="F952" s="8"/>
      <c r="G952" s="8"/>
      <c r="H952" s="9"/>
      <c r="I952" s="9"/>
      <c r="J952" s="8"/>
      <c r="K952" s="8"/>
      <c r="L952" s="8"/>
      <c r="M952" s="8"/>
    </row>
    <row r="953">
      <c r="A953" s="6"/>
      <c r="B953" s="6"/>
      <c r="C953" s="8"/>
      <c r="D953" s="8"/>
      <c r="E953" s="8"/>
      <c r="F953" s="8"/>
      <c r="G953" s="8"/>
      <c r="H953" s="9"/>
      <c r="I953" s="9"/>
      <c r="J953" s="8"/>
      <c r="K953" s="8"/>
      <c r="L953" s="8"/>
      <c r="M953" s="8"/>
    </row>
    <row r="954">
      <c r="A954" s="6"/>
      <c r="B954" s="6"/>
      <c r="C954" s="8"/>
      <c r="D954" s="8"/>
      <c r="E954" s="8"/>
      <c r="F954" s="8"/>
      <c r="G954" s="8"/>
      <c r="H954" s="9"/>
      <c r="I954" s="9"/>
      <c r="J954" s="8"/>
      <c r="K954" s="8"/>
      <c r="L954" s="8"/>
      <c r="M954" s="8"/>
    </row>
    <row r="955">
      <c r="A955" s="6"/>
      <c r="B955" s="6"/>
      <c r="C955" s="8"/>
      <c r="D955" s="8"/>
      <c r="E955" s="8"/>
      <c r="F955" s="8"/>
      <c r="G955" s="8"/>
      <c r="H955" s="9"/>
      <c r="I955" s="9"/>
      <c r="J955" s="8"/>
      <c r="K955" s="8"/>
      <c r="L955" s="8"/>
      <c r="M955" s="8"/>
    </row>
    <row r="956">
      <c r="A956" s="6"/>
      <c r="B956" s="6"/>
      <c r="C956" s="8"/>
      <c r="D956" s="8"/>
      <c r="E956" s="8"/>
      <c r="F956" s="8"/>
      <c r="G956" s="8"/>
      <c r="H956" s="9"/>
      <c r="I956" s="9"/>
      <c r="J956" s="8"/>
      <c r="K956" s="8"/>
      <c r="L956" s="8"/>
      <c r="M956" s="8"/>
    </row>
    <row r="957">
      <c r="A957" s="6"/>
      <c r="B957" s="6"/>
      <c r="C957" s="8"/>
      <c r="D957" s="8"/>
      <c r="E957" s="8"/>
      <c r="F957" s="8"/>
      <c r="G957" s="8"/>
      <c r="H957" s="9"/>
      <c r="I957" s="9"/>
      <c r="J957" s="8"/>
      <c r="K957" s="8"/>
      <c r="L957" s="8"/>
      <c r="M957" s="8"/>
    </row>
    <row r="958">
      <c r="A958" s="6"/>
      <c r="B958" s="6"/>
      <c r="C958" s="8"/>
      <c r="D958" s="8"/>
      <c r="E958" s="8"/>
      <c r="F958" s="8"/>
      <c r="G958" s="8"/>
      <c r="H958" s="9"/>
      <c r="I958" s="9"/>
      <c r="J958" s="8"/>
      <c r="K958" s="8"/>
      <c r="L958" s="8"/>
      <c r="M958" s="8"/>
    </row>
    <row r="959">
      <c r="A959" s="6"/>
      <c r="B959" s="6"/>
      <c r="C959" s="8"/>
      <c r="D959" s="8"/>
      <c r="E959" s="8"/>
      <c r="F959" s="8"/>
      <c r="G959" s="8"/>
      <c r="H959" s="9"/>
      <c r="I959" s="9"/>
      <c r="J959" s="8"/>
      <c r="K959" s="8"/>
      <c r="L959" s="8"/>
      <c r="M959" s="8"/>
    </row>
    <row r="960">
      <c r="A960" s="6"/>
      <c r="B960" s="6"/>
      <c r="C960" s="8"/>
      <c r="D960" s="8"/>
      <c r="E960" s="8"/>
      <c r="F960" s="8"/>
      <c r="G960" s="8"/>
      <c r="H960" s="9"/>
      <c r="I960" s="9"/>
      <c r="J960" s="8"/>
      <c r="K960" s="8"/>
      <c r="L960" s="8"/>
      <c r="M960" s="8"/>
    </row>
    <row r="961">
      <c r="A961" s="6"/>
      <c r="B961" s="6"/>
      <c r="C961" s="8"/>
      <c r="D961" s="8"/>
      <c r="E961" s="8"/>
      <c r="F961" s="8"/>
      <c r="G961" s="8"/>
      <c r="H961" s="9"/>
      <c r="I961" s="9"/>
      <c r="J961" s="8"/>
      <c r="K961" s="8"/>
      <c r="L961" s="8"/>
      <c r="M961" s="8"/>
    </row>
    <row r="962">
      <c r="A962" s="6"/>
      <c r="B962" s="6"/>
      <c r="C962" s="8"/>
      <c r="D962" s="8"/>
      <c r="E962" s="8"/>
      <c r="F962" s="8"/>
      <c r="G962" s="8"/>
      <c r="H962" s="9"/>
      <c r="I962" s="9"/>
      <c r="J962" s="8"/>
      <c r="K962" s="8"/>
      <c r="L962" s="8"/>
      <c r="M962" s="8"/>
    </row>
    <row r="963">
      <c r="A963" s="6"/>
      <c r="B963" s="6"/>
      <c r="C963" s="8"/>
      <c r="D963" s="8"/>
      <c r="E963" s="8"/>
      <c r="F963" s="8"/>
      <c r="G963" s="8"/>
      <c r="H963" s="9"/>
      <c r="I963" s="9"/>
      <c r="J963" s="8"/>
      <c r="K963" s="8"/>
      <c r="L963" s="8"/>
      <c r="M963" s="8"/>
    </row>
    <row r="964">
      <c r="A964" s="6"/>
      <c r="B964" s="6"/>
      <c r="C964" s="8"/>
      <c r="D964" s="8"/>
      <c r="E964" s="8"/>
      <c r="F964" s="8"/>
      <c r="G964" s="8"/>
      <c r="H964" s="9"/>
      <c r="I964" s="9"/>
      <c r="J964" s="8"/>
      <c r="K964" s="8"/>
      <c r="L964" s="8"/>
      <c r="M964" s="8"/>
    </row>
    <row r="965">
      <c r="A965" s="6"/>
      <c r="B965" s="6"/>
      <c r="C965" s="8"/>
      <c r="D965" s="8"/>
      <c r="E965" s="8"/>
      <c r="F965" s="8"/>
      <c r="G965" s="8"/>
      <c r="H965" s="9"/>
      <c r="I965" s="9"/>
      <c r="J965" s="8"/>
      <c r="K965" s="8"/>
      <c r="L965" s="8"/>
      <c r="M965" s="8"/>
    </row>
    <row r="966">
      <c r="A966" s="6"/>
      <c r="B966" s="6"/>
      <c r="C966" s="8"/>
      <c r="D966" s="8"/>
      <c r="E966" s="8"/>
      <c r="F966" s="8"/>
      <c r="G966" s="8"/>
      <c r="H966" s="9"/>
      <c r="I966" s="9"/>
      <c r="J966" s="8"/>
      <c r="K966" s="8"/>
      <c r="L966" s="8"/>
      <c r="M966" s="8"/>
    </row>
    <row r="967">
      <c r="A967" s="6"/>
      <c r="B967" s="6"/>
      <c r="C967" s="8"/>
      <c r="D967" s="8"/>
      <c r="E967" s="8"/>
      <c r="F967" s="8"/>
      <c r="G967" s="8"/>
      <c r="H967" s="9"/>
      <c r="I967" s="9"/>
      <c r="J967" s="8"/>
      <c r="K967" s="8"/>
      <c r="L967" s="8"/>
      <c r="M967" s="8"/>
    </row>
    <row r="968">
      <c r="A968" s="6"/>
      <c r="B968" s="6"/>
      <c r="C968" s="8"/>
      <c r="D968" s="8"/>
      <c r="E968" s="8"/>
      <c r="F968" s="8"/>
      <c r="G968" s="8"/>
      <c r="H968" s="9"/>
      <c r="I968" s="9"/>
      <c r="J968" s="8"/>
      <c r="K968" s="8"/>
      <c r="L968" s="8"/>
      <c r="M968" s="8"/>
    </row>
    <row r="969">
      <c r="A969" s="6"/>
      <c r="B969" s="6"/>
      <c r="C969" s="8"/>
      <c r="D969" s="8"/>
      <c r="E969" s="8"/>
      <c r="F969" s="8"/>
      <c r="G969" s="8"/>
      <c r="H969" s="9"/>
      <c r="I969" s="9"/>
      <c r="J969" s="8"/>
      <c r="K969" s="8"/>
      <c r="L969" s="8"/>
      <c r="M969" s="8"/>
    </row>
    <row r="970">
      <c r="A970" s="6"/>
      <c r="B970" s="6"/>
      <c r="C970" s="8"/>
      <c r="D970" s="8"/>
      <c r="E970" s="8"/>
      <c r="F970" s="8"/>
      <c r="G970" s="8"/>
      <c r="H970" s="9"/>
      <c r="I970" s="9"/>
      <c r="J970" s="8"/>
      <c r="K970" s="8"/>
      <c r="L970" s="8"/>
      <c r="M970" s="8"/>
    </row>
    <row r="971">
      <c r="A971" s="6"/>
      <c r="B971" s="6"/>
      <c r="C971" s="8"/>
      <c r="D971" s="8"/>
      <c r="E971" s="8"/>
      <c r="F971" s="8"/>
      <c r="G971" s="8"/>
      <c r="H971" s="9"/>
      <c r="I971" s="9"/>
      <c r="J971" s="8"/>
      <c r="K971" s="8"/>
      <c r="L971" s="8"/>
      <c r="M971" s="8"/>
    </row>
    <row r="972">
      <c r="A972" s="6"/>
      <c r="B972" s="6"/>
      <c r="C972" s="8"/>
      <c r="D972" s="8"/>
      <c r="E972" s="8"/>
      <c r="F972" s="8"/>
      <c r="G972" s="8"/>
      <c r="H972" s="9"/>
      <c r="I972" s="9"/>
      <c r="J972" s="8"/>
      <c r="K972" s="8"/>
      <c r="L972" s="8"/>
      <c r="M972" s="8"/>
    </row>
    <row r="973">
      <c r="A973" s="6"/>
      <c r="B973" s="6"/>
      <c r="C973" s="8"/>
      <c r="D973" s="8"/>
      <c r="E973" s="8"/>
      <c r="F973" s="8"/>
      <c r="G973" s="8"/>
      <c r="H973" s="9"/>
      <c r="I973" s="9"/>
      <c r="J973" s="8"/>
      <c r="K973" s="8"/>
      <c r="L973" s="8"/>
      <c r="M973" s="8"/>
    </row>
    <row r="974">
      <c r="A974" s="6"/>
      <c r="B974" s="6"/>
      <c r="C974" s="8"/>
      <c r="D974" s="8"/>
      <c r="E974" s="8"/>
      <c r="F974" s="8"/>
      <c r="G974" s="8"/>
      <c r="H974" s="9"/>
      <c r="I974" s="9"/>
      <c r="J974" s="8"/>
      <c r="K974" s="8"/>
      <c r="L974" s="8"/>
      <c r="M974" s="8"/>
    </row>
    <row r="975">
      <c r="A975" s="6"/>
      <c r="B975" s="6"/>
      <c r="C975" s="8"/>
      <c r="D975" s="8"/>
      <c r="E975" s="8"/>
      <c r="F975" s="8"/>
      <c r="G975" s="8"/>
      <c r="H975" s="9"/>
      <c r="I975" s="9"/>
      <c r="J975" s="8"/>
      <c r="K975" s="8"/>
      <c r="L975" s="8"/>
      <c r="M975" s="8"/>
    </row>
    <row r="976">
      <c r="A976" s="6"/>
      <c r="B976" s="6"/>
      <c r="C976" s="8"/>
      <c r="D976" s="8"/>
      <c r="E976" s="8"/>
      <c r="F976" s="8"/>
      <c r="G976" s="8"/>
      <c r="H976" s="9"/>
      <c r="I976" s="9"/>
      <c r="J976" s="8"/>
      <c r="K976" s="8"/>
      <c r="L976" s="8"/>
      <c r="M976" s="8"/>
    </row>
    <row r="977">
      <c r="A977" s="6"/>
      <c r="B977" s="6"/>
      <c r="C977" s="8"/>
      <c r="D977" s="8"/>
      <c r="E977" s="8"/>
      <c r="F977" s="8"/>
      <c r="G977" s="8"/>
      <c r="H977" s="9"/>
      <c r="I977" s="9"/>
      <c r="J977" s="8"/>
      <c r="K977" s="8"/>
      <c r="L977" s="8"/>
      <c r="M977" s="8"/>
    </row>
    <row r="978">
      <c r="A978" s="6"/>
      <c r="B978" s="6"/>
      <c r="C978" s="8"/>
      <c r="D978" s="8"/>
      <c r="E978" s="8"/>
      <c r="F978" s="8"/>
      <c r="G978" s="8"/>
      <c r="H978" s="9"/>
      <c r="I978" s="9"/>
      <c r="J978" s="8"/>
      <c r="K978" s="8"/>
      <c r="L978" s="8"/>
      <c r="M978" s="8"/>
    </row>
    <row r="979">
      <c r="A979" s="6"/>
      <c r="B979" s="6"/>
      <c r="C979" s="8"/>
      <c r="D979" s="8"/>
      <c r="E979" s="8"/>
      <c r="F979" s="8"/>
      <c r="G979" s="8"/>
      <c r="H979" s="9"/>
      <c r="I979" s="9"/>
      <c r="J979" s="8"/>
      <c r="K979" s="8"/>
      <c r="L979" s="8"/>
      <c r="M979" s="8"/>
    </row>
    <row r="980">
      <c r="A980" s="6"/>
      <c r="B980" s="6"/>
      <c r="C980" s="8"/>
      <c r="D980" s="8"/>
      <c r="E980" s="8"/>
      <c r="F980" s="8"/>
      <c r="G980" s="8"/>
      <c r="H980" s="9"/>
      <c r="I980" s="9"/>
      <c r="J980" s="8"/>
      <c r="K980" s="8"/>
      <c r="L980" s="8"/>
      <c r="M980" s="8"/>
    </row>
    <row r="981">
      <c r="A981" s="6"/>
      <c r="B981" s="6"/>
      <c r="C981" s="8"/>
      <c r="D981" s="8"/>
      <c r="E981" s="8"/>
      <c r="F981" s="8"/>
      <c r="G981" s="8"/>
      <c r="H981" s="9"/>
      <c r="I981" s="9"/>
      <c r="J981" s="8"/>
      <c r="K981" s="8"/>
      <c r="L981" s="8"/>
      <c r="M981" s="8"/>
    </row>
    <row r="982">
      <c r="A982" s="6"/>
      <c r="B982" s="6"/>
      <c r="C982" s="8"/>
      <c r="D982" s="8"/>
      <c r="E982" s="8"/>
      <c r="F982" s="8"/>
      <c r="G982" s="8"/>
      <c r="H982" s="9"/>
      <c r="I982" s="9"/>
      <c r="J982" s="8"/>
      <c r="K982" s="8"/>
      <c r="L982" s="8"/>
      <c r="M982" s="8"/>
    </row>
    <row r="983">
      <c r="A983" s="6"/>
      <c r="B983" s="6"/>
      <c r="C983" s="8"/>
      <c r="D983" s="8"/>
      <c r="E983" s="8"/>
      <c r="F983" s="8"/>
      <c r="G983" s="8"/>
      <c r="H983" s="9"/>
      <c r="I983" s="9"/>
      <c r="J983" s="8"/>
      <c r="K983" s="8"/>
      <c r="L983" s="8"/>
      <c r="M983" s="8"/>
    </row>
    <row r="984">
      <c r="A984" s="6"/>
      <c r="B984" s="6"/>
      <c r="C984" s="8"/>
      <c r="D984" s="8"/>
      <c r="E984" s="8"/>
      <c r="F984" s="8"/>
      <c r="G984" s="8"/>
      <c r="H984" s="9"/>
      <c r="I984" s="9"/>
      <c r="J984" s="8"/>
      <c r="K984" s="8"/>
      <c r="L984" s="8"/>
      <c r="M984" s="8"/>
    </row>
    <row r="985">
      <c r="A985" s="6"/>
      <c r="B985" s="6"/>
      <c r="C985" s="8"/>
      <c r="D985" s="8"/>
      <c r="E985" s="8"/>
      <c r="F985" s="8"/>
      <c r="G985" s="8"/>
      <c r="H985" s="9"/>
      <c r="I985" s="9"/>
      <c r="J985" s="8"/>
      <c r="K985" s="8"/>
      <c r="L985" s="8"/>
      <c r="M985" s="8"/>
    </row>
    <row r="986">
      <c r="A986" s="6"/>
      <c r="B986" s="6"/>
      <c r="C986" s="8"/>
      <c r="D986" s="8"/>
      <c r="E986" s="8"/>
      <c r="F986" s="8"/>
      <c r="G986" s="8"/>
      <c r="H986" s="9"/>
      <c r="I986" s="9"/>
      <c r="J986" s="8"/>
      <c r="K986" s="8"/>
      <c r="L986" s="8"/>
      <c r="M986" s="8"/>
    </row>
    <row r="987">
      <c r="A987" s="6"/>
      <c r="B987" s="6"/>
      <c r="C987" s="8"/>
      <c r="D987" s="8"/>
      <c r="E987" s="8"/>
      <c r="F987" s="8"/>
      <c r="G987" s="8"/>
      <c r="H987" s="9"/>
      <c r="I987" s="9"/>
      <c r="J987" s="8"/>
      <c r="K987" s="8"/>
      <c r="L987" s="8"/>
      <c r="M987" s="8"/>
    </row>
    <row r="988">
      <c r="A988" s="6"/>
      <c r="B988" s="6"/>
      <c r="C988" s="8"/>
      <c r="D988" s="8"/>
      <c r="E988" s="8"/>
      <c r="F988" s="8"/>
      <c r="G988" s="8"/>
      <c r="H988" s="9"/>
      <c r="I988" s="9"/>
      <c r="J988" s="8"/>
      <c r="K988" s="8"/>
      <c r="L988" s="8"/>
      <c r="M988" s="8"/>
    </row>
    <row r="989">
      <c r="A989" s="6"/>
      <c r="B989" s="6"/>
      <c r="C989" s="8"/>
      <c r="D989" s="8"/>
      <c r="E989" s="8"/>
      <c r="F989" s="8"/>
      <c r="G989" s="8"/>
      <c r="H989" s="9"/>
      <c r="I989" s="9"/>
      <c r="J989" s="8"/>
      <c r="K989" s="8"/>
      <c r="L989" s="8"/>
      <c r="M989" s="8"/>
    </row>
    <row r="990">
      <c r="A990" s="6"/>
      <c r="B990" s="6"/>
      <c r="C990" s="8"/>
      <c r="D990" s="8"/>
      <c r="E990" s="8"/>
      <c r="F990" s="8"/>
      <c r="G990" s="8"/>
      <c r="H990" s="9"/>
      <c r="I990" s="9"/>
      <c r="J990" s="8"/>
      <c r="K990" s="8"/>
      <c r="L990" s="8"/>
      <c r="M990" s="8"/>
    </row>
    <row r="991">
      <c r="A991" s="6"/>
      <c r="B991" s="6"/>
      <c r="C991" s="8"/>
      <c r="D991" s="8"/>
      <c r="E991" s="8"/>
      <c r="F991" s="8"/>
      <c r="G991" s="8"/>
      <c r="H991" s="9"/>
      <c r="I991" s="9"/>
      <c r="J991" s="8"/>
      <c r="K991" s="8"/>
      <c r="L991" s="8"/>
      <c r="M991" s="8"/>
    </row>
    <row r="992">
      <c r="A992" s="6"/>
      <c r="B992" s="6"/>
      <c r="C992" s="8"/>
      <c r="D992" s="8"/>
      <c r="E992" s="8"/>
      <c r="F992" s="8"/>
      <c r="G992" s="8"/>
      <c r="H992" s="9"/>
      <c r="I992" s="9"/>
      <c r="J992" s="8"/>
      <c r="K992" s="8"/>
      <c r="L992" s="8"/>
      <c r="M992" s="8"/>
    </row>
    <row r="993">
      <c r="A993" s="6"/>
      <c r="B993" s="6"/>
      <c r="C993" s="8"/>
      <c r="D993" s="8"/>
      <c r="E993" s="8"/>
      <c r="F993" s="8"/>
      <c r="G993" s="8"/>
      <c r="H993" s="9"/>
      <c r="I993" s="9"/>
      <c r="J993" s="8"/>
      <c r="K993" s="8"/>
      <c r="L993" s="8"/>
      <c r="M993" s="8"/>
    </row>
    <row r="994">
      <c r="A994" s="6"/>
      <c r="B994" s="6"/>
      <c r="C994" s="8"/>
      <c r="D994" s="8"/>
      <c r="E994" s="8"/>
      <c r="F994" s="8"/>
      <c r="G994" s="8"/>
      <c r="H994" s="9"/>
      <c r="I994" s="9"/>
      <c r="J994" s="8"/>
      <c r="K994" s="8"/>
      <c r="L994" s="8"/>
      <c r="M994" s="8"/>
    </row>
    <row r="995">
      <c r="A995" s="6"/>
      <c r="B995" s="6"/>
      <c r="C995" s="8"/>
      <c r="D995" s="8"/>
      <c r="E995" s="8"/>
      <c r="F995" s="8"/>
      <c r="G995" s="8"/>
      <c r="H995" s="9"/>
      <c r="I995" s="9"/>
      <c r="J995" s="8"/>
      <c r="K995" s="8"/>
      <c r="L995" s="8"/>
      <c r="M995" s="8"/>
    </row>
    <row r="996">
      <c r="A996" s="6"/>
      <c r="B996" s="6"/>
      <c r="C996" s="8"/>
      <c r="D996" s="8"/>
      <c r="E996" s="8"/>
      <c r="F996" s="8"/>
      <c r="G996" s="8"/>
      <c r="H996" s="9"/>
      <c r="I996" s="9"/>
      <c r="J996" s="8"/>
      <c r="K996" s="8"/>
      <c r="L996" s="8"/>
      <c r="M996" s="8"/>
    </row>
    <row r="997">
      <c r="A997" s="6"/>
      <c r="B997" s="6"/>
      <c r="C997" s="8"/>
      <c r="D997" s="8"/>
      <c r="E997" s="8"/>
      <c r="F997" s="8"/>
      <c r="G997" s="8"/>
      <c r="H997" s="9"/>
      <c r="I997" s="9"/>
      <c r="J997" s="8"/>
      <c r="K997" s="8"/>
      <c r="L997" s="8"/>
      <c r="M997" s="8"/>
    </row>
    <row r="998">
      <c r="A998" s="6"/>
      <c r="B998" s="6"/>
      <c r="C998" s="8"/>
      <c r="D998" s="8"/>
      <c r="E998" s="8"/>
      <c r="F998" s="8"/>
      <c r="G998" s="8"/>
      <c r="H998" s="9"/>
      <c r="I998" s="9"/>
      <c r="J998" s="8"/>
      <c r="K998" s="8"/>
      <c r="L998" s="8"/>
      <c r="M998" s="8"/>
    </row>
    <row r="999">
      <c r="A999" s="6"/>
      <c r="B999" s="6"/>
      <c r="C999" s="8"/>
      <c r="D999" s="8"/>
      <c r="E999" s="8"/>
      <c r="F999" s="8"/>
      <c r="G999" s="8"/>
      <c r="H999" s="9"/>
      <c r="I999" s="9"/>
      <c r="J999" s="8"/>
      <c r="K999" s="8"/>
      <c r="L999" s="8"/>
      <c r="M999" s="8"/>
    </row>
    <row r="1000">
      <c r="A1000" s="6"/>
      <c r="B1000" s="6"/>
      <c r="C1000" s="8"/>
      <c r="D1000" s="8"/>
      <c r="E1000" s="8"/>
      <c r="F1000" s="8"/>
      <c r="G1000" s="8"/>
      <c r="H1000" s="9"/>
      <c r="I1000" s="9"/>
      <c r="J1000" s="8"/>
      <c r="K1000" s="8"/>
      <c r="L1000" s="8"/>
      <c r="M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M13"/>
    <hyperlink r:id="rId14" ref="C14"/>
    <hyperlink r:id="rId15" ref="M14"/>
    <hyperlink r:id="rId16" ref="C15"/>
    <hyperlink r:id="rId17" ref="M15"/>
    <hyperlink r:id="rId18" ref="C16"/>
    <hyperlink r:id="rId19" ref="C17"/>
    <hyperlink r:id="rId20" ref="M17"/>
    <hyperlink r:id="rId21" ref="C18"/>
    <hyperlink r:id="rId22" ref="C19"/>
    <hyperlink r:id="rId23" ref="C20"/>
    <hyperlink r:id="rId24" ref="M20"/>
    <hyperlink r:id="rId25" ref="C21"/>
    <hyperlink r:id="rId26" ref="M21"/>
    <hyperlink r:id="rId27" ref="C22"/>
    <hyperlink r:id="rId28" ref="C23"/>
    <hyperlink r:id="rId29" ref="C24"/>
    <hyperlink r:id="rId30" ref="C25"/>
    <hyperlink r:id="rId31" ref="C26"/>
    <hyperlink r:id="rId32" ref="C27"/>
    <hyperlink r:id="rId33" ref="C28"/>
    <hyperlink r:id="rId34" ref="M28"/>
    <hyperlink r:id="rId35" ref="C29"/>
    <hyperlink r:id="rId36" ref="M29"/>
    <hyperlink r:id="rId37" ref="C30"/>
    <hyperlink r:id="rId38" ref="M30"/>
    <hyperlink r:id="rId39" ref="C31"/>
    <hyperlink r:id="rId40" ref="C32"/>
    <hyperlink r:id="rId41" ref="C33"/>
    <hyperlink r:id="rId42" ref="C34"/>
    <hyperlink r:id="rId43" ref="C35"/>
    <hyperlink r:id="rId44" ref="M35"/>
    <hyperlink r:id="rId45" ref="C36"/>
    <hyperlink r:id="rId46" ref="M36"/>
    <hyperlink r:id="rId47" ref="C37"/>
    <hyperlink r:id="rId48" ref="M37"/>
    <hyperlink r:id="rId49" ref="C38"/>
    <hyperlink r:id="rId50" ref="C39"/>
    <hyperlink r:id="rId51" ref="C40"/>
    <hyperlink r:id="rId52" ref="C41"/>
    <hyperlink r:id="rId53" ref="M41"/>
    <hyperlink r:id="rId54" ref="C42"/>
    <hyperlink r:id="rId55" ref="M42"/>
    <hyperlink r:id="rId56" ref="C43"/>
    <hyperlink r:id="rId57" ref="M43"/>
    <hyperlink r:id="rId58" ref="C44"/>
    <hyperlink r:id="rId59" ref="C45"/>
    <hyperlink r:id="rId60" ref="C46"/>
    <hyperlink r:id="rId61" ref="M46"/>
    <hyperlink r:id="rId62" ref="C47"/>
    <hyperlink r:id="rId63" ref="M47"/>
    <hyperlink r:id="rId64" ref="C48"/>
    <hyperlink r:id="rId65" ref="C49"/>
    <hyperlink r:id="rId66" ref="M49"/>
    <hyperlink r:id="rId67" ref="C50"/>
    <hyperlink r:id="rId68" ref="M50"/>
    <hyperlink r:id="rId69" ref="C51"/>
    <hyperlink r:id="rId70" ref="M51"/>
    <hyperlink r:id="rId71" ref="C52"/>
    <hyperlink r:id="rId72" ref="M52"/>
    <hyperlink r:id="rId73" ref="C53"/>
    <hyperlink r:id="rId74" ref="M53"/>
    <hyperlink r:id="rId75" ref="C54"/>
    <hyperlink r:id="rId76" ref="C55"/>
    <hyperlink r:id="rId77" ref="M55"/>
    <hyperlink r:id="rId78" ref="C56"/>
    <hyperlink r:id="rId79" ref="C57"/>
    <hyperlink r:id="rId80" ref="C58"/>
    <hyperlink r:id="rId81" ref="C59"/>
    <hyperlink r:id="rId82" ref="M59"/>
    <hyperlink r:id="rId83" ref="C60"/>
    <hyperlink r:id="rId84" ref="C61"/>
    <hyperlink r:id="rId85" ref="C62"/>
    <hyperlink r:id="rId86" ref="C63"/>
    <hyperlink r:id="rId87" ref="M63"/>
    <hyperlink r:id="rId88" ref="C64"/>
    <hyperlink r:id="rId89" ref="C65"/>
    <hyperlink r:id="rId90" ref="C66"/>
    <hyperlink r:id="rId91" ref="C67"/>
    <hyperlink r:id="rId92" ref="C68"/>
    <hyperlink r:id="rId93" ref="C69"/>
    <hyperlink r:id="rId94" ref="C70"/>
    <hyperlink r:id="rId95" ref="C71"/>
    <hyperlink r:id="rId96" ref="M71"/>
    <hyperlink r:id="rId97" ref="C72"/>
    <hyperlink r:id="rId98" ref="M72"/>
    <hyperlink r:id="rId99" ref="C73"/>
    <hyperlink r:id="rId100" ref="M73"/>
    <hyperlink r:id="rId101" ref="C74"/>
    <hyperlink r:id="rId102" ref="M74"/>
    <hyperlink r:id="rId103" ref="C75"/>
    <hyperlink r:id="rId104" ref="C76"/>
    <hyperlink r:id="rId105" ref="M76"/>
    <hyperlink r:id="rId106" ref="C77"/>
    <hyperlink r:id="rId107" ref="C78"/>
    <hyperlink r:id="rId108" ref="C79"/>
    <hyperlink r:id="rId109" ref="C80"/>
    <hyperlink r:id="rId110" ref="C81"/>
    <hyperlink r:id="rId111" ref="C82"/>
    <hyperlink r:id="rId112" ref="M82"/>
    <hyperlink r:id="rId113" ref="C83"/>
    <hyperlink r:id="rId114" ref="C84"/>
    <hyperlink r:id="rId115" ref="C85"/>
    <hyperlink r:id="rId116" ref="C86"/>
    <hyperlink r:id="rId117" ref="C87"/>
    <hyperlink r:id="rId118" ref="M87"/>
    <hyperlink r:id="rId119" ref="C88"/>
    <hyperlink r:id="rId120" ref="C89"/>
    <hyperlink r:id="rId121" ref="C90"/>
    <hyperlink r:id="rId122" ref="C91"/>
    <hyperlink r:id="rId123" ref="C92"/>
    <hyperlink r:id="rId124" ref="C93"/>
    <hyperlink r:id="rId125" ref="M93"/>
    <hyperlink r:id="rId126" ref="C94"/>
    <hyperlink r:id="rId127" ref="C95"/>
    <hyperlink r:id="rId128" ref="C96"/>
    <hyperlink r:id="rId129" ref="C97"/>
    <hyperlink r:id="rId130" ref="M97"/>
    <hyperlink r:id="rId131" ref="C98"/>
    <hyperlink r:id="rId132" ref="C99"/>
    <hyperlink r:id="rId133" ref="C100"/>
    <hyperlink r:id="rId134" ref="C101"/>
    <hyperlink r:id="rId135" ref="M101"/>
    <hyperlink r:id="rId136" ref="C102"/>
    <hyperlink r:id="rId137" ref="C103"/>
    <hyperlink r:id="rId138" ref="C104"/>
    <hyperlink r:id="rId139" ref="M104"/>
    <hyperlink r:id="rId140" ref="C105"/>
    <hyperlink r:id="rId141" ref="M105"/>
    <hyperlink r:id="rId142" ref="C106"/>
    <hyperlink r:id="rId143" ref="M106"/>
    <hyperlink r:id="rId144" ref="C107"/>
    <hyperlink r:id="rId145" ref="C108"/>
    <hyperlink r:id="rId146" ref="C109"/>
    <hyperlink r:id="rId147" ref="M109"/>
    <hyperlink r:id="rId148" ref="C110"/>
    <hyperlink r:id="rId149" ref="M110"/>
    <hyperlink r:id="rId150" ref="C111"/>
    <hyperlink r:id="rId151" ref="C112"/>
    <hyperlink r:id="rId152" ref="C113"/>
    <hyperlink r:id="rId153" ref="M113"/>
    <hyperlink r:id="rId154" ref="C114"/>
    <hyperlink r:id="rId155" ref="C115"/>
    <hyperlink r:id="rId156" ref="C116"/>
    <hyperlink r:id="rId157" ref="C117"/>
    <hyperlink r:id="rId158" ref="C118"/>
    <hyperlink r:id="rId159" ref="C119"/>
    <hyperlink r:id="rId160" ref="C120"/>
    <hyperlink r:id="rId161" ref="C121"/>
    <hyperlink r:id="rId162" ref="C122"/>
    <hyperlink r:id="rId163" ref="C123"/>
    <hyperlink r:id="rId164" ref="M123"/>
    <hyperlink r:id="rId165" ref="C124"/>
    <hyperlink r:id="rId166" ref="C125"/>
    <hyperlink r:id="rId167" ref="M125"/>
    <hyperlink r:id="rId168" ref="C126"/>
    <hyperlink r:id="rId169" ref="C127"/>
    <hyperlink r:id="rId170" ref="C128"/>
    <hyperlink r:id="rId171" ref="C129"/>
    <hyperlink r:id="rId172" ref="M129"/>
    <hyperlink r:id="rId173" ref="C130"/>
    <hyperlink r:id="rId174" ref="M130"/>
    <hyperlink r:id="rId175" ref="C131"/>
    <hyperlink r:id="rId176" ref="M131"/>
    <hyperlink r:id="rId177" ref="C132"/>
    <hyperlink r:id="rId178" ref="M132"/>
    <hyperlink r:id="rId179" ref="C133"/>
    <hyperlink r:id="rId180" ref="M133"/>
    <hyperlink r:id="rId181" ref="C134"/>
    <hyperlink r:id="rId182" ref="M134"/>
    <hyperlink r:id="rId183" ref="C135"/>
    <hyperlink r:id="rId184" ref="M135"/>
    <hyperlink r:id="rId185" ref="C136"/>
    <hyperlink r:id="rId186" ref="C137"/>
    <hyperlink r:id="rId187" ref="C138"/>
    <hyperlink r:id="rId188" ref="C139"/>
    <hyperlink r:id="rId189" ref="C140"/>
    <hyperlink r:id="rId190" ref="C141"/>
    <hyperlink r:id="rId191" ref="C142"/>
    <hyperlink r:id="rId192" ref="C143"/>
    <hyperlink r:id="rId193" ref="C144"/>
    <hyperlink r:id="rId194" ref="C145"/>
    <hyperlink r:id="rId195" ref="C146"/>
    <hyperlink r:id="rId196" ref="C147"/>
    <hyperlink r:id="rId197" ref="C148"/>
    <hyperlink r:id="rId198" ref="C149"/>
    <hyperlink r:id="rId199" ref="C150"/>
    <hyperlink r:id="rId200" ref="C151"/>
    <hyperlink r:id="rId201" ref="C152"/>
    <hyperlink r:id="rId202" ref="C153"/>
    <hyperlink r:id="rId203" ref="C154"/>
    <hyperlink r:id="rId204" ref="M154"/>
    <hyperlink r:id="rId205" ref="C155"/>
    <hyperlink r:id="rId206" ref="M155"/>
    <hyperlink r:id="rId207" ref="C156"/>
    <hyperlink r:id="rId208" ref="C157"/>
    <hyperlink r:id="rId209" ref="M157"/>
    <hyperlink r:id="rId210" ref="C158"/>
    <hyperlink r:id="rId211" ref="C159"/>
    <hyperlink r:id="rId212" ref="C160"/>
    <hyperlink r:id="rId213" ref="M160"/>
    <hyperlink r:id="rId214" ref="C161"/>
    <hyperlink r:id="rId215" ref="M161"/>
    <hyperlink r:id="rId216" ref="C162"/>
    <hyperlink r:id="rId217" ref="C163"/>
    <hyperlink r:id="rId218" ref="M163"/>
    <hyperlink r:id="rId219" ref="C164"/>
    <hyperlink r:id="rId220" ref="M164"/>
    <hyperlink r:id="rId221" ref="C165"/>
    <hyperlink r:id="rId222" ref="M165"/>
    <hyperlink r:id="rId223" ref="C166"/>
    <hyperlink r:id="rId224" ref="M166"/>
    <hyperlink r:id="rId225" ref="C167"/>
    <hyperlink r:id="rId226" ref="C168"/>
    <hyperlink r:id="rId227" ref="M168"/>
    <hyperlink r:id="rId228" ref="C169"/>
    <hyperlink r:id="rId229" ref="C170"/>
    <hyperlink r:id="rId230" ref="C171"/>
    <hyperlink r:id="rId231" ref="M171"/>
    <hyperlink r:id="rId232" ref="C172"/>
    <hyperlink r:id="rId233" ref="M172"/>
    <hyperlink r:id="rId234" ref="C173"/>
    <hyperlink r:id="rId235" ref="C174"/>
    <hyperlink r:id="rId236" ref="M174"/>
    <hyperlink r:id="rId237" ref="C175"/>
    <hyperlink r:id="rId238" ref="C176"/>
  </hyperlinks>
  <drawing r:id="rId2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33.13"/>
    <col customWidth="1" min="3" max="3" width="54.38"/>
    <col customWidth="1" min="4" max="4" width="63.13"/>
    <col customWidth="1" min="11" max="11" width="38.38"/>
  </cols>
  <sheetData>
    <row r="1">
      <c r="A1" s="11" t="s">
        <v>0</v>
      </c>
      <c r="B1" s="11" t="s">
        <v>1</v>
      </c>
      <c r="C1" s="12" t="s">
        <v>2</v>
      </c>
      <c r="D1" s="12" t="s">
        <v>3</v>
      </c>
      <c r="E1" s="12" t="s">
        <v>4</v>
      </c>
      <c r="F1" s="12" t="s">
        <v>5</v>
      </c>
      <c r="G1" s="12" t="s">
        <v>6</v>
      </c>
      <c r="H1" s="12" t="s">
        <v>7</v>
      </c>
      <c r="I1" s="13" t="s">
        <v>8</v>
      </c>
      <c r="J1" s="13" t="s">
        <v>9</v>
      </c>
      <c r="K1" s="11" t="s">
        <v>10</v>
      </c>
    </row>
    <row r="2">
      <c r="A2" s="5">
        <v>1.0</v>
      </c>
      <c r="B2" s="6" t="str">
        <f>VLOOKUP(A2,vaccines!A:B,2)</f>
        <v>BCG_Microgen</v>
      </c>
      <c r="C2" s="14" t="s">
        <v>11</v>
      </c>
      <c r="D2" s="14" t="s">
        <v>12</v>
      </c>
      <c r="E2" s="15">
        <v>45461.0</v>
      </c>
      <c r="F2" s="16"/>
      <c r="G2" s="16"/>
      <c r="H2" s="17" t="s">
        <v>13</v>
      </c>
      <c r="I2" s="18">
        <v>45105.0</v>
      </c>
      <c r="J2" s="19">
        <v>45517.0</v>
      </c>
      <c r="K2" s="20" t="s">
        <v>14</v>
      </c>
    </row>
    <row r="3">
      <c r="A3" s="5">
        <v>2.0</v>
      </c>
      <c r="B3" s="6" t="str">
        <f>VLOOKUP(A3,vaccines!A:B,2)</f>
        <v>BCG_M_Microgen</v>
      </c>
      <c r="C3" s="14" t="s">
        <v>15</v>
      </c>
      <c r="D3" s="14" t="s">
        <v>16</v>
      </c>
      <c r="E3" s="15">
        <v>45461.0</v>
      </c>
      <c r="F3" s="16"/>
      <c r="G3" s="16"/>
      <c r="H3" s="17" t="s">
        <v>17</v>
      </c>
      <c r="I3" s="18">
        <v>45107.0</v>
      </c>
      <c r="J3" s="19">
        <v>45517.0</v>
      </c>
      <c r="K3" s="20" t="s">
        <v>18</v>
      </c>
    </row>
    <row r="4">
      <c r="A4" s="5">
        <v>3.0</v>
      </c>
      <c r="B4" s="6" t="str">
        <f>VLOOKUP(A4,vaccines!A:B,2)</f>
        <v>BCG_Gamaleya</v>
      </c>
      <c r="C4" s="14" t="s">
        <v>19</v>
      </c>
      <c r="D4" s="14" t="s">
        <v>20</v>
      </c>
      <c r="E4" s="15">
        <v>45769.0</v>
      </c>
      <c r="F4" s="21">
        <v>1.0</v>
      </c>
      <c r="G4" s="21">
        <v>0.0</v>
      </c>
      <c r="H4" s="17" t="s">
        <v>21</v>
      </c>
      <c r="I4" s="18">
        <v>45108.0</v>
      </c>
      <c r="J4" s="19">
        <v>45801.0</v>
      </c>
    </row>
    <row r="5">
      <c r="A5" s="5">
        <v>4.0</v>
      </c>
      <c r="B5" s="6" t="str">
        <f>VLOOKUP(A5,vaccines!A:B,2)</f>
        <v>BCG_M_Gamaleya</v>
      </c>
      <c r="C5" s="14" t="s">
        <v>22</v>
      </c>
      <c r="D5" s="14" t="s">
        <v>23</v>
      </c>
      <c r="E5" s="15">
        <v>45771.0</v>
      </c>
      <c r="F5" s="21">
        <v>1.0</v>
      </c>
      <c r="G5" s="21">
        <v>0.0</v>
      </c>
      <c r="H5" s="17" t="s">
        <v>24</v>
      </c>
      <c r="I5" s="15">
        <f>I4</f>
        <v>45108</v>
      </c>
      <c r="J5" s="19">
        <v>45818.0</v>
      </c>
    </row>
    <row r="6">
      <c r="A6" s="5">
        <v>5.0</v>
      </c>
      <c r="B6" s="6" t="str">
        <f>VLOOKUP(A6,vaccines!A:B,2)</f>
        <v>Infanrix</v>
      </c>
      <c r="C6" s="14" t="s">
        <v>25</v>
      </c>
      <c r="D6" s="14" t="s">
        <v>26</v>
      </c>
      <c r="E6" s="15">
        <v>44211.0</v>
      </c>
      <c r="F6" s="16"/>
      <c r="G6" s="16"/>
      <c r="H6" s="17" t="s">
        <v>27</v>
      </c>
      <c r="I6" s="18">
        <v>45105.0</v>
      </c>
      <c r="J6" s="19">
        <v>45481.0</v>
      </c>
      <c r="K6" s="20" t="s">
        <v>14</v>
      </c>
    </row>
    <row r="7">
      <c r="A7" s="5">
        <v>6.0</v>
      </c>
      <c r="B7" s="6" t="str">
        <f>VLOOKUP(A7,vaccines!A:B,2)</f>
        <v>AKDS_Microgen</v>
      </c>
      <c r="C7" s="14" t="s">
        <v>28</v>
      </c>
      <c r="D7" s="14" t="s">
        <v>29</v>
      </c>
      <c r="E7" s="15">
        <v>45415.0</v>
      </c>
      <c r="F7" s="16"/>
      <c r="G7" s="16"/>
      <c r="H7" s="17" t="s">
        <v>30</v>
      </c>
      <c r="I7" s="22">
        <v>45115.0</v>
      </c>
      <c r="J7" s="19">
        <v>45461.0</v>
      </c>
    </row>
    <row r="8">
      <c r="A8" s="5">
        <v>7.0</v>
      </c>
      <c r="B8" s="6" t="str">
        <f>VLOOKUP(A8,vaccines!A:B,2)</f>
        <v>AKDS_Biomed</v>
      </c>
      <c r="C8" s="14" t="s">
        <v>31</v>
      </c>
      <c r="D8" s="14" t="s">
        <v>32</v>
      </c>
      <c r="E8" s="22">
        <v>41388.0</v>
      </c>
      <c r="F8" s="23">
        <v>1.0</v>
      </c>
      <c r="G8" s="23">
        <v>0.0</v>
      </c>
      <c r="H8" s="24" t="s">
        <v>33</v>
      </c>
      <c r="I8" s="22">
        <v>45115.0</v>
      </c>
      <c r="J8" s="10"/>
    </row>
    <row r="9">
      <c r="A9" s="5">
        <v>8.0</v>
      </c>
      <c r="B9" s="6" t="str">
        <f>VLOOKUP(A9,vaccines!A:B,2)</f>
        <v>Bubo_kok</v>
      </c>
      <c r="C9" s="14" t="s">
        <v>34</v>
      </c>
      <c r="D9" s="14" t="s">
        <v>35</v>
      </c>
      <c r="E9" s="22">
        <v>40395.0</v>
      </c>
      <c r="F9" s="23">
        <v>1.0</v>
      </c>
      <c r="G9" s="23">
        <v>0.0</v>
      </c>
      <c r="H9" s="25" t="s">
        <v>36</v>
      </c>
      <c r="I9" s="22">
        <v>45115.0</v>
      </c>
      <c r="J9" s="10"/>
    </row>
    <row r="10">
      <c r="A10" s="5">
        <v>9.0</v>
      </c>
      <c r="B10" s="6" t="str">
        <f>VLOOKUP(A10,vaccines!A:B,2)</f>
        <v>Pentaxim</v>
      </c>
      <c r="C10" s="14" t="s">
        <v>37</v>
      </c>
      <c r="D10" s="14" t="s">
        <v>38</v>
      </c>
      <c r="E10" s="15">
        <v>45980.0</v>
      </c>
      <c r="F10" s="21">
        <v>1.0</v>
      </c>
      <c r="G10" s="21">
        <v>0.0</v>
      </c>
      <c r="H10" s="17" t="s">
        <v>39</v>
      </c>
      <c r="I10" s="15">
        <f t="shared" ref="I10:I11" si="1">I9</f>
        <v>45115</v>
      </c>
      <c r="J10" s="19">
        <v>46204.0</v>
      </c>
      <c r="K10" s="26" t="s">
        <v>40</v>
      </c>
    </row>
    <row r="11">
      <c r="A11" s="5">
        <v>10.0</v>
      </c>
      <c r="B11" s="6" t="str">
        <f>VLOOKUP(A11,vaccines!A:B,2)</f>
        <v>Infanrix_Hexa</v>
      </c>
      <c r="C11" s="14" t="s">
        <v>41</v>
      </c>
      <c r="D11" s="14" t="s">
        <v>42</v>
      </c>
      <c r="E11" s="15">
        <v>45953.0</v>
      </c>
      <c r="F11" s="21">
        <v>1.0</v>
      </c>
      <c r="G11" s="21">
        <v>0.0</v>
      </c>
      <c r="H11" s="17" t="s">
        <v>43</v>
      </c>
      <c r="I11" s="15">
        <f t="shared" si="1"/>
        <v>45115</v>
      </c>
      <c r="J11" s="19">
        <v>46000.0</v>
      </c>
    </row>
    <row r="12">
      <c r="A12" s="5">
        <v>11.0</v>
      </c>
      <c r="B12" s="6" t="str">
        <f>VLOOKUP(A12,vaccines!A:B,2)</f>
        <v>Bubo_M</v>
      </c>
      <c r="C12" s="14" t="s">
        <v>44</v>
      </c>
      <c r="D12" s="14" t="s">
        <v>45</v>
      </c>
      <c r="E12" s="15">
        <v>46136.0</v>
      </c>
      <c r="F12" s="21">
        <v>1.0</v>
      </c>
      <c r="G12" s="21">
        <v>0.0</v>
      </c>
      <c r="H12" s="17" t="s">
        <v>46</v>
      </c>
      <c r="I12" s="27">
        <v>45116.0</v>
      </c>
      <c r="J12" s="19">
        <v>46188.0</v>
      </c>
    </row>
    <row r="13">
      <c r="A13" s="5">
        <v>12.0</v>
      </c>
      <c r="B13" s="6" t="str">
        <f>VLOOKUP(A13,vaccines!A:B,2)</f>
        <v>AD_M_Microgen</v>
      </c>
      <c r="C13" s="14" t="s">
        <v>47</v>
      </c>
      <c r="D13" s="14" t="s">
        <v>48</v>
      </c>
      <c r="E13" s="15">
        <v>45482.0</v>
      </c>
      <c r="F13" s="16"/>
      <c r="G13" s="16"/>
      <c r="H13" s="17" t="s">
        <v>49</v>
      </c>
      <c r="I13" s="15">
        <f t="shared" ref="I13:I15" si="2">I12</f>
        <v>45116</v>
      </c>
      <c r="J13" s="19">
        <v>45518.0</v>
      </c>
      <c r="K13" s="20" t="s">
        <v>18</v>
      </c>
    </row>
    <row r="14">
      <c r="A14" s="5">
        <v>13.0</v>
      </c>
      <c r="B14" s="6" t="str">
        <f>VLOOKUP(A14,vaccines!A:B,2)</f>
        <v>ADS_Microgen</v>
      </c>
      <c r="C14" s="14" t="s">
        <v>50</v>
      </c>
      <c r="D14" s="14" t="s">
        <v>51</v>
      </c>
      <c r="E14" s="15">
        <v>45488.0</v>
      </c>
      <c r="F14" s="16"/>
      <c r="G14" s="16"/>
      <c r="H14" s="17" t="s">
        <v>52</v>
      </c>
      <c r="I14" s="15">
        <f t="shared" si="2"/>
        <v>45116</v>
      </c>
      <c r="J14" s="19">
        <v>45518.0</v>
      </c>
    </row>
    <row r="15">
      <c r="A15" s="5">
        <v>14.0</v>
      </c>
      <c r="B15" s="6" t="str">
        <f>VLOOKUP(A15,vaccines!A:B,2)</f>
        <v>ADS_M_Microgen</v>
      </c>
      <c r="C15" s="14" t="s">
        <v>53</v>
      </c>
      <c r="D15" s="14" t="s">
        <v>54</v>
      </c>
      <c r="E15" s="15">
        <v>45623.0</v>
      </c>
      <c r="F15" s="21">
        <v>1.0</v>
      </c>
      <c r="G15" s="21">
        <v>0.0</v>
      </c>
      <c r="H15" s="17" t="s">
        <v>55</v>
      </c>
      <c r="I15" s="15">
        <f t="shared" si="2"/>
        <v>45116</v>
      </c>
      <c r="J15" s="19">
        <v>45861.0</v>
      </c>
    </row>
    <row r="16">
      <c r="A16" s="5">
        <v>15.0</v>
      </c>
      <c r="B16" s="6" t="str">
        <f>VLOOKUP(A16,vaccines!A:B,2)</f>
        <v>ADS_M_Biomed</v>
      </c>
      <c r="C16" s="14" t="s">
        <v>56</v>
      </c>
      <c r="D16" s="14" t="s">
        <v>57</v>
      </c>
      <c r="E16" s="28">
        <v>41046.0</v>
      </c>
      <c r="F16" s="23">
        <v>1.0</v>
      </c>
      <c r="G16" s="23">
        <v>0.0</v>
      </c>
      <c r="H16" s="24" t="s">
        <v>58</v>
      </c>
      <c r="I16" s="22">
        <v>45116.0</v>
      </c>
      <c r="J16" s="10"/>
    </row>
    <row r="17">
      <c r="A17" s="5">
        <v>16.0</v>
      </c>
      <c r="B17" s="6" t="str">
        <f>VLOOKUP(A17,vaccines!A:B,2)</f>
        <v>Adacel</v>
      </c>
      <c r="C17" s="14" t="s">
        <v>59</v>
      </c>
      <c r="D17" s="14" t="s">
        <v>60</v>
      </c>
      <c r="E17" s="15">
        <v>45456.0</v>
      </c>
      <c r="F17" s="16"/>
      <c r="G17" s="16"/>
      <c r="H17" s="29" t="s">
        <v>61</v>
      </c>
      <c r="I17" s="18">
        <v>45117.0</v>
      </c>
      <c r="J17" s="19">
        <v>45589.0</v>
      </c>
    </row>
    <row r="18">
      <c r="A18" s="5">
        <v>17.0</v>
      </c>
      <c r="B18" s="6" t="str">
        <f>VLOOKUP(A18,vaccines!A:B,2)</f>
        <v>Algavac_M</v>
      </c>
      <c r="C18" s="14" t="s">
        <v>62</v>
      </c>
      <c r="D18" s="14" t="s">
        <v>63</v>
      </c>
      <c r="E18" s="22">
        <v>43369.0</v>
      </c>
      <c r="F18" s="23">
        <v>1.0</v>
      </c>
      <c r="G18" s="23">
        <v>0.0</v>
      </c>
      <c r="H18" s="24" t="s">
        <v>64</v>
      </c>
      <c r="I18" s="22">
        <v>45117.0</v>
      </c>
      <c r="J18" s="10"/>
    </row>
    <row r="19">
      <c r="A19" s="5">
        <v>18.0</v>
      </c>
      <c r="B19" s="6" t="str">
        <f>VLOOKUP(A19,vaccines!A:B,2)</f>
        <v>Algavac</v>
      </c>
      <c r="C19" s="14" t="s">
        <v>65</v>
      </c>
      <c r="D19" s="14" t="s">
        <v>66</v>
      </c>
      <c r="E19" s="15">
        <v>46111.0</v>
      </c>
      <c r="F19" s="21">
        <v>1.0</v>
      </c>
      <c r="G19" s="21">
        <v>0.0</v>
      </c>
      <c r="H19" s="17" t="s">
        <v>67</v>
      </c>
      <c r="I19" s="15">
        <f>I18</f>
        <v>45117</v>
      </c>
      <c r="J19" s="19">
        <v>46188.0</v>
      </c>
    </row>
    <row r="20">
      <c r="A20" s="5">
        <v>19.0</v>
      </c>
      <c r="B20" s="6" t="str">
        <f>VLOOKUP(A20,vaccines!A:B,2)</f>
        <v>Havrix_720</v>
      </c>
      <c r="C20" s="14" t="s">
        <v>68</v>
      </c>
      <c r="D20" s="14" t="s">
        <v>69</v>
      </c>
      <c r="E20" s="15">
        <v>45490.0</v>
      </c>
      <c r="F20" s="16"/>
      <c r="G20" s="16"/>
      <c r="H20" s="17" t="s">
        <v>70</v>
      </c>
      <c r="I20" s="22">
        <v>45119.0</v>
      </c>
      <c r="J20" s="19">
        <v>45558.0</v>
      </c>
    </row>
    <row r="21">
      <c r="A21" s="5">
        <v>20.0</v>
      </c>
      <c r="B21" s="6" t="str">
        <f>VLOOKUP(A21,vaccines!A:B,2)</f>
        <v>Havrix_1440</v>
      </c>
      <c r="C21" s="14" t="s">
        <v>71</v>
      </c>
      <c r="D21" s="14" t="s">
        <v>72</v>
      </c>
      <c r="E21" s="15">
        <v>45490.0</v>
      </c>
      <c r="F21" s="21"/>
      <c r="G21" s="21"/>
      <c r="H21" s="17" t="s">
        <v>70</v>
      </c>
      <c r="I21" s="22">
        <v>45119.0</v>
      </c>
      <c r="J21" s="19">
        <v>45558.0</v>
      </c>
    </row>
    <row r="22">
      <c r="A22" s="5">
        <v>21.0</v>
      </c>
      <c r="B22" s="6" t="str">
        <f>VLOOKUP(A22,vaccines!A:B,2)</f>
        <v>Avaxim_80</v>
      </c>
      <c r="C22" s="14" t="s">
        <v>73</v>
      </c>
      <c r="D22" s="14" t="s">
        <v>74</v>
      </c>
      <c r="E22" s="22">
        <v>42367.0</v>
      </c>
      <c r="F22" s="23">
        <v>2.0</v>
      </c>
      <c r="G22" s="23">
        <v>1.0</v>
      </c>
      <c r="H22" s="24" t="s">
        <v>75</v>
      </c>
      <c r="I22" s="22">
        <v>45119.0</v>
      </c>
      <c r="J22" s="10"/>
    </row>
    <row r="23">
      <c r="A23" s="5">
        <v>22.0</v>
      </c>
      <c r="B23" s="6" t="str">
        <f>VLOOKUP(A23,vaccines!A:B,2)</f>
        <v>Avaxim_160</v>
      </c>
      <c r="C23" s="14" t="s">
        <v>76</v>
      </c>
      <c r="D23" s="14" t="s">
        <v>77</v>
      </c>
      <c r="E23" s="22">
        <v>42131.0</v>
      </c>
      <c r="F23" s="23">
        <v>1.0</v>
      </c>
      <c r="G23" s="23">
        <v>0.0</v>
      </c>
      <c r="H23" s="25" t="s">
        <v>78</v>
      </c>
      <c r="I23" s="22">
        <v>45119.0</v>
      </c>
      <c r="J23" s="10"/>
    </row>
    <row r="24">
      <c r="A24" s="5">
        <v>23.0</v>
      </c>
      <c r="B24" s="6" t="str">
        <f>VLOOKUP(A24,vaccines!A:B,2)</f>
        <v>Regevac_0_5</v>
      </c>
      <c r="C24" s="14" t="s">
        <v>79</v>
      </c>
      <c r="D24" s="14" t="s">
        <v>80</v>
      </c>
      <c r="E24" s="15">
        <v>45216.0</v>
      </c>
      <c r="F24" s="21">
        <v>1.0</v>
      </c>
      <c r="G24" s="21">
        <v>0.0</v>
      </c>
      <c r="H24" s="17" t="s">
        <v>81</v>
      </c>
      <c r="I24" s="15">
        <f t="shared" ref="I24:I25" si="3">I23</f>
        <v>45119</v>
      </c>
      <c r="J24" s="19">
        <v>45988.0</v>
      </c>
    </row>
    <row r="25">
      <c r="A25" s="5">
        <v>24.0</v>
      </c>
      <c r="B25" s="6" t="str">
        <f>VLOOKUP(A25,vaccines!A:B,2)</f>
        <v>HepB_Combiotech_0_5</v>
      </c>
      <c r="C25" s="14" t="s">
        <v>82</v>
      </c>
      <c r="D25" s="14" t="s">
        <v>83</v>
      </c>
      <c r="E25" s="15">
        <v>46056.0</v>
      </c>
      <c r="F25" s="21">
        <v>1.0</v>
      </c>
      <c r="G25" s="21">
        <v>0.0</v>
      </c>
      <c r="H25" s="17" t="s">
        <v>84</v>
      </c>
      <c r="I25" s="15">
        <f t="shared" si="3"/>
        <v>45119</v>
      </c>
      <c r="J25" s="19">
        <v>46130.0</v>
      </c>
    </row>
    <row r="26">
      <c r="A26" s="5">
        <v>25.0</v>
      </c>
      <c r="B26" s="6" t="str">
        <f>VLOOKUP(A26,vaccines!A:B,2)</f>
        <v>Euvax_B_0_5</v>
      </c>
      <c r="C26" s="14" t="s">
        <v>85</v>
      </c>
      <c r="D26" s="14" t="s">
        <v>86</v>
      </c>
      <c r="E26" s="22">
        <v>42410.0</v>
      </c>
      <c r="F26" s="23">
        <v>2.0</v>
      </c>
      <c r="G26" s="23">
        <v>1.0</v>
      </c>
      <c r="H26" s="24" t="s">
        <v>87</v>
      </c>
      <c r="I26" s="22">
        <v>45120.0</v>
      </c>
      <c r="J26" s="10"/>
    </row>
    <row r="27">
      <c r="A27" s="5">
        <v>26.0</v>
      </c>
      <c r="B27" s="6" t="str">
        <f>VLOOKUP(A27,vaccines!A:B,2)</f>
        <v>Euvax_B_1_0</v>
      </c>
      <c r="C27" s="14" t="s">
        <v>88</v>
      </c>
      <c r="D27" s="14" t="s">
        <v>89</v>
      </c>
      <c r="E27" s="22">
        <v>42410.0</v>
      </c>
      <c r="F27" s="23">
        <v>2.0</v>
      </c>
      <c r="G27" s="23">
        <v>1.0</v>
      </c>
      <c r="H27" s="24" t="s">
        <v>87</v>
      </c>
      <c r="I27" s="22">
        <v>45120.0</v>
      </c>
      <c r="J27" s="10"/>
    </row>
    <row r="28">
      <c r="A28" s="5">
        <v>27.0</v>
      </c>
      <c r="B28" s="6" t="str">
        <f>VLOOKUP(A28,vaccines!A:B,2)</f>
        <v>Cervarix</v>
      </c>
      <c r="C28" s="14" t="s">
        <v>90</v>
      </c>
      <c r="D28" s="14" t="s">
        <v>91</v>
      </c>
      <c r="E28" s="15">
        <v>45513.0</v>
      </c>
      <c r="F28" s="16"/>
      <c r="G28" s="16"/>
      <c r="H28" s="17" t="s">
        <v>92</v>
      </c>
      <c r="I28" s="15">
        <f>I27</f>
        <v>45120</v>
      </c>
      <c r="J28" s="19">
        <v>45589.0</v>
      </c>
    </row>
    <row r="29">
      <c r="A29" s="5">
        <v>28.0</v>
      </c>
      <c r="B29" s="6" t="str">
        <f>VLOOKUP(A29,vaccines!A:B,2)</f>
        <v>Gardasil_4</v>
      </c>
      <c r="C29" s="14" t="s">
        <v>93</v>
      </c>
      <c r="D29" s="14" t="s">
        <v>94</v>
      </c>
      <c r="E29" s="15">
        <v>45386.0</v>
      </c>
      <c r="F29" s="16"/>
      <c r="G29" s="16"/>
      <c r="H29" s="17" t="s">
        <v>95</v>
      </c>
      <c r="I29" s="22">
        <v>45120.0</v>
      </c>
      <c r="J29" s="22">
        <v>45483.0</v>
      </c>
    </row>
    <row r="30">
      <c r="A30" s="5">
        <v>29.0</v>
      </c>
      <c r="B30" s="6" t="str">
        <f>VLOOKUP(A30,vaccines!A:B,2)</f>
        <v>Sputnik</v>
      </c>
      <c r="C30" s="14" t="s">
        <v>96</v>
      </c>
      <c r="D30" s="14" t="s">
        <v>97</v>
      </c>
      <c r="E30" s="15">
        <v>45839.0</v>
      </c>
      <c r="F30" s="21">
        <v>1.0</v>
      </c>
      <c r="G30" s="21">
        <v>0.0</v>
      </c>
      <c r="H30" s="17" t="s">
        <v>98</v>
      </c>
      <c r="I30" s="18">
        <v>45121.0</v>
      </c>
      <c r="J30" s="19">
        <v>45923.0</v>
      </c>
    </row>
    <row r="31">
      <c r="A31" s="5">
        <v>30.0</v>
      </c>
      <c r="B31" s="6" t="str">
        <f>VLOOKUP(A31,vaccines!A:B,2)</f>
        <v>Sputnik_Lyo</v>
      </c>
      <c r="C31" s="14" t="s">
        <v>99</v>
      </c>
      <c r="D31" s="14" t="s">
        <v>100</v>
      </c>
      <c r="E31" s="22">
        <v>44631.0</v>
      </c>
      <c r="F31" s="23">
        <v>2.0</v>
      </c>
      <c r="G31" s="23">
        <v>1.0</v>
      </c>
      <c r="H31" s="25" t="s">
        <v>101</v>
      </c>
      <c r="I31" s="22">
        <v>45121.0</v>
      </c>
      <c r="J31" s="10"/>
    </row>
    <row r="32">
      <c r="A32" s="5">
        <v>31.0</v>
      </c>
      <c r="B32" s="6" t="str">
        <f>VLOOKUP(A32,vaccines!A:B,2)</f>
        <v>EpiVacCorona</v>
      </c>
      <c r="C32" s="14" t="s">
        <v>102</v>
      </c>
      <c r="D32" s="14" t="s">
        <v>103</v>
      </c>
      <c r="E32" s="22">
        <v>44911.0</v>
      </c>
      <c r="F32" s="23">
        <v>1.0</v>
      </c>
      <c r="G32" s="23">
        <v>0.0</v>
      </c>
      <c r="H32" s="25" t="s">
        <v>104</v>
      </c>
      <c r="I32" s="22">
        <v>45122.0</v>
      </c>
      <c r="J32" s="10"/>
    </row>
    <row r="33">
      <c r="A33" s="5">
        <v>32.0</v>
      </c>
      <c r="B33" s="6" t="str">
        <f>VLOOKUP(A33,vaccines!A:B,2)</f>
        <v>Grippol_Microgen</v>
      </c>
      <c r="C33" s="14" t="s">
        <v>105</v>
      </c>
      <c r="D33" s="14" t="s">
        <v>106</v>
      </c>
      <c r="E33" s="22">
        <v>41411.0</v>
      </c>
      <c r="F33" s="23">
        <v>1.0</v>
      </c>
      <c r="G33" s="23">
        <v>0.0</v>
      </c>
      <c r="H33" s="25" t="s">
        <v>107</v>
      </c>
      <c r="I33" s="22">
        <v>45122.0</v>
      </c>
      <c r="J33" s="10"/>
      <c r="K33" s="20" t="s">
        <v>18</v>
      </c>
    </row>
    <row r="34">
      <c r="A34" s="5">
        <v>33.0</v>
      </c>
      <c r="B34" s="6" t="str">
        <f>VLOOKUP(A34,vaccines!A:B,2)</f>
        <v>Grippol_Petrovax</v>
      </c>
      <c r="C34" s="14" t="s">
        <v>108</v>
      </c>
      <c r="D34" s="14" t="s">
        <v>109</v>
      </c>
      <c r="E34" s="22">
        <v>40634.0</v>
      </c>
      <c r="F34" s="23">
        <v>1.0</v>
      </c>
      <c r="G34" s="23">
        <v>0.0</v>
      </c>
      <c r="H34" s="25" t="s">
        <v>110</v>
      </c>
      <c r="I34" s="22">
        <v>45122.0</v>
      </c>
      <c r="J34" s="10"/>
    </row>
    <row r="35">
      <c r="A35" s="5">
        <v>34.0</v>
      </c>
      <c r="B35" s="6" t="str">
        <f>VLOOKUP(A35,vaccines!A:B,2)</f>
        <v>Grippol_plus_0_5</v>
      </c>
      <c r="C35" s="30" t="s">
        <v>111</v>
      </c>
      <c r="D35" s="30" t="s">
        <v>112</v>
      </c>
      <c r="E35" s="15">
        <v>45182.0</v>
      </c>
      <c r="F35" s="16"/>
      <c r="G35" s="16"/>
      <c r="H35" s="17" t="s">
        <v>113</v>
      </c>
      <c r="I35" s="22">
        <v>45122.0</v>
      </c>
      <c r="J35" s="22">
        <v>45483.0</v>
      </c>
    </row>
    <row r="36">
      <c r="A36" s="5">
        <v>35.0</v>
      </c>
      <c r="B36" s="6" t="str">
        <f>VLOOKUP(A36,vaccines!A:B,2)</f>
        <v>Sovigripp</v>
      </c>
      <c r="C36" s="14" t="s">
        <v>114</v>
      </c>
      <c r="D36" s="14" t="s">
        <v>115</v>
      </c>
      <c r="E36" s="15">
        <v>45580.0</v>
      </c>
      <c r="F36" s="16"/>
      <c r="G36" s="16"/>
      <c r="H36" s="29" t="s">
        <v>116</v>
      </c>
      <c r="I36" s="15">
        <f>I35</f>
        <v>45122</v>
      </c>
      <c r="J36" s="19">
        <v>45622.0</v>
      </c>
    </row>
    <row r="37">
      <c r="A37" s="5">
        <v>36.0</v>
      </c>
      <c r="B37" s="6" t="str">
        <f>VLOOKUP(A37,vaccines!A:B,2)</f>
        <v>Ultrix</v>
      </c>
      <c r="C37" s="14" t="s">
        <v>117</v>
      </c>
      <c r="D37" s="14" t="s">
        <v>118</v>
      </c>
      <c r="E37" s="15">
        <v>45211.0</v>
      </c>
      <c r="F37" s="16"/>
      <c r="G37" s="16"/>
      <c r="H37" s="17" t="s">
        <v>119</v>
      </c>
      <c r="I37" s="22">
        <v>45123.0</v>
      </c>
      <c r="J37" s="22">
        <v>45483.0</v>
      </c>
    </row>
    <row r="38">
      <c r="A38" s="5">
        <v>37.0</v>
      </c>
      <c r="B38" s="6" t="str">
        <f>VLOOKUP(A38,vaccines!A:B,2)</f>
        <v>Flu_M</v>
      </c>
      <c r="C38" s="14" t="s">
        <v>120</v>
      </c>
      <c r="D38" s="14" t="s">
        <v>121</v>
      </c>
      <c r="E38" s="15">
        <v>46035.0</v>
      </c>
      <c r="F38" s="21">
        <v>1.0</v>
      </c>
      <c r="G38" s="21">
        <v>0.0</v>
      </c>
      <c r="H38" s="17" t="s">
        <v>122</v>
      </c>
      <c r="I38" s="15">
        <f>I37</f>
        <v>45123</v>
      </c>
      <c r="J38" s="19">
        <v>46130.0</v>
      </c>
    </row>
    <row r="39">
      <c r="A39" s="5">
        <v>38.0</v>
      </c>
      <c r="B39" s="6" t="str">
        <f>VLOOKUP(A39,vaccines!A:B,2)</f>
        <v>Vaxigrip</v>
      </c>
      <c r="C39" s="14" t="s">
        <v>123</v>
      </c>
      <c r="D39" s="14" t="s">
        <v>124</v>
      </c>
      <c r="E39" s="22">
        <v>43598.0</v>
      </c>
      <c r="F39" s="23">
        <v>1.0</v>
      </c>
      <c r="G39" s="23">
        <v>0.0</v>
      </c>
      <c r="H39" s="25" t="s">
        <v>125</v>
      </c>
      <c r="I39" s="22">
        <v>45123.0</v>
      </c>
      <c r="J39" s="10"/>
    </row>
    <row r="40">
      <c r="A40" s="5">
        <v>39.0</v>
      </c>
      <c r="B40" s="6" t="str">
        <f>VLOOKUP(A40,vaccines!A:B,2)</f>
        <v>Influvac</v>
      </c>
      <c r="C40" s="14" t="s">
        <v>126</v>
      </c>
      <c r="D40" s="14" t="s">
        <v>127</v>
      </c>
      <c r="E40" s="15">
        <v>46066.0</v>
      </c>
      <c r="F40" s="21">
        <v>1.0</v>
      </c>
      <c r="G40" s="21">
        <v>0.0</v>
      </c>
      <c r="H40" s="17" t="s">
        <v>128</v>
      </c>
      <c r="I40" s="15">
        <f>I39</f>
        <v>45123</v>
      </c>
      <c r="J40" s="19">
        <v>46130.0</v>
      </c>
    </row>
    <row r="41">
      <c r="A41" s="5">
        <v>40.0</v>
      </c>
      <c r="B41" s="6" t="str">
        <f>VLOOKUP(A41,vaccines!A:B,2)</f>
        <v>Ultrix_quadri</v>
      </c>
      <c r="C41" s="14" t="s">
        <v>129</v>
      </c>
      <c r="D41" s="14" t="s">
        <v>130</v>
      </c>
      <c r="E41" s="15">
        <v>45524.0</v>
      </c>
      <c r="F41" s="16"/>
      <c r="G41" s="16"/>
      <c r="H41" s="29" t="s">
        <v>131</v>
      </c>
      <c r="I41" s="22">
        <v>45124.0</v>
      </c>
      <c r="J41" s="19">
        <v>45589.0</v>
      </c>
    </row>
    <row r="42">
      <c r="A42" s="5">
        <v>41.0</v>
      </c>
      <c r="B42" s="6" t="str">
        <f>VLOOKUP(A42,vaccines!A:B,2)</f>
        <v>Grippol_quadrivalent</v>
      </c>
      <c r="C42" s="14" t="s">
        <v>132</v>
      </c>
      <c r="D42" s="14" t="s">
        <v>133</v>
      </c>
      <c r="E42" s="15">
        <v>45727.0</v>
      </c>
      <c r="F42" s="21">
        <v>1.0</v>
      </c>
      <c r="G42" s="21">
        <v>0.0</v>
      </c>
      <c r="H42" s="17" t="s">
        <v>134</v>
      </c>
      <c r="I42" s="15">
        <f>I41</f>
        <v>45124</v>
      </c>
      <c r="J42" s="19">
        <v>45818.0</v>
      </c>
    </row>
    <row r="43">
      <c r="A43" s="5">
        <v>42.0</v>
      </c>
      <c r="B43" s="6" t="str">
        <f>VLOOKUP(A43,vaccines!A:B,2)</f>
        <v>measles_Microgen</v>
      </c>
      <c r="C43" s="14" t="s">
        <v>135</v>
      </c>
      <c r="D43" s="14" t="s">
        <v>136</v>
      </c>
      <c r="E43" s="15">
        <v>45404.0</v>
      </c>
      <c r="F43" s="16"/>
      <c r="G43" s="16"/>
      <c r="H43" s="17" t="s">
        <v>137</v>
      </c>
      <c r="I43" s="22">
        <v>45124.0</v>
      </c>
      <c r="J43" s="15">
        <v>45483.0</v>
      </c>
      <c r="K43" s="20" t="s">
        <v>18</v>
      </c>
    </row>
    <row r="44">
      <c r="A44" s="5">
        <v>43.0</v>
      </c>
      <c r="B44" s="6" t="str">
        <f>VLOOKUP(A44,vaccines!A:B,2)</f>
        <v>measles_Serum_India</v>
      </c>
      <c r="C44" s="14" t="s">
        <v>138</v>
      </c>
      <c r="D44" s="14" t="s">
        <v>139</v>
      </c>
      <c r="E44" s="15">
        <v>45981.0</v>
      </c>
      <c r="F44" s="21">
        <v>1.0</v>
      </c>
      <c r="G44" s="21">
        <v>0.0</v>
      </c>
      <c r="H44" s="17" t="s">
        <v>140</v>
      </c>
      <c r="I44" s="15">
        <f>I43</f>
        <v>45124</v>
      </c>
      <c r="J44" s="19">
        <v>46053.0</v>
      </c>
    </row>
    <row r="45">
      <c r="A45" s="5">
        <v>44.0</v>
      </c>
      <c r="B45" s="6" t="str">
        <f>VLOOKUP(A45,vaccines!A:B,2)</f>
        <v>measles_Vector</v>
      </c>
      <c r="C45" s="14" t="s">
        <v>141</v>
      </c>
      <c r="D45" s="14" t="s">
        <v>142</v>
      </c>
      <c r="E45" s="22">
        <v>39421.0</v>
      </c>
      <c r="F45" s="23">
        <v>1.0</v>
      </c>
      <c r="G45" s="23">
        <v>0.0</v>
      </c>
      <c r="H45" s="24" t="s">
        <v>143</v>
      </c>
      <c r="I45" s="22">
        <v>45124.0</v>
      </c>
      <c r="J45" s="10"/>
    </row>
    <row r="46">
      <c r="A46" s="5">
        <v>45.0</v>
      </c>
      <c r="B46" s="6" t="str">
        <f>VLOOKUP(A46,vaccines!A:B,2)</f>
        <v>measles_mumps_Microgen</v>
      </c>
      <c r="C46" s="14" t="s">
        <v>144</v>
      </c>
      <c r="D46" s="14" t="s">
        <v>145</v>
      </c>
      <c r="E46" s="15">
        <v>45460.0</v>
      </c>
      <c r="F46" s="16"/>
      <c r="G46" s="16"/>
      <c r="H46" s="29" t="s">
        <v>146</v>
      </c>
      <c r="I46" s="15">
        <f t="shared" ref="I46:I47" si="4">I45</f>
        <v>45124</v>
      </c>
      <c r="J46" s="19">
        <v>45589.0</v>
      </c>
    </row>
    <row r="47">
      <c r="A47" s="5">
        <v>46.0</v>
      </c>
      <c r="B47" s="6" t="str">
        <f>VLOOKUP(A47,vaccines!A:B,2)</f>
        <v>Vactrivir</v>
      </c>
      <c r="C47" s="14" t="s">
        <v>147</v>
      </c>
      <c r="D47" s="14" t="s">
        <v>148</v>
      </c>
      <c r="E47" s="15">
        <v>45817.0</v>
      </c>
      <c r="F47" s="21">
        <v>1.0</v>
      </c>
      <c r="G47" s="21">
        <v>0.0</v>
      </c>
      <c r="H47" s="17" t="s">
        <v>149</v>
      </c>
      <c r="I47" s="15">
        <f t="shared" si="4"/>
        <v>45124</v>
      </c>
      <c r="J47" s="19">
        <v>45830.0</v>
      </c>
    </row>
    <row r="48">
      <c r="A48" s="5">
        <v>47.0</v>
      </c>
      <c r="B48" s="6" t="str">
        <f>VLOOKUP(A48,vaccines!A:B,2)</f>
        <v>MMR_II</v>
      </c>
      <c r="C48" s="14" t="s">
        <v>150</v>
      </c>
      <c r="D48" s="14" t="s">
        <v>151</v>
      </c>
      <c r="E48" s="22">
        <v>43959.0</v>
      </c>
      <c r="F48" s="23">
        <v>5.0</v>
      </c>
      <c r="G48" s="23">
        <v>5.0</v>
      </c>
      <c r="H48" s="25" t="s">
        <v>152</v>
      </c>
      <c r="I48" s="22">
        <v>45124.0</v>
      </c>
      <c r="J48" s="10"/>
    </row>
    <row r="49">
      <c r="A49" s="5">
        <v>48.0</v>
      </c>
      <c r="B49" s="6" t="str">
        <f>VLOOKUP(A49,vaccines!A:B,2)</f>
        <v>MenA_Microgen</v>
      </c>
      <c r="C49" s="14" t="s">
        <v>153</v>
      </c>
      <c r="D49" s="14" t="s">
        <v>154</v>
      </c>
      <c r="E49" s="15">
        <v>45414.0</v>
      </c>
      <c r="F49" s="16"/>
      <c r="G49" s="16"/>
      <c r="H49" s="17" t="s">
        <v>155</v>
      </c>
      <c r="I49" s="15">
        <f t="shared" ref="I49:I52" si="5">I48</f>
        <v>45124</v>
      </c>
      <c r="J49" s="15">
        <v>45460.0</v>
      </c>
    </row>
    <row r="50">
      <c r="A50" s="5">
        <v>49.0</v>
      </c>
      <c r="B50" s="6" t="str">
        <f>VLOOKUP(A50,vaccines!A:B,2)</f>
        <v>MeningoVac_A_C</v>
      </c>
      <c r="C50" s="14" t="s">
        <v>156</v>
      </c>
      <c r="D50" s="14" t="s">
        <v>157</v>
      </c>
      <c r="E50" s="19">
        <v>45414.0</v>
      </c>
      <c r="F50" s="16"/>
      <c r="G50" s="16"/>
      <c r="H50" s="17" t="s">
        <v>158</v>
      </c>
      <c r="I50" s="19">
        <f t="shared" si="5"/>
        <v>45124</v>
      </c>
      <c r="J50" s="19">
        <v>45460.0</v>
      </c>
    </row>
    <row r="51">
      <c r="A51" s="5">
        <v>50.0</v>
      </c>
      <c r="B51" s="6" t="str">
        <f>VLOOKUP(A51,vaccines!A:B,2)</f>
        <v>Menactra</v>
      </c>
      <c r="C51" s="14" t="s">
        <v>159</v>
      </c>
      <c r="D51" s="14" t="s">
        <v>160</v>
      </c>
      <c r="E51" s="15">
        <v>45188.0</v>
      </c>
      <c r="F51" s="16"/>
      <c r="G51" s="16"/>
      <c r="H51" s="17" t="s">
        <v>161</v>
      </c>
      <c r="I51" s="19">
        <f t="shared" si="5"/>
        <v>45124</v>
      </c>
      <c r="J51" s="19">
        <v>45483.0</v>
      </c>
    </row>
    <row r="52">
      <c r="A52" s="5">
        <v>51.0</v>
      </c>
      <c r="B52" s="6" t="str">
        <f>VLOOKUP(A52,vaccines!A:B,2)</f>
        <v>mumps_Microgen</v>
      </c>
      <c r="C52" s="14" t="s">
        <v>162</v>
      </c>
      <c r="D52" s="14" t="s">
        <v>163</v>
      </c>
      <c r="E52" s="15">
        <v>45454.0</v>
      </c>
      <c r="F52" s="16"/>
      <c r="G52" s="16"/>
      <c r="H52" s="29" t="s">
        <v>164</v>
      </c>
      <c r="I52" s="15">
        <f t="shared" si="5"/>
        <v>45124</v>
      </c>
      <c r="J52" s="19">
        <v>45589.0</v>
      </c>
    </row>
    <row r="53">
      <c r="A53" s="5">
        <v>52.0</v>
      </c>
      <c r="B53" s="6" t="str">
        <f>VLOOKUP(A53,vaccines!A:B,2)</f>
        <v>Prevenar_13</v>
      </c>
      <c r="C53" s="14" t="s">
        <v>165</v>
      </c>
      <c r="D53" s="14" t="s">
        <v>166</v>
      </c>
      <c r="E53" s="15">
        <v>45267.0</v>
      </c>
      <c r="F53" s="16"/>
      <c r="G53" s="16"/>
      <c r="H53" s="17" t="s">
        <v>167</v>
      </c>
      <c r="I53" s="28">
        <v>45125.0</v>
      </c>
      <c r="J53" s="19">
        <v>45481.0</v>
      </c>
      <c r="K53" s="20" t="s">
        <v>18</v>
      </c>
    </row>
    <row r="54">
      <c r="A54" s="5">
        <v>53.0</v>
      </c>
      <c r="B54" s="6" t="str">
        <f>VLOOKUP(A54,vaccines!A:B,2)</f>
        <v>Synflorix</v>
      </c>
      <c r="C54" s="14" t="s">
        <v>168</v>
      </c>
      <c r="D54" s="14" t="s">
        <v>169</v>
      </c>
      <c r="E54" s="22">
        <v>43605.0</v>
      </c>
      <c r="F54" s="23">
        <v>1.0</v>
      </c>
      <c r="G54" s="23">
        <v>0.0</v>
      </c>
      <c r="H54" s="24" t="s">
        <v>170</v>
      </c>
      <c r="I54" s="28">
        <v>45125.0</v>
      </c>
      <c r="J54" s="10"/>
    </row>
    <row r="55">
      <c r="A55" s="5">
        <v>54.0</v>
      </c>
      <c r="B55" s="6" t="str">
        <f>VLOOKUP(A55,vaccines!A:B,2)</f>
        <v>Pneumovax_23</v>
      </c>
      <c r="C55" s="14" t="s">
        <v>171</v>
      </c>
      <c r="D55" s="14" t="s">
        <v>172</v>
      </c>
      <c r="E55" s="15">
        <v>45051.0</v>
      </c>
      <c r="F55" s="16"/>
      <c r="G55" s="16"/>
      <c r="H55" s="17" t="s">
        <v>173</v>
      </c>
      <c r="I55" s="15">
        <f>I54</f>
        <v>45125</v>
      </c>
      <c r="J55" s="19">
        <v>45489.0</v>
      </c>
    </row>
    <row r="56">
      <c r="A56" s="5">
        <v>55.0</v>
      </c>
      <c r="B56" s="6" t="str">
        <f>VLOOKUP(A56,vaccines!A:B,2)</f>
        <v>MonoVac_Polio</v>
      </c>
      <c r="C56" s="14" t="s">
        <v>174</v>
      </c>
      <c r="D56" s="14" t="s">
        <v>175</v>
      </c>
      <c r="E56" s="22">
        <v>44454.0</v>
      </c>
      <c r="F56" s="23">
        <v>1.0</v>
      </c>
      <c r="G56" s="23">
        <v>1.0</v>
      </c>
      <c r="H56" s="25" t="s">
        <v>176</v>
      </c>
      <c r="I56" s="22">
        <v>45125.0</v>
      </c>
      <c r="J56" s="10"/>
    </row>
    <row r="57">
      <c r="A57" s="5">
        <v>56.0</v>
      </c>
      <c r="B57" s="6" t="str">
        <f>VLOOKUP(A57,vaccines!A:B,2)</f>
        <v>BiVac_Polio</v>
      </c>
      <c r="C57" s="14" t="s">
        <v>177</v>
      </c>
      <c r="D57" s="14" t="s">
        <v>178</v>
      </c>
      <c r="E57" s="15">
        <v>45736.0</v>
      </c>
      <c r="F57" s="21">
        <v>1.0</v>
      </c>
      <c r="G57" s="21">
        <v>0.0</v>
      </c>
      <c r="H57" s="17" t="s">
        <v>179</v>
      </c>
      <c r="I57" s="15">
        <f t="shared" ref="I57:I59" si="6">I56</f>
        <v>45125</v>
      </c>
      <c r="J57" s="19">
        <v>45988.0</v>
      </c>
    </row>
    <row r="58">
      <c r="A58" s="5">
        <v>57.0</v>
      </c>
      <c r="B58" s="6" t="str">
        <f>VLOOKUP(A58,vaccines!A:B,2)</f>
        <v>Polymilex</v>
      </c>
      <c r="C58" s="14" t="s">
        <v>180</v>
      </c>
      <c r="D58" s="14" t="s">
        <v>181</v>
      </c>
      <c r="E58" s="15">
        <v>45623.0</v>
      </c>
      <c r="F58" s="21">
        <v>1.0</v>
      </c>
      <c r="G58" s="21">
        <v>0.0</v>
      </c>
      <c r="H58" s="17" t="s">
        <v>182</v>
      </c>
      <c r="I58" s="15">
        <f t="shared" si="6"/>
        <v>45125</v>
      </c>
      <c r="J58" s="19">
        <v>45715.0</v>
      </c>
    </row>
    <row r="59">
      <c r="A59" s="5">
        <v>58.0</v>
      </c>
      <c r="B59" s="6" t="str">
        <f>VLOOKUP(A59,vaccines!A:B,2)</f>
        <v>COCAV</v>
      </c>
      <c r="C59" s="14" t="s">
        <v>183</v>
      </c>
      <c r="D59" s="14" t="s">
        <v>184</v>
      </c>
      <c r="E59" s="15">
        <v>45631.0</v>
      </c>
      <c r="F59" s="16"/>
      <c r="G59" s="16"/>
      <c r="H59" s="17" t="s">
        <v>185</v>
      </c>
      <c r="I59" s="15">
        <f t="shared" si="6"/>
        <v>45125</v>
      </c>
      <c r="J59" s="19">
        <v>45678.0</v>
      </c>
    </row>
    <row r="60">
      <c r="A60" s="5">
        <v>59.0</v>
      </c>
      <c r="B60" s="6" t="str">
        <f>VLOOKUP(A60,vaccines!A:B,2)</f>
        <v>rabies_Chumakov</v>
      </c>
      <c r="C60" s="14" t="s">
        <v>186</v>
      </c>
      <c r="D60" s="14" t="s">
        <v>187</v>
      </c>
      <c r="E60" s="22">
        <v>44862.0</v>
      </c>
      <c r="F60" s="23">
        <v>1.0</v>
      </c>
      <c r="G60" s="23">
        <v>0.0</v>
      </c>
      <c r="H60" s="25" t="s">
        <v>188</v>
      </c>
      <c r="I60" s="28">
        <v>45125.0</v>
      </c>
      <c r="J60" s="10"/>
    </row>
    <row r="61">
      <c r="A61" s="5">
        <v>60.0</v>
      </c>
      <c r="B61" s="6" t="str">
        <f>VLOOKUP(A61,vaccines!A:B,2)</f>
        <v>Rabivac_Vnukovo_32</v>
      </c>
      <c r="C61" s="14" t="s">
        <v>189</v>
      </c>
      <c r="D61" s="14" t="s">
        <v>190</v>
      </c>
      <c r="E61" s="22">
        <v>40925.0</v>
      </c>
      <c r="F61" s="23">
        <v>1.0</v>
      </c>
      <c r="G61" s="23">
        <v>0.0</v>
      </c>
      <c r="H61" s="24" t="s">
        <v>191</v>
      </c>
      <c r="I61" s="28">
        <v>45125.0</v>
      </c>
      <c r="J61" s="10"/>
    </row>
    <row r="62">
      <c r="A62" s="5">
        <v>61.0</v>
      </c>
      <c r="B62" s="6" t="str">
        <f>VLOOKUP(A62,vaccines!A:B,2)</f>
        <v>RotaTeq</v>
      </c>
      <c r="C62" s="14" t="s">
        <v>192</v>
      </c>
      <c r="D62" s="14" t="s">
        <v>193</v>
      </c>
      <c r="E62" s="22">
        <v>43844.0</v>
      </c>
      <c r="F62" s="23">
        <v>3.0</v>
      </c>
      <c r="G62" s="23">
        <v>1.0</v>
      </c>
      <c r="H62" s="25" t="s">
        <v>194</v>
      </c>
      <c r="I62" s="22">
        <v>45127.0</v>
      </c>
      <c r="J62" s="10"/>
    </row>
    <row r="63">
      <c r="A63" s="5">
        <v>62.0</v>
      </c>
      <c r="B63" s="6" t="str">
        <f>VLOOKUP(A63,vaccines!A:B,2)</f>
        <v>rubella_Microgen</v>
      </c>
      <c r="C63" s="14" t="s">
        <v>195</v>
      </c>
      <c r="D63" s="14" t="s">
        <v>196</v>
      </c>
      <c r="E63" s="15">
        <v>45531.0</v>
      </c>
      <c r="F63" s="16"/>
      <c r="G63" s="16"/>
      <c r="H63" s="29" t="s">
        <v>197</v>
      </c>
      <c r="I63" s="15">
        <f>I62</f>
        <v>45127</v>
      </c>
      <c r="J63" s="19">
        <v>45589.0</v>
      </c>
      <c r="K63" s="20" t="s">
        <v>18</v>
      </c>
    </row>
    <row r="64">
      <c r="A64" s="5">
        <v>63.0</v>
      </c>
      <c r="B64" s="6" t="str">
        <f>VLOOKUP(A64,vaccines!A:B,2)</f>
        <v>rubella_Serum</v>
      </c>
      <c r="C64" s="14" t="s">
        <v>198</v>
      </c>
      <c r="D64" s="14" t="s">
        <v>199</v>
      </c>
      <c r="E64" s="22">
        <v>40142.0</v>
      </c>
      <c r="F64" s="23">
        <v>1.0</v>
      </c>
      <c r="G64" s="23">
        <v>0.0</v>
      </c>
      <c r="H64" s="24" t="s">
        <v>200</v>
      </c>
      <c r="I64" s="22">
        <v>45127.0</v>
      </c>
      <c r="J64" s="10"/>
    </row>
    <row r="65">
      <c r="A65" s="5">
        <v>64.0</v>
      </c>
      <c r="B65" s="6" t="str">
        <f>VLOOKUP(A65,vaccines!A:B,2)</f>
        <v>AS_Microgen</v>
      </c>
      <c r="C65" s="14" t="s">
        <v>201</v>
      </c>
      <c r="D65" s="14" t="s">
        <v>202</v>
      </c>
      <c r="E65" s="15">
        <v>45607.0</v>
      </c>
      <c r="F65" s="21">
        <v>1.0</v>
      </c>
      <c r="G65" s="21">
        <v>0.0</v>
      </c>
      <c r="H65" s="17" t="s">
        <v>203</v>
      </c>
      <c r="I65" s="15">
        <f>I64</f>
        <v>45127</v>
      </c>
      <c r="J65" s="19">
        <v>46053.0</v>
      </c>
    </row>
    <row r="66">
      <c r="A66" s="5">
        <v>65.0</v>
      </c>
      <c r="B66" s="6" t="str">
        <f>VLOOKUP(A66,vaccines!A:B,2)</f>
        <v>AS_Biomed</v>
      </c>
      <c r="C66" s="14" t="s">
        <v>204</v>
      </c>
      <c r="D66" s="14" t="s">
        <v>205</v>
      </c>
      <c r="E66" s="22">
        <v>41047.0</v>
      </c>
      <c r="F66" s="23">
        <v>1.0</v>
      </c>
      <c r="G66" s="23">
        <v>0.0</v>
      </c>
      <c r="H66" s="24" t="s">
        <v>206</v>
      </c>
      <c r="I66" s="22">
        <v>45128.0</v>
      </c>
      <c r="J66" s="10"/>
    </row>
    <row r="67">
      <c r="A67" s="5">
        <v>66.0</v>
      </c>
      <c r="B67" s="6" t="str">
        <f>VLOOKUP(A67,vaccines!A:B,2)</f>
        <v>Vaqta_25</v>
      </c>
      <c r="C67" s="14" t="s">
        <v>207</v>
      </c>
      <c r="D67" s="14" t="s">
        <v>208</v>
      </c>
      <c r="E67" s="22">
        <v>41780.0</v>
      </c>
      <c r="F67" s="23">
        <v>1.0</v>
      </c>
      <c r="G67" s="23">
        <v>0.0</v>
      </c>
      <c r="H67" s="24" t="s">
        <v>209</v>
      </c>
      <c r="I67" s="22">
        <v>45128.0</v>
      </c>
      <c r="J67" s="10"/>
    </row>
    <row r="68">
      <c r="A68" s="5">
        <v>67.0</v>
      </c>
      <c r="B68" s="6" t="str">
        <f>VLOOKUP(A68,vaccines!A:B,2)</f>
        <v>Vaqta_50</v>
      </c>
      <c r="C68" s="14" t="s">
        <v>210</v>
      </c>
      <c r="D68" s="14" t="s">
        <v>211</v>
      </c>
      <c r="E68" s="22">
        <v>41780.0</v>
      </c>
      <c r="F68" s="23">
        <v>1.0</v>
      </c>
      <c r="G68" s="23">
        <v>0.0</v>
      </c>
      <c r="H68" s="24" t="s">
        <v>209</v>
      </c>
      <c r="I68" s="22">
        <v>45128.0</v>
      </c>
      <c r="J68" s="10"/>
    </row>
    <row r="69">
      <c r="A69" s="5">
        <v>68.0</v>
      </c>
      <c r="B69" s="6" t="str">
        <f>VLOOKUP(A69,vaccines!A:B,2)</f>
        <v>Klesh_E_Vac_0_5</v>
      </c>
      <c r="C69" s="14" t="s">
        <v>212</v>
      </c>
      <c r="D69" s="14" t="s">
        <v>213</v>
      </c>
      <c r="E69" s="15">
        <v>45904.0</v>
      </c>
      <c r="F69" s="21">
        <v>1.0</v>
      </c>
      <c r="G69" s="21">
        <v>0.0</v>
      </c>
      <c r="H69" s="17" t="s">
        <v>214</v>
      </c>
      <c r="I69" s="15">
        <f t="shared" ref="I69:I74" si="7">I68</f>
        <v>45128</v>
      </c>
      <c r="J69" s="19">
        <v>45988.0</v>
      </c>
    </row>
    <row r="70">
      <c r="A70" s="5">
        <v>69.0</v>
      </c>
      <c r="B70" s="6" t="str">
        <f>VLOOKUP(A70,vaccines!A:B,2)</f>
        <v>Klesh_E_Vac_0_25</v>
      </c>
      <c r="C70" s="14" t="s">
        <v>215</v>
      </c>
      <c r="D70" s="14" t="s">
        <v>216</v>
      </c>
      <c r="E70" s="15">
        <v>45904.0</v>
      </c>
      <c r="F70" s="21">
        <v>1.0</v>
      </c>
      <c r="G70" s="21">
        <v>0.0</v>
      </c>
      <c r="H70" s="17" t="s">
        <v>214</v>
      </c>
      <c r="I70" s="15">
        <f t="shared" si="7"/>
        <v>45128</v>
      </c>
      <c r="J70" s="19">
        <v>45988.0</v>
      </c>
    </row>
    <row r="71">
      <c r="A71" s="5">
        <v>70.0</v>
      </c>
      <c r="B71" s="6" t="str">
        <f>VLOOKUP(A71,vaccines!A:B,2)</f>
        <v>EnceVir_0_5</v>
      </c>
      <c r="C71" s="14" t="s">
        <v>217</v>
      </c>
      <c r="D71" s="14" t="s">
        <v>218</v>
      </c>
      <c r="E71" s="15">
        <v>45510.0</v>
      </c>
      <c r="F71" s="16"/>
      <c r="G71" s="16"/>
      <c r="H71" s="29" t="s">
        <v>219</v>
      </c>
      <c r="I71" s="15">
        <f t="shared" si="7"/>
        <v>45128</v>
      </c>
      <c r="J71" s="19">
        <v>45589.0</v>
      </c>
    </row>
    <row r="72">
      <c r="A72" s="5">
        <v>71.0</v>
      </c>
      <c r="B72" s="6" t="str">
        <f>VLOOKUP(A72,vaccines!A:B,2)</f>
        <v>EnceVir_Neo_kids</v>
      </c>
      <c r="C72" s="14" t="s">
        <v>220</v>
      </c>
      <c r="D72" s="14" t="s">
        <v>221</v>
      </c>
      <c r="E72" s="15">
        <v>45520.0</v>
      </c>
      <c r="F72" s="16"/>
      <c r="G72" s="16"/>
      <c r="H72" s="29" t="s">
        <v>222</v>
      </c>
      <c r="I72" s="15">
        <f t="shared" si="7"/>
        <v>45128</v>
      </c>
      <c r="J72" s="19">
        <v>45589.0</v>
      </c>
      <c r="K72" s="20" t="s">
        <v>18</v>
      </c>
    </row>
    <row r="73">
      <c r="A73" s="5">
        <v>72.0</v>
      </c>
      <c r="B73" s="6" t="str">
        <f>VLOOKUP(A73,vaccines!A:B,2)</f>
        <v>TBE_Chumakov_lyo</v>
      </c>
      <c r="C73" s="14" t="s">
        <v>223</v>
      </c>
      <c r="D73" s="14" t="s">
        <v>224</v>
      </c>
      <c r="E73" s="15">
        <v>45727.0</v>
      </c>
      <c r="F73" s="21">
        <v>1.0</v>
      </c>
      <c r="G73" s="21">
        <v>0.0</v>
      </c>
      <c r="H73" s="17" t="s">
        <v>225</v>
      </c>
      <c r="I73" s="15">
        <f t="shared" si="7"/>
        <v>45128</v>
      </c>
      <c r="J73" s="19">
        <v>45750.0</v>
      </c>
      <c r="K73" s="20" t="s">
        <v>18</v>
      </c>
    </row>
    <row r="74">
      <c r="A74" s="5">
        <v>73.0</v>
      </c>
      <c r="B74" s="6" t="str">
        <f>VLOOKUP(A74,vaccines!A:B,2)</f>
        <v>Varilrix</v>
      </c>
      <c r="C74" s="14" t="s">
        <v>226</v>
      </c>
      <c r="D74" s="14" t="s">
        <v>227</v>
      </c>
      <c r="E74" s="15">
        <v>45439.0</v>
      </c>
      <c r="F74" s="21">
        <v>1.0</v>
      </c>
      <c r="G74" s="21">
        <v>0.0</v>
      </c>
      <c r="H74" s="17" t="s">
        <v>228</v>
      </c>
      <c r="I74" s="15">
        <f t="shared" si="7"/>
        <v>45128</v>
      </c>
      <c r="J74" s="31">
        <v>45830.0</v>
      </c>
    </row>
    <row r="75">
      <c r="A75" s="5">
        <v>74.0</v>
      </c>
      <c r="B75" s="6" t="str">
        <f>VLOOKUP(A75,vaccines!A:B,2)</f>
        <v>YF_Chumakov_lyo</v>
      </c>
      <c r="C75" s="14" t="s">
        <v>229</v>
      </c>
      <c r="D75" s="14" t="s">
        <v>230</v>
      </c>
      <c r="E75" s="22">
        <v>44540.0</v>
      </c>
      <c r="F75" s="23">
        <v>1.0</v>
      </c>
      <c r="G75" s="23">
        <v>0.0</v>
      </c>
      <c r="H75" s="25" t="s">
        <v>231</v>
      </c>
      <c r="I75" s="22">
        <v>45129.0</v>
      </c>
      <c r="J75" s="10"/>
    </row>
    <row r="76">
      <c r="A76" s="5">
        <v>75.0</v>
      </c>
      <c r="B76" s="6" t="str">
        <f>VLOOKUP(A76,vaccines!A:B,2)</f>
        <v>tularemia_Microgen</v>
      </c>
      <c r="C76" s="14" t="s">
        <v>232</v>
      </c>
      <c r="D76" s="14" t="s">
        <v>233</v>
      </c>
      <c r="E76" s="15">
        <v>45562.0</v>
      </c>
      <c r="F76" s="16"/>
      <c r="G76" s="16"/>
      <c r="H76" s="17" t="s">
        <v>234</v>
      </c>
      <c r="I76" s="15">
        <f>I75</f>
        <v>45129</v>
      </c>
      <c r="J76" s="19">
        <v>45589.0</v>
      </c>
    </row>
    <row r="77">
      <c r="A77" s="5">
        <v>76.0</v>
      </c>
      <c r="B77" s="6" t="str">
        <f>VLOOKUP(A77,vaccines!A:B,2)</f>
        <v>plague_molecular_lyo_RPN</v>
      </c>
      <c r="C77" s="14" t="s">
        <v>235</v>
      </c>
      <c r="D77" s="14" t="s">
        <v>236</v>
      </c>
      <c r="E77" s="22">
        <v>43209.0</v>
      </c>
      <c r="F77" s="23">
        <v>1.0</v>
      </c>
      <c r="G77" s="23">
        <v>0.0</v>
      </c>
      <c r="H77" s="25" t="s">
        <v>237</v>
      </c>
      <c r="I77" s="22">
        <v>45129.0</v>
      </c>
      <c r="J77" s="10"/>
    </row>
    <row r="78">
      <c r="A78" s="5">
        <v>77.0</v>
      </c>
      <c r="B78" s="6" t="str">
        <f>VLOOKUP(A78,vaccines!A:B,2)</f>
        <v>plague_live_lyo_48_NII_Minoborony</v>
      </c>
      <c r="C78" s="14" t="s">
        <v>238</v>
      </c>
      <c r="D78" s="14" t="s">
        <v>239</v>
      </c>
      <c r="E78" s="22">
        <v>40675.0</v>
      </c>
      <c r="F78" s="23">
        <v>1.0</v>
      </c>
      <c r="G78" s="23">
        <v>1.0</v>
      </c>
      <c r="H78" s="25" t="s">
        <v>240</v>
      </c>
      <c r="I78" s="22">
        <v>45129.0</v>
      </c>
      <c r="J78" s="10"/>
    </row>
    <row r="79">
      <c r="A79" s="5">
        <v>78.0</v>
      </c>
      <c r="B79" s="6" t="str">
        <f>VLOOKUP(A79,vaccines!A:B,2)</f>
        <v>plague_live_tablets_48_NII_Minoborony</v>
      </c>
      <c r="C79" s="14" t="s">
        <v>241</v>
      </c>
      <c r="D79" s="14" t="s">
        <v>242</v>
      </c>
      <c r="E79" s="22">
        <v>41270.0</v>
      </c>
      <c r="F79" s="23">
        <v>2.0</v>
      </c>
      <c r="G79" s="23">
        <v>1.0</v>
      </c>
      <c r="H79" s="25" t="s">
        <v>243</v>
      </c>
      <c r="I79" s="28">
        <v>45129.0</v>
      </c>
      <c r="J79" s="10"/>
    </row>
    <row r="80">
      <c r="A80" s="5">
        <v>79.0</v>
      </c>
      <c r="B80" s="6" t="str">
        <f>VLOOKUP(A80,vaccines!A:B,2)</f>
        <v>plague_live_lyo_RPN</v>
      </c>
      <c r="C80" s="14" t="s">
        <v>244</v>
      </c>
      <c r="D80" s="14" t="s">
        <v>245</v>
      </c>
      <c r="E80" s="22">
        <v>44158.0</v>
      </c>
      <c r="F80" s="23">
        <v>1.0</v>
      </c>
      <c r="G80" s="23">
        <v>0.0</v>
      </c>
      <c r="H80" s="24" t="s">
        <v>246</v>
      </c>
      <c r="I80" s="22">
        <v>45129.0</v>
      </c>
      <c r="J80" s="10"/>
    </row>
    <row r="81">
      <c r="A81" s="5">
        <v>80.0</v>
      </c>
      <c r="B81" s="6" t="str">
        <f>VLOOKUP(A81,vaccines!A:B,2)</f>
        <v>brucellosis_therapeutic_48_NII_Minoborony</v>
      </c>
      <c r="C81" s="14" t="s">
        <v>247</v>
      </c>
      <c r="D81" s="14" t="s">
        <v>248</v>
      </c>
      <c r="E81" s="22">
        <v>41270.0</v>
      </c>
      <c r="F81" s="23">
        <v>2.0</v>
      </c>
      <c r="G81" s="23">
        <v>1.0</v>
      </c>
      <c r="H81" s="25" t="s">
        <v>249</v>
      </c>
      <c r="I81" s="22">
        <v>45130.0</v>
      </c>
      <c r="J81" s="10"/>
    </row>
    <row r="82">
      <c r="A82" s="5">
        <v>81.0</v>
      </c>
      <c r="B82" s="6" t="str">
        <f>VLOOKUP(A82,vaccines!A:B,2)</f>
        <v>brucellosis_prophylactic_Microgen</v>
      </c>
      <c r="C82" s="14" t="s">
        <v>250</v>
      </c>
      <c r="D82" s="14" t="s">
        <v>251</v>
      </c>
      <c r="E82" s="15">
        <v>45743.0</v>
      </c>
      <c r="F82" s="21">
        <v>1.0</v>
      </c>
      <c r="G82" s="21">
        <v>0.0</v>
      </c>
      <c r="H82" s="17" t="s">
        <v>252</v>
      </c>
      <c r="I82" s="15">
        <f>I81</f>
        <v>45130</v>
      </c>
      <c r="J82" s="19">
        <v>45798.0</v>
      </c>
    </row>
    <row r="83">
      <c r="A83" s="5">
        <v>82.0</v>
      </c>
      <c r="B83" s="6" t="str">
        <f>VLOOKUP(A83,vaccines!A:B,2)</f>
        <v>anthrax_live_48_NII_Minoborony</v>
      </c>
      <c r="C83" s="14" t="s">
        <v>253</v>
      </c>
      <c r="D83" s="14" t="s">
        <v>254</v>
      </c>
      <c r="E83" s="22">
        <v>43754.0</v>
      </c>
      <c r="F83" s="23">
        <v>1.0</v>
      </c>
      <c r="G83" s="23">
        <v>0.0</v>
      </c>
      <c r="H83" s="24" t="s">
        <v>255</v>
      </c>
      <c r="I83" s="22">
        <v>45130.0</v>
      </c>
      <c r="J83" s="10"/>
      <c r="K83" s="20" t="s">
        <v>18</v>
      </c>
    </row>
    <row r="84">
      <c r="A84" s="5">
        <v>83.0</v>
      </c>
      <c r="B84" s="6" t="str">
        <f>VLOOKUP(A84,vaccines!A:B,2)</f>
        <v>anthrax_combined_48_NII_Minoborony</v>
      </c>
      <c r="C84" s="14" t="s">
        <v>256</v>
      </c>
      <c r="D84" s="14" t="s">
        <v>257</v>
      </c>
      <c r="E84" s="22">
        <v>41148.0</v>
      </c>
      <c r="F84" s="23">
        <v>2.0</v>
      </c>
      <c r="G84" s="23">
        <v>1.0</v>
      </c>
      <c r="H84" s="25" t="s">
        <v>258</v>
      </c>
      <c r="I84" s="22">
        <v>45130.0</v>
      </c>
      <c r="J84" s="10"/>
    </row>
    <row r="85">
      <c r="A85" s="5">
        <v>84.0</v>
      </c>
      <c r="B85" s="6" t="str">
        <f>VLOOKUP(A85,vaccines!A:B,2)</f>
        <v>Rabipur</v>
      </c>
      <c r="C85" s="14" t="s">
        <v>259</v>
      </c>
      <c r="D85" s="14" t="s">
        <v>260</v>
      </c>
      <c r="E85" s="22">
        <v>42996.0</v>
      </c>
      <c r="F85" s="23">
        <v>1.0</v>
      </c>
      <c r="G85" s="23">
        <v>0.0</v>
      </c>
      <c r="H85" s="25" t="s">
        <v>261</v>
      </c>
      <c r="I85" s="22">
        <v>45130.0</v>
      </c>
      <c r="J85" s="10"/>
    </row>
    <row r="86">
      <c r="A86" s="5">
        <v>85.0</v>
      </c>
      <c r="B86" s="6" t="str">
        <f>VLOOKUP(A86,vaccines!A:B,2)</f>
        <v>leptospirosis_Rostov_NII</v>
      </c>
      <c r="C86" s="14" t="s">
        <v>262</v>
      </c>
      <c r="D86" s="14" t="s">
        <v>263</v>
      </c>
      <c r="E86" s="22">
        <v>43881.0</v>
      </c>
      <c r="F86" s="23">
        <v>1.0</v>
      </c>
      <c r="G86" s="23">
        <v>0.0</v>
      </c>
      <c r="H86" s="24" t="s">
        <v>264</v>
      </c>
      <c r="I86" s="22">
        <v>45130.0</v>
      </c>
      <c r="J86" s="10"/>
    </row>
    <row r="87">
      <c r="A87" s="5">
        <v>86.0</v>
      </c>
      <c r="B87" s="6" t="str">
        <f>VLOOKUP(A87,vaccines!A:B,2)</f>
        <v>Q_fever_M_44_Microgen</v>
      </c>
      <c r="C87" s="14" t="s">
        <v>265</v>
      </c>
      <c r="D87" s="14" t="s">
        <v>266</v>
      </c>
      <c r="E87" s="15">
        <v>45691.0</v>
      </c>
      <c r="F87" s="21">
        <v>1.0</v>
      </c>
      <c r="G87" s="21">
        <v>0.0</v>
      </c>
      <c r="H87" s="17" t="s">
        <v>267</v>
      </c>
      <c r="I87" s="15">
        <f>I86</f>
        <v>45130</v>
      </c>
      <c r="J87" s="19">
        <v>45716.0</v>
      </c>
    </row>
    <row r="88">
      <c r="A88" s="5">
        <v>87.0</v>
      </c>
      <c r="B88" s="6" t="str">
        <f>VLOOKUP(A88,vaccines!A:B,2)</f>
        <v>cholera_NII_Microb</v>
      </c>
      <c r="C88" s="14" t="s">
        <v>268</v>
      </c>
      <c r="D88" s="14" t="s">
        <v>269</v>
      </c>
      <c r="E88" s="22">
        <v>44705.0</v>
      </c>
      <c r="F88" s="23">
        <v>1.0</v>
      </c>
      <c r="G88" s="23">
        <v>0.0</v>
      </c>
      <c r="H88" s="25" t="s">
        <v>270</v>
      </c>
      <c r="I88" s="22">
        <v>45130.0</v>
      </c>
      <c r="J88" s="10"/>
    </row>
    <row r="89">
      <c r="A89" s="5">
        <v>88.0</v>
      </c>
      <c r="B89" s="6" t="str">
        <f>VLOOKUP(A89,vaccines!A:B,2)</f>
        <v>Vianvac</v>
      </c>
      <c r="C89" s="14" t="s">
        <v>271</v>
      </c>
      <c r="D89" s="14" t="s">
        <v>272</v>
      </c>
      <c r="E89" s="15">
        <v>46036.0</v>
      </c>
      <c r="F89" s="21">
        <v>1.0</v>
      </c>
      <c r="G89" s="21">
        <v>0.0</v>
      </c>
      <c r="H89" s="17" t="s">
        <v>273</v>
      </c>
      <c r="I89" s="15">
        <f>I88</f>
        <v>45130</v>
      </c>
      <c r="J89" s="19">
        <v>46130.0</v>
      </c>
    </row>
    <row r="90">
      <c r="A90" s="5">
        <v>89.0</v>
      </c>
      <c r="B90" s="6" t="str">
        <f>VLOOKUP(A90,vaccines!A:B,2)</f>
        <v>Typhivac</v>
      </c>
      <c r="C90" s="14" t="s">
        <v>274</v>
      </c>
      <c r="D90" s="14" t="s">
        <v>275</v>
      </c>
      <c r="E90" s="22">
        <v>42762.0</v>
      </c>
      <c r="F90" s="23">
        <v>1.0</v>
      </c>
      <c r="G90" s="23">
        <v>0.0</v>
      </c>
      <c r="H90" s="24" t="s">
        <v>276</v>
      </c>
      <c r="I90" s="22">
        <v>45130.0</v>
      </c>
      <c r="J90" s="10"/>
    </row>
    <row r="91">
      <c r="A91" s="5">
        <v>90.0</v>
      </c>
      <c r="B91" s="6" t="str">
        <f>VLOOKUP(A91,vaccines!A:B,2)</f>
        <v>Shigellvac</v>
      </c>
      <c r="C91" s="14" t="s">
        <v>277</v>
      </c>
      <c r="D91" s="14" t="s">
        <v>278</v>
      </c>
      <c r="E91" s="15">
        <v>46015.0</v>
      </c>
      <c r="F91" s="21">
        <v>1.0</v>
      </c>
      <c r="G91" s="21">
        <v>0.0</v>
      </c>
      <c r="H91" s="17" t="s">
        <v>279</v>
      </c>
      <c r="I91" s="15">
        <f>I90</f>
        <v>45130</v>
      </c>
      <c r="J91" s="19">
        <v>46130.0</v>
      </c>
    </row>
    <row r="92">
      <c r="A92" s="5">
        <v>91.0</v>
      </c>
      <c r="B92" s="6" t="str">
        <f>VLOOKUP(A92,vaccines!A:B,2)</f>
        <v>CoviVac</v>
      </c>
      <c r="C92" s="14" t="s">
        <v>280</v>
      </c>
      <c r="D92" s="14" t="s">
        <v>281</v>
      </c>
      <c r="E92" s="22">
        <v>44378.0</v>
      </c>
      <c r="F92" s="23">
        <v>1.0</v>
      </c>
      <c r="G92" s="23">
        <v>1.0</v>
      </c>
      <c r="H92" s="25" t="s">
        <v>282</v>
      </c>
      <c r="I92" s="22">
        <v>45130.0</v>
      </c>
      <c r="J92" s="10"/>
    </row>
    <row r="93">
      <c r="A93" s="5">
        <v>92.0</v>
      </c>
      <c r="B93" s="6" t="str">
        <f>VLOOKUP(A93,vaccines!A:B,2)</f>
        <v>Sputnik_light</v>
      </c>
      <c r="C93" s="14" t="s">
        <v>283</v>
      </c>
      <c r="D93" s="14" t="s">
        <v>284</v>
      </c>
      <c r="E93" s="15">
        <v>45810.0</v>
      </c>
      <c r="F93" s="21">
        <v>1.0</v>
      </c>
      <c r="G93" s="21">
        <v>0.0</v>
      </c>
      <c r="H93" s="17" t="s">
        <v>285</v>
      </c>
      <c r="I93" s="15">
        <f>I92</f>
        <v>45130</v>
      </c>
      <c r="J93" s="19">
        <v>45830.0</v>
      </c>
      <c r="K93" s="20" t="s">
        <v>18</v>
      </c>
    </row>
    <row r="94">
      <c r="A94" s="5">
        <v>93.0</v>
      </c>
      <c r="B94" s="6" t="str">
        <f>VLOOKUP(A94,vaccines!A:B,2)</f>
        <v>Sputnik_M</v>
      </c>
      <c r="C94" s="14" t="s">
        <v>286</v>
      </c>
      <c r="D94" s="14" t="s">
        <v>287</v>
      </c>
      <c r="E94" s="22">
        <v>44524.0</v>
      </c>
      <c r="F94" s="23">
        <v>1.0</v>
      </c>
      <c r="G94" s="23">
        <v>0.0</v>
      </c>
      <c r="H94" s="25" t="s">
        <v>288</v>
      </c>
      <c r="I94" s="22">
        <v>45130.0</v>
      </c>
      <c r="J94" s="10"/>
    </row>
    <row r="95">
      <c r="A95" s="5">
        <v>94.0</v>
      </c>
      <c r="B95" s="6" t="str">
        <f>VLOOKUP(A95,vaccines!A:B,2)</f>
        <v>Convacel</v>
      </c>
      <c r="C95" s="14" t="s">
        <v>289</v>
      </c>
      <c r="D95" s="14" t="s">
        <v>290</v>
      </c>
      <c r="E95" s="15">
        <v>46009.0</v>
      </c>
      <c r="F95" s="21">
        <v>1.0</v>
      </c>
      <c r="G95" s="21">
        <v>0.0</v>
      </c>
      <c r="H95" s="17" t="s">
        <v>291</v>
      </c>
      <c r="I95" s="15">
        <f>I94</f>
        <v>45130</v>
      </c>
      <c r="J95" s="19">
        <v>46053.0</v>
      </c>
    </row>
    <row r="96">
      <c r="A96" s="5">
        <v>95.0</v>
      </c>
      <c r="B96" s="6" t="str">
        <f>VLOOKUP(A96,vaccines!A:B,2)</f>
        <v>Aurora</v>
      </c>
      <c r="C96" s="14" t="s">
        <v>292</v>
      </c>
      <c r="D96" s="14" t="s">
        <v>293</v>
      </c>
      <c r="E96" s="22">
        <v>44434.0</v>
      </c>
      <c r="F96" s="23">
        <v>1.0</v>
      </c>
      <c r="G96" s="23">
        <v>0.0</v>
      </c>
      <c r="H96" s="25" t="s">
        <v>294</v>
      </c>
      <c r="I96" s="22">
        <v>45130.0</v>
      </c>
      <c r="J96" s="10"/>
    </row>
    <row r="97">
      <c r="A97" s="5">
        <v>96.0</v>
      </c>
      <c r="B97" s="6" t="str">
        <f>VLOOKUP(A97,vaccines!A:B,2)</f>
        <v>Rota_V_Aid</v>
      </c>
      <c r="C97" s="14" t="s">
        <v>295</v>
      </c>
      <c r="D97" s="14" t="s">
        <v>296</v>
      </c>
      <c r="E97" s="15">
        <v>45594.0</v>
      </c>
      <c r="F97" s="16"/>
      <c r="G97" s="16"/>
      <c r="H97" s="17" t="s">
        <v>297</v>
      </c>
      <c r="I97" s="15">
        <f>I96</f>
        <v>45130</v>
      </c>
      <c r="J97" s="15">
        <v>45629.0</v>
      </c>
    </row>
    <row r="98">
      <c r="A98" s="5">
        <v>97.0</v>
      </c>
      <c r="B98" s="6" t="str">
        <f>VLOOKUP(A98,vaccines!A:B,2)</f>
        <v>Hib_Rostov</v>
      </c>
      <c r="C98" s="14" t="s">
        <v>298</v>
      </c>
      <c r="D98" s="14" t="s">
        <v>299</v>
      </c>
      <c r="E98" s="22">
        <v>42577.0</v>
      </c>
      <c r="F98" s="23">
        <v>1.0</v>
      </c>
      <c r="G98" s="23">
        <v>0.0</v>
      </c>
      <c r="H98" s="24" t="s">
        <v>300</v>
      </c>
      <c r="I98" s="22">
        <v>45130.0</v>
      </c>
      <c r="J98" s="10"/>
    </row>
    <row r="99">
      <c r="A99" s="5">
        <v>98.0</v>
      </c>
      <c r="B99" s="6" t="str">
        <f>VLOOKUP(A99,vaccines!A:B,2)</f>
        <v>HepB_Combiotech_1_0</v>
      </c>
      <c r="C99" s="14" t="s">
        <v>301</v>
      </c>
      <c r="D99" s="14" t="s">
        <v>302</v>
      </c>
      <c r="E99" s="15">
        <v>46056.0</v>
      </c>
      <c r="F99" s="21">
        <v>1.0</v>
      </c>
      <c r="G99" s="21">
        <v>0.0</v>
      </c>
      <c r="H99" s="17" t="s">
        <v>84</v>
      </c>
      <c r="I99" s="15">
        <f t="shared" ref="I99:I101" si="8">I98</f>
        <v>45130</v>
      </c>
      <c r="J99" s="19">
        <v>46130.0</v>
      </c>
    </row>
    <row r="100">
      <c r="A100" s="5">
        <v>99.0</v>
      </c>
      <c r="B100" s="6" t="str">
        <f>VLOOKUP(A100,vaccines!A:B,2)</f>
        <v>Regevac_1_0</v>
      </c>
      <c r="C100" s="14" t="s">
        <v>303</v>
      </c>
      <c r="D100" s="14" t="s">
        <v>304</v>
      </c>
      <c r="E100" s="15">
        <v>45216.0</v>
      </c>
      <c r="F100" s="21">
        <v>1.0</v>
      </c>
      <c r="G100" s="21">
        <v>0.0</v>
      </c>
      <c r="H100" s="17" t="s">
        <v>81</v>
      </c>
      <c r="I100" s="15">
        <f t="shared" si="8"/>
        <v>45130</v>
      </c>
      <c r="J100" s="19">
        <v>45988.0</v>
      </c>
    </row>
    <row r="101">
      <c r="A101" s="5">
        <v>100.0</v>
      </c>
      <c r="B101" s="6" t="str">
        <f>VLOOKUP(A101,vaccines!A:B,2)</f>
        <v>Priorix_Tetra</v>
      </c>
      <c r="C101" s="14" t="s">
        <v>305</v>
      </c>
      <c r="D101" s="14" t="s">
        <v>306</v>
      </c>
      <c r="E101" s="15">
        <v>45453.0</v>
      </c>
      <c r="F101" s="16"/>
      <c r="G101" s="16"/>
      <c r="H101" s="17" t="s">
        <v>307</v>
      </c>
      <c r="I101" s="15">
        <f t="shared" si="8"/>
        <v>45130</v>
      </c>
      <c r="J101" s="19">
        <v>45510.0</v>
      </c>
    </row>
    <row r="102">
      <c r="A102" s="5">
        <v>101.0</v>
      </c>
      <c r="B102" s="6" t="str">
        <f>VLOOKUP(A102,vaccines!A:B,2)</f>
        <v>Menveo</v>
      </c>
      <c r="C102" s="14" t="s">
        <v>308</v>
      </c>
      <c r="D102" s="14" t="s">
        <v>309</v>
      </c>
      <c r="E102" s="22">
        <v>45015.0</v>
      </c>
      <c r="F102" s="23">
        <v>5.0</v>
      </c>
      <c r="G102" s="23">
        <v>4.0</v>
      </c>
      <c r="H102" s="24" t="s">
        <v>310</v>
      </c>
      <c r="I102" s="22">
        <v>45130.0</v>
      </c>
      <c r="J102" s="10"/>
    </row>
    <row r="103">
      <c r="A103" s="5">
        <v>102.0</v>
      </c>
      <c r="B103" s="6" t="str">
        <f>VLOOKUP(A103,vaccines!A:B,2)</f>
        <v>Sputnik_intranasal</v>
      </c>
      <c r="C103" s="14" t="s">
        <v>311</v>
      </c>
      <c r="D103" s="14" t="s">
        <v>312</v>
      </c>
      <c r="E103" s="22">
        <v>44651.0</v>
      </c>
      <c r="F103" s="23">
        <v>1.0</v>
      </c>
      <c r="G103" s="23">
        <v>0.0</v>
      </c>
      <c r="H103" s="25" t="s">
        <v>313</v>
      </c>
      <c r="I103" s="22">
        <v>45130.0</v>
      </c>
      <c r="J103" s="10"/>
      <c r="K103" s="20" t="s">
        <v>18</v>
      </c>
    </row>
    <row r="104">
      <c r="A104" s="5">
        <v>103.0</v>
      </c>
      <c r="B104" s="6" t="str">
        <f>VLOOKUP(A104,vaccines!A:B,2)</f>
        <v>Grippol_plus_0_25</v>
      </c>
      <c r="C104" s="30" t="s">
        <v>314</v>
      </c>
      <c r="D104" s="30" t="s">
        <v>315</v>
      </c>
      <c r="E104" s="15">
        <v>45182.0</v>
      </c>
      <c r="F104" s="16"/>
      <c r="G104" s="16"/>
      <c r="H104" s="17" t="s">
        <v>113</v>
      </c>
      <c r="I104" s="22">
        <v>45130.0</v>
      </c>
      <c r="J104" s="22">
        <v>45483.0</v>
      </c>
    </row>
    <row r="105">
      <c r="A105" s="5">
        <v>104.0</v>
      </c>
      <c r="B105" s="6" t="str">
        <f>VLOOKUP(A105,vaccines!A:B,2)</f>
        <v>Flu_M_Tetra</v>
      </c>
      <c r="C105" s="14" t="s">
        <v>316</v>
      </c>
      <c r="D105" s="14" t="s">
        <v>317</v>
      </c>
      <c r="E105" s="15">
        <v>45741.0</v>
      </c>
      <c r="F105" s="21">
        <v>1.0</v>
      </c>
      <c r="G105" s="21">
        <v>0.0</v>
      </c>
      <c r="H105" s="17" t="s">
        <v>318</v>
      </c>
      <c r="I105" s="15">
        <f t="shared" ref="I105:I106" si="9">I104</f>
        <v>45130</v>
      </c>
      <c r="J105" s="19">
        <v>45798.0</v>
      </c>
    </row>
    <row r="106">
      <c r="A106" s="5">
        <v>105.0</v>
      </c>
      <c r="B106" s="6" t="str">
        <f>VLOOKUP(A106,vaccines!A:B,2)</f>
        <v>Vaxigrip_Tetra</v>
      </c>
      <c r="C106" s="14" t="s">
        <v>319</v>
      </c>
      <c r="D106" s="14" t="s">
        <v>320</v>
      </c>
      <c r="E106" s="15">
        <v>45300.0</v>
      </c>
      <c r="F106" s="16"/>
      <c r="G106" s="16"/>
      <c r="H106" s="17" t="s">
        <v>321</v>
      </c>
      <c r="I106" s="15">
        <f t="shared" si="9"/>
        <v>45130</v>
      </c>
      <c r="J106" s="19">
        <v>45489.0</v>
      </c>
    </row>
    <row r="107">
      <c r="A107" s="5">
        <v>106.0</v>
      </c>
      <c r="B107" s="6" t="str">
        <f>VLOOKUP(A107,vaccines!A:B,2)</f>
        <v>Ocavax</v>
      </c>
      <c r="C107" s="14" t="s">
        <v>322</v>
      </c>
      <c r="D107" s="14" t="s">
        <v>323</v>
      </c>
      <c r="E107" s="22">
        <v>40233.0</v>
      </c>
      <c r="F107" s="23">
        <v>1.0</v>
      </c>
      <c r="G107" s="23">
        <v>0.0</v>
      </c>
      <c r="H107" s="25" t="s">
        <v>324</v>
      </c>
      <c r="I107" s="22">
        <v>45130.0</v>
      </c>
      <c r="J107" s="10"/>
    </row>
    <row r="108">
      <c r="A108" s="5">
        <v>107.0</v>
      </c>
      <c r="B108" s="6" t="str">
        <f>VLOOKUP(A108,vaccines!A:B,2)</f>
        <v>Pneumo_23</v>
      </c>
      <c r="C108" s="14" t="s">
        <v>325</v>
      </c>
      <c r="D108" s="14" t="s">
        <v>326</v>
      </c>
      <c r="E108" s="22">
        <v>41688.0</v>
      </c>
      <c r="F108" s="23">
        <v>1.0</v>
      </c>
      <c r="G108" s="23">
        <v>0.0</v>
      </c>
      <c r="H108" s="25" t="s">
        <v>327</v>
      </c>
      <c r="I108" s="22">
        <v>45130.0</v>
      </c>
      <c r="J108" s="10"/>
    </row>
    <row r="109">
      <c r="A109" s="5">
        <v>108.0</v>
      </c>
      <c r="B109" s="6" t="str">
        <f>VLOOKUP(A109,vaccines!A:B,2)</f>
        <v>Varivax</v>
      </c>
      <c r="C109" s="14" t="s">
        <v>328</v>
      </c>
      <c r="D109" s="14" t="s">
        <v>329</v>
      </c>
      <c r="E109" s="15">
        <v>45126.0</v>
      </c>
      <c r="F109" s="16"/>
      <c r="G109" s="16"/>
      <c r="H109" s="17" t="s">
        <v>330</v>
      </c>
      <c r="I109" s="22">
        <v>45131.0</v>
      </c>
      <c r="J109" s="19">
        <v>45489.0</v>
      </c>
    </row>
    <row r="110">
      <c r="A110" s="5">
        <v>109.0</v>
      </c>
      <c r="B110" s="6" t="str">
        <f>VLOOKUP(A110,vaccines!A:B,2)</f>
        <v>Pneumotex</v>
      </c>
      <c r="C110" s="14" t="s">
        <v>331</v>
      </c>
      <c r="D110" s="14" t="s">
        <v>332</v>
      </c>
      <c r="E110" s="15">
        <v>45777.0</v>
      </c>
      <c r="F110" s="21">
        <v>1.0</v>
      </c>
      <c r="G110" s="21">
        <v>0.0</v>
      </c>
      <c r="H110" s="17" t="s">
        <v>333</v>
      </c>
      <c r="I110" s="22">
        <v>45131.0</v>
      </c>
      <c r="J110" s="19">
        <v>45818.0</v>
      </c>
    </row>
    <row r="111">
      <c r="A111" s="5">
        <v>110.0</v>
      </c>
      <c r="B111" s="6" t="str">
        <f>VLOOKUP(A111,vaccines!A:B,2)</f>
        <v>Priorix</v>
      </c>
      <c r="C111" s="14" t="s">
        <v>334</v>
      </c>
      <c r="D111" s="14" t="s">
        <v>335</v>
      </c>
      <c r="E111" s="22">
        <v>43388.0</v>
      </c>
      <c r="F111" s="23">
        <v>5.0</v>
      </c>
      <c r="G111" s="23">
        <v>6.0</v>
      </c>
      <c r="H111" s="25" t="s">
        <v>336</v>
      </c>
      <c r="I111" s="22">
        <v>45131.0</v>
      </c>
      <c r="J111" s="10"/>
    </row>
    <row r="112">
      <c r="A112" s="5">
        <v>111.0</v>
      </c>
      <c r="B112" s="6" t="str">
        <f>VLOOKUP(A112,vaccines!A:B,2)</f>
        <v>MenQuadfi</v>
      </c>
      <c r="C112" s="14" t="s">
        <v>337</v>
      </c>
      <c r="D112" s="14" t="s">
        <v>338</v>
      </c>
      <c r="E112" s="15">
        <v>45932.0</v>
      </c>
      <c r="F112" s="21">
        <v>1.0</v>
      </c>
      <c r="G112" s="21">
        <v>0.0</v>
      </c>
      <c r="H112" s="17" t="s">
        <v>339</v>
      </c>
      <c r="I112" s="22">
        <v>45131.0</v>
      </c>
      <c r="J112" s="19">
        <v>46072.0</v>
      </c>
    </row>
    <row r="113">
      <c r="A113" s="5">
        <v>112.0</v>
      </c>
      <c r="B113" s="6" t="str">
        <f>VLOOKUP(A113,vaccines!A:B,2)</f>
        <v>Bexsero</v>
      </c>
      <c r="C113" s="14" t="s">
        <v>340</v>
      </c>
      <c r="D113" s="14" t="s">
        <v>341</v>
      </c>
      <c r="E113" s="15">
        <v>45391.0</v>
      </c>
      <c r="F113" s="16"/>
      <c r="G113" s="16"/>
      <c r="H113" s="17" t="s">
        <v>342</v>
      </c>
      <c r="I113" s="22">
        <v>45131.0</v>
      </c>
      <c r="J113" s="19">
        <v>45489.0</v>
      </c>
      <c r="K113" s="20" t="s">
        <v>18</v>
      </c>
    </row>
    <row r="114">
      <c r="A114" s="5">
        <v>113.0</v>
      </c>
      <c r="B114" s="6" t="str">
        <f>VLOOKUP(A114,vaccines!A:B,2)</f>
        <v>Sputnik_D</v>
      </c>
      <c r="C114" s="14" t="s">
        <v>343</v>
      </c>
      <c r="D114" s="14" t="s">
        <v>344</v>
      </c>
      <c r="E114" s="22">
        <v>45030.0</v>
      </c>
      <c r="F114" s="23">
        <v>1.0</v>
      </c>
      <c r="G114" s="23">
        <v>0.0</v>
      </c>
      <c r="H114" s="25" t="s">
        <v>345</v>
      </c>
      <c r="I114" s="22">
        <v>45131.0</v>
      </c>
      <c r="J114" s="10"/>
    </row>
    <row r="115">
      <c r="A115" s="5">
        <v>114.0</v>
      </c>
      <c r="B115" s="6" t="str">
        <f>VLOOKUP(A115,vaccines!A:B,2)</f>
        <v>Encepur_0_25</v>
      </c>
      <c r="C115" s="14" t="s">
        <v>346</v>
      </c>
      <c r="D115" s="14" t="s">
        <v>347</v>
      </c>
      <c r="E115" s="22">
        <v>40252.0</v>
      </c>
      <c r="F115" s="23">
        <v>1.0</v>
      </c>
      <c r="G115" s="23">
        <v>0.0</v>
      </c>
      <c r="H115" s="24" t="s">
        <v>348</v>
      </c>
      <c r="I115" s="22">
        <v>45131.0</v>
      </c>
      <c r="J115" s="10"/>
    </row>
    <row r="116">
      <c r="A116" s="5">
        <v>115.0</v>
      </c>
      <c r="B116" s="6" t="str">
        <f>VLOOKUP(A116,vaccines!A:B,2)</f>
        <v>Encepur_0_5</v>
      </c>
      <c r="C116" s="14" t="s">
        <v>349</v>
      </c>
      <c r="D116" s="14" t="s">
        <v>350</v>
      </c>
      <c r="E116" s="22">
        <v>39878.0</v>
      </c>
      <c r="F116" s="23">
        <v>1.0</v>
      </c>
      <c r="G116" s="23">
        <v>0.0</v>
      </c>
      <c r="H116" s="24" t="s">
        <v>351</v>
      </c>
      <c r="I116" s="22">
        <v>45131.0</v>
      </c>
      <c r="J116" s="10"/>
    </row>
    <row r="117">
      <c r="A117" s="5">
        <v>116.0</v>
      </c>
      <c r="B117" s="6" t="str">
        <f>VLOOKUP(A117,vaccines!A:B,2)</f>
        <v>Poliovaccine</v>
      </c>
      <c r="C117" s="14" t="s">
        <v>352</v>
      </c>
      <c r="D117" s="14" t="s">
        <v>353</v>
      </c>
      <c r="E117" s="22">
        <v>44476.0</v>
      </c>
      <c r="F117" s="23">
        <v>1.0</v>
      </c>
      <c r="G117" s="23">
        <v>0.0</v>
      </c>
      <c r="H117" s="25" t="s">
        <v>354</v>
      </c>
      <c r="I117" s="22">
        <v>45131.0</v>
      </c>
      <c r="J117" s="10"/>
    </row>
    <row r="118">
      <c r="A118" s="5">
        <v>117.0</v>
      </c>
      <c r="B118" s="6" t="str">
        <f>VLOOKUP(A118,vaccines!A:B,2)</f>
        <v>Act_Hib</v>
      </c>
      <c r="C118" s="14" t="s">
        <v>355</v>
      </c>
      <c r="D118" s="14" t="s">
        <v>356</v>
      </c>
      <c r="E118" s="22">
        <v>43055.0</v>
      </c>
      <c r="F118" s="23">
        <v>2.0</v>
      </c>
      <c r="G118" s="23">
        <v>2.0</v>
      </c>
      <c r="H118" s="24" t="s">
        <v>357</v>
      </c>
      <c r="I118" s="22">
        <v>45131.0</v>
      </c>
      <c r="J118" s="10"/>
    </row>
    <row r="119">
      <c r="A119" s="5">
        <v>118.0</v>
      </c>
      <c r="B119" s="6" t="str">
        <f>VLOOKUP(A119,vaccines!A:B,2)</f>
        <v>Hiberix</v>
      </c>
      <c r="C119" s="14" t="s">
        <v>358</v>
      </c>
      <c r="D119" s="14" t="s">
        <v>359</v>
      </c>
      <c r="E119" s="22">
        <v>42809.0</v>
      </c>
      <c r="F119" s="23">
        <v>4.0</v>
      </c>
      <c r="G119" s="23">
        <v>3.0</v>
      </c>
      <c r="H119" s="24" t="s">
        <v>360</v>
      </c>
      <c r="I119" s="22">
        <v>45131.0</v>
      </c>
      <c r="J119" s="10"/>
    </row>
    <row r="120">
      <c r="A120" s="5">
        <v>119.0</v>
      </c>
      <c r="B120" s="6" t="str">
        <f>VLOOKUP(A120,vaccines!A:B,2)</f>
        <v>FSME_Immun_Junior</v>
      </c>
      <c r="C120" s="14" t="s">
        <v>361</v>
      </c>
      <c r="D120" s="14" t="s">
        <v>362</v>
      </c>
      <c r="E120" s="22">
        <v>43115.0</v>
      </c>
      <c r="F120" s="23">
        <v>1.0</v>
      </c>
      <c r="G120" s="23">
        <v>0.0</v>
      </c>
      <c r="H120" s="24" t="s">
        <v>363</v>
      </c>
      <c r="I120" s="22">
        <v>45131.0</v>
      </c>
      <c r="J120" s="10"/>
    </row>
    <row r="121">
      <c r="A121" s="5">
        <v>120.0</v>
      </c>
      <c r="B121" s="6" t="str">
        <f>VLOOKUP(A121,vaccines!A:B,2)</f>
        <v>FSME_Immun</v>
      </c>
      <c r="C121" s="14" t="s">
        <v>364</v>
      </c>
      <c r="D121" s="14" t="s">
        <v>365</v>
      </c>
      <c r="E121" s="22">
        <v>44169.0</v>
      </c>
      <c r="F121" s="23">
        <v>1.0</v>
      </c>
      <c r="G121" s="23">
        <v>0.0</v>
      </c>
      <c r="H121" s="24" t="s">
        <v>366</v>
      </c>
      <c r="I121" s="22">
        <v>45131.0</v>
      </c>
      <c r="J121" s="10"/>
    </row>
    <row r="122">
      <c r="A122" s="5">
        <v>121.0</v>
      </c>
      <c r="B122" s="6" t="str">
        <f>VLOOKUP(A122,vaccines!A:B,2)</f>
        <v>SciBiVac</v>
      </c>
      <c r="C122" s="14" t="s">
        <v>367</v>
      </c>
      <c r="D122" s="14" t="s">
        <v>368</v>
      </c>
      <c r="E122" s="22">
        <v>44762.0</v>
      </c>
      <c r="F122" s="23">
        <v>1.0</v>
      </c>
      <c r="G122" s="23">
        <v>0.0</v>
      </c>
      <c r="H122" s="25" t="s">
        <v>369</v>
      </c>
      <c r="I122" s="22">
        <v>45131.0</v>
      </c>
      <c r="J122" s="10"/>
    </row>
    <row r="123">
      <c r="A123" s="5">
        <v>122.0</v>
      </c>
      <c r="B123" s="6" t="str">
        <f>VLOOKUP(A123,vaccines!A:B,2)</f>
        <v>Pentavaccina</v>
      </c>
      <c r="C123" s="14" t="s">
        <v>370</v>
      </c>
      <c r="D123" s="14" t="s">
        <v>371</v>
      </c>
      <c r="E123" s="19">
        <v>45320.0</v>
      </c>
      <c r="F123" s="16"/>
      <c r="G123" s="16"/>
      <c r="H123" s="17" t="s">
        <v>372</v>
      </c>
      <c r="I123" s="22">
        <v>45131.0</v>
      </c>
      <c r="J123" s="19">
        <v>45460.0</v>
      </c>
      <c r="K123" s="20" t="s">
        <v>18</v>
      </c>
    </row>
    <row r="124">
      <c r="A124" s="5">
        <v>123.0</v>
      </c>
      <c r="B124" s="6" t="str">
        <f>VLOOKUP(A124,vaccines!A:B,2)</f>
        <v>Vitagerpavac</v>
      </c>
      <c r="C124" s="14" t="s">
        <v>373</v>
      </c>
      <c r="D124" s="14" t="s">
        <v>374</v>
      </c>
      <c r="E124" s="31">
        <v>40255.0</v>
      </c>
      <c r="F124" s="5">
        <v>1.0</v>
      </c>
      <c r="G124" s="5">
        <v>0.0</v>
      </c>
      <c r="H124" s="32" t="s">
        <v>375</v>
      </c>
      <c r="I124" s="22">
        <v>45169.0</v>
      </c>
      <c r="J124" s="10"/>
      <c r="K124" s="20" t="s">
        <v>14</v>
      </c>
    </row>
    <row r="125">
      <c r="A125" s="6">
        <v>124.0</v>
      </c>
      <c r="B125" s="6" t="s">
        <v>376</v>
      </c>
      <c r="C125" s="14" t="s">
        <v>377</v>
      </c>
      <c r="D125" s="14" t="s">
        <v>378</v>
      </c>
      <c r="E125" s="15">
        <v>45440.0</v>
      </c>
      <c r="F125" s="16"/>
      <c r="G125" s="16"/>
      <c r="H125" s="17" t="s">
        <v>379</v>
      </c>
      <c r="I125" s="18">
        <v>45447.0</v>
      </c>
      <c r="J125" s="15">
        <v>45589.0</v>
      </c>
    </row>
    <row r="126">
      <c r="A126" s="6">
        <v>125.0</v>
      </c>
      <c r="B126" s="6" t="str">
        <f>VLOOKUP(A126,vaccines!A:B,2)</f>
        <v>Trivaid</v>
      </c>
      <c r="C126" s="14" t="s">
        <v>380</v>
      </c>
      <c r="D126" s="14" t="s">
        <v>381</v>
      </c>
      <c r="E126" s="15">
        <v>45996.0</v>
      </c>
      <c r="F126" s="21">
        <v>1.0</v>
      </c>
      <c r="G126" s="21">
        <v>0.0</v>
      </c>
      <c r="H126" s="17" t="s">
        <v>382</v>
      </c>
      <c r="I126" s="15">
        <v>45436.0</v>
      </c>
      <c r="J126" s="15">
        <v>46053.0</v>
      </c>
    </row>
    <row r="127">
      <c r="A127" s="6">
        <v>126.0</v>
      </c>
      <c r="B127" s="6" t="str">
        <f>VLOOKUP(A127,vaccines!A:B,2)</f>
        <v>BabyHib</v>
      </c>
      <c r="C127" s="14" t="s">
        <v>383</v>
      </c>
      <c r="D127" s="14" t="s">
        <v>384</v>
      </c>
      <c r="E127" s="15">
        <v>45938.0</v>
      </c>
      <c r="F127" s="21">
        <v>1.0</v>
      </c>
      <c r="G127" s="21">
        <v>0.0</v>
      </c>
      <c r="H127" s="17" t="s">
        <v>385</v>
      </c>
      <c r="I127" s="15">
        <v>45436.0</v>
      </c>
      <c r="J127" s="15">
        <v>45988.0</v>
      </c>
    </row>
    <row r="128">
      <c r="A128" s="6">
        <v>127.0</v>
      </c>
      <c r="B128" s="6" t="str">
        <f>VLOOKUP(A128,vaccines!A:B,2)</f>
        <v>AD_M_Biomed</v>
      </c>
      <c r="C128" s="14" t="s">
        <v>386</v>
      </c>
      <c r="D128" s="14" t="s">
        <v>387</v>
      </c>
      <c r="E128" s="31">
        <v>41046.0</v>
      </c>
      <c r="F128" s="5">
        <v>1.0</v>
      </c>
      <c r="G128" s="5">
        <v>0.0</v>
      </c>
      <c r="H128" s="32" t="s">
        <v>388</v>
      </c>
      <c r="I128" s="18">
        <v>45461.0</v>
      </c>
      <c r="J128" s="10"/>
    </row>
    <row r="129">
      <c r="A129" s="6">
        <v>128.0</v>
      </c>
      <c r="B129" s="6" t="str">
        <f>VLOOKUP(A129,vaccines!A:B,2)</f>
        <v>AS_D_Microgen</v>
      </c>
      <c r="C129" s="14" t="s">
        <v>389</v>
      </c>
      <c r="D129" s="14" t="s">
        <v>390</v>
      </c>
      <c r="E129" s="15">
        <v>45266.0</v>
      </c>
      <c r="F129" s="6"/>
      <c r="G129" s="6"/>
      <c r="H129" s="32" t="s">
        <v>391</v>
      </c>
      <c r="I129" s="18">
        <v>45461.0</v>
      </c>
      <c r="J129" s="10"/>
    </row>
    <row r="130">
      <c r="A130" s="6">
        <v>129.0</v>
      </c>
      <c r="B130" s="6" t="str">
        <f>VLOOKUP(A130,vaccines!A:B,2)</f>
        <v>Variola</v>
      </c>
      <c r="C130" s="14" t="s">
        <v>392</v>
      </c>
      <c r="D130" s="14" t="s">
        <v>393</v>
      </c>
      <c r="E130" s="15">
        <v>45252.0</v>
      </c>
      <c r="F130" s="6"/>
      <c r="G130" s="6"/>
      <c r="H130" s="32" t="s">
        <v>394</v>
      </c>
      <c r="I130" s="18">
        <v>45461.0</v>
      </c>
      <c r="J130" s="10"/>
    </row>
    <row r="131">
      <c r="A131" s="6">
        <v>130.0</v>
      </c>
      <c r="B131" s="6" t="str">
        <f>VLOOKUP(A131,vaccines!A:B,2)</f>
        <v>AKDS_HepB_Microgen</v>
      </c>
      <c r="C131" s="14" t="s">
        <v>395</v>
      </c>
      <c r="D131" s="14" t="s">
        <v>396</v>
      </c>
      <c r="E131" s="15">
        <v>45135.0</v>
      </c>
      <c r="F131" s="6"/>
      <c r="G131" s="6"/>
      <c r="H131" s="32" t="s">
        <v>397</v>
      </c>
      <c r="I131" s="15">
        <v>45464.0</v>
      </c>
      <c r="J131" s="10"/>
    </row>
    <row r="132">
      <c r="A132" s="6">
        <v>131.0</v>
      </c>
      <c r="B132" s="6" t="str">
        <f>VLOOKUP(A132,vaccines!A:B,2)</f>
        <v>Rickettsia</v>
      </c>
      <c r="C132" s="14" t="s">
        <v>398</v>
      </c>
      <c r="D132" s="14" t="s">
        <v>399</v>
      </c>
      <c r="E132" s="15">
        <v>45107.0</v>
      </c>
      <c r="F132" s="6"/>
      <c r="G132" s="6"/>
      <c r="H132" s="32" t="s">
        <v>400</v>
      </c>
      <c r="I132" s="15">
        <v>45464.0</v>
      </c>
      <c r="J132" s="10"/>
    </row>
    <row r="133">
      <c r="A133" s="6">
        <v>132.0</v>
      </c>
      <c r="B133" s="6" t="str">
        <f>VLOOKUP(A133,vaccines!A:B,2)</f>
        <v>OspaVir</v>
      </c>
      <c r="C133" s="14" t="s">
        <v>401</v>
      </c>
      <c r="D133" s="14" t="s">
        <v>402</v>
      </c>
      <c r="E133" s="15">
        <v>45077.0</v>
      </c>
      <c r="F133" s="6"/>
      <c r="G133" s="6"/>
      <c r="H133" s="32" t="s">
        <v>403</v>
      </c>
      <c r="I133" s="15">
        <v>45464.0</v>
      </c>
      <c r="J133" s="10"/>
    </row>
    <row r="134">
      <c r="A134" s="6">
        <v>133.0</v>
      </c>
      <c r="B134" s="6" t="str">
        <f>VLOOKUP(A134,vaccines!A:B,2)</f>
        <v>Gonovaccina_therapeutic</v>
      </c>
      <c r="C134" s="14" t="s">
        <v>404</v>
      </c>
      <c r="D134" s="14" t="s">
        <v>405</v>
      </c>
      <c r="E134" s="15">
        <v>44942.0</v>
      </c>
      <c r="F134" s="6"/>
      <c r="G134" s="6"/>
      <c r="H134" s="32" t="s">
        <v>406</v>
      </c>
      <c r="I134" s="15">
        <v>45464.0</v>
      </c>
      <c r="J134" s="10"/>
    </row>
    <row r="135">
      <c r="A135" s="6">
        <v>134.0</v>
      </c>
      <c r="B135" s="6" t="str">
        <f>VLOOKUP(A135,vaccines!A:B,2)</f>
        <v>OrtopoxVac</v>
      </c>
      <c r="C135" s="14" t="s">
        <v>407</v>
      </c>
      <c r="D135" s="14" t="s">
        <v>408</v>
      </c>
      <c r="E135" s="22">
        <v>45147.0</v>
      </c>
      <c r="H135" s="24" t="s">
        <v>409</v>
      </c>
      <c r="I135" s="22">
        <v>45465.0</v>
      </c>
      <c r="J135" s="10"/>
    </row>
    <row r="136">
      <c r="A136" s="6">
        <v>135.0</v>
      </c>
      <c r="B136" s="6" t="str">
        <f>VLOOKUP(A136,vaccines!A:B,2)</f>
        <v>FlexVac</v>
      </c>
      <c r="C136" s="14" t="s">
        <v>410</v>
      </c>
      <c r="D136" s="14" t="s">
        <v>411</v>
      </c>
      <c r="E136" s="15">
        <v>46126.0</v>
      </c>
      <c r="F136" s="5">
        <v>1.0</v>
      </c>
      <c r="G136" s="5">
        <v>0.0</v>
      </c>
      <c r="H136" s="32" t="s">
        <v>412</v>
      </c>
      <c r="I136" s="15">
        <v>45465.0</v>
      </c>
      <c r="J136" s="15">
        <v>46188.0</v>
      </c>
    </row>
    <row r="137">
      <c r="A137" s="6">
        <v>136.0</v>
      </c>
      <c r="B137" s="6" t="str">
        <f>VLOOKUP(A137,vaccines!A:B,2)</f>
        <v>SinSaVac</v>
      </c>
      <c r="C137" s="14" t="s">
        <v>413</v>
      </c>
      <c r="D137" s="14" t="s">
        <v>414</v>
      </c>
      <c r="E137" s="15">
        <v>44537.0</v>
      </c>
      <c r="F137" s="5">
        <v>1.0</v>
      </c>
      <c r="G137" s="5">
        <v>0.0</v>
      </c>
      <c r="H137" s="32" t="s">
        <v>415</v>
      </c>
      <c r="I137" s="15">
        <v>45465.0</v>
      </c>
      <c r="J137" s="10"/>
    </row>
    <row r="138">
      <c r="A138" s="6">
        <v>138.0</v>
      </c>
      <c r="B138" s="6" t="str">
        <f>VLOOKUP(A138,vaccines!A:B,2)</f>
        <v>EpiVacEbola</v>
      </c>
      <c r="C138" s="14" t="s">
        <v>416</v>
      </c>
      <c r="D138" s="14" t="s">
        <v>417</v>
      </c>
      <c r="E138" s="15">
        <v>43185.0</v>
      </c>
      <c r="F138" s="5">
        <v>1.0</v>
      </c>
      <c r="G138" s="5">
        <v>0.0</v>
      </c>
      <c r="H138" s="32" t="s">
        <v>418</v>
      </c>
      <c r="I138" s="15">
        <v>45465.0</v>
      </c>
      <c r="J138" s="10"/>
    </row>
    <row r="139">
      <c r="A139" s="33">
        <v>139.0</v>
      </c>
      <c r="B139" s="6" t="str">
        <f>VLOOKUP(A139,vaccines!A:B,2)</f>
        <v>GamEvac_Combi</v>
      </c>
      <c r="C139" s="14" t="s">
        <v>419</v>
      </c>
      <c r="D139" s="14" t="s">
        <v>420</v>
      </c>
      <c r="E139" s="15">
        <v>46099.0</v>
      </c>
      <c r="F139" s="5">
        <v>1.0</v>
      </c>
      <c r="G139" s="5">
        <v>0.0</v>
      </c>
      <c r="H139" s="32" t="s">
        <v>421</v>
      </c>
      <c r="I139" s="15">
        <v>46131.0</v>
      </c>
      <c r="J139" s="10"/>
    </row>
    <row r="140">
      <c r="A140" s="6">
        <v>141.0</v>
      </c>
      <c r="B140" s="6" t="str">
        <f>VLOOKUP(A140,vaccines!A:B,2)</f>
        <v>Staphylococcus_therapeutic_Biomed</v>
      </c>
      <c r="C140" s="14" t="s">
        <v>422</v>
      </c>
      <c r="D140" s="14" t="s">
        <v>423</v>
      </c>
      <c r="E140" s="15">
        <v>43388.0</v>
      </c>
      <c r="F140" s="5">
        <v>1.0</v>
      </c>
      <c r="G140" s="5">
        <v>0.0</v>
      </c>
      <c r="H140" s="32" t="s">
        <v>424</v>
      </c>
      <c r="I140" s="15">
        <v>45465.0</v>
      </c>
      <c r="J140" s="10"/>
    </row>
    <row r="141">
      <c r="A141" s="6">
        <v>142.0</v>
      </c>
      <c r="B141" s="6" t="str">
        <f>VLOOKUP(A141,vaccines!A:B,2)</f>
        <v>Pseudovac</v>
      </c>
      <c r="C141" s="14" t="s">
        <v>425</v>
      </c>
      <c r="D141" s="14" t="s">
        <v>426</v>
      </c>
      <c r="E141" s="15">
        <v>42809.0</v>
      </c>
      <c r="F141" s="5">
        <v>1.0</v>
      </c>
      <c r="G141" s="5">
        <v>0.0</v>
      </c>
      <c r="H141" s="32" t="s">
        <v>427</v>
      </c>
      <c r="I141" s="15">
        <v>45466.0</v>
      </c>
      <c r="J141" s="10"/>
    </row>
    <row r="142">
      <c r="A142" s="6">
        <v>143.0</v>
      </c>
      <c r="B142" s="6" t="str">
        <f>VLOOKUP(A142,vaccines!A:B,2)</f>
        <v>SPSA_therapeutic</v>
      </c>
      <c r="C142" s="14" t="s">
        <v>428</v>
      </c>
      <c r="D142" s="14" t="s">
        <v>429</v>
      </c>
      <c r="E142" s="15">
        <v>40819.0</v>
      </c>
      <c r="F142" s="5">
        <v>1.0</v>
      </c>
      <c r="G142" s="5">
        <v>0.0</v>
      </c>
      <c r="H142" s="32" t="s">
        <v>430</v>
      </c>
      <c r="I142" s="15">
        <v>45466.0</v>
      </c>
      <c r="J142" s="10"/>
    </row>
    <row r="143">
      <c r="A143" s="6">
        <v>144.0</v>
      </c>
      <c r="B143" s="6" t="str">
        <f>VLOOKUP(A143,vaccines!A:B,2)</f>
        <v>HepB_Serum_India_0_5</v>
      </c>
      <c r="C143" s="14" t="s">
        <v>431</v>
      </c>
      <c r="D143" s="14" t="s">
        <v>432</v>
      </c>
      <c r="E143" s="15">
        <v>45981.0</v>
      </c>
      <c r="F143" s="5">
        <v>1.0</v>
      </c>
      <c r="G143" s="5">
        <v>0.0</v>
      </c>
      <c r="H143" s="32" t="s">
        <v>433</v>
      </c>
      <c r="I143" s="15">
        <v>45466.0</v>
      </c>
      <c r="J143" s="31">
        <v>46053.0</v>
      </c>
    </row>
    <row r="144">
      <c r="A144" s="6">
        <v>145.0</v>
      </c>
      <c r="B144" s="6" t="str">
        <f>VLOOKUP(A144,vaccines!A:B,2)</f>
        <v>Polio_1_2_3</v>
      </c>
      <c r="C144" s="14" t="s">
        <v>434</v>
      </c>
      <c r="D144" s="14" t="s">
        <v>435</v>
      </c>
      <c r="E144" s="15">
        <v>45275.0</v>
      </c>
      <c r="F144" s="5">
        <v>1.0</v>
      </c>
      <c r="G144" s="5">
        <v>0.0</v>
      </c>
      <c r="H144" s="32" t="s">
        <v>436</v>
      </c>
      <c r="I144" s="15">
        <v>45466.0</v>
      </c>
      <c r="J144" s="10"/>
    </row>
    <row r="145">
      <c r="A145" s="6">
        <v>146.0</v>
      </c>
      <c r="B145" s="6" t="str">
        <f>VLOOKUP(A145,vaccines!A:B,2)</f>
        <v>TEOVac_chew_tablets</v>
      </c>
      <c r="C145" s="14" t="s">
        <v>437</v>
      </c>
      <c r="D145" s="14" t="s">
        <v>438</v>
      </c>
      <c r="E145" s="15">
        <v>40396.0</v>
      </c>
      <c r="F145" s="5">
        <v>1.0</v>
      </c>
      <c r="G145" s="5">
        <v>0.0</v>
      </c>
      <c r="H145" s="32" t="s">
        <v>439</v>
      </c>
      <c r="I145" s="15">
        <v>45467.0</v>
      </c>
      <c r="J145" s="10"/>
    </row>
    <row r="146">
      <c r="A146" s="6">
        <v>147.0</v>
      </c>
      <c r="B146" s="6" t="str">
        <f>VLOOKUP(A146,vaccines!A:B,2)</f>
        <v>TEOVac_tablets</v>
      </c>
      <c r="C146" s="14" t="s">
        <v>440</v>
      </c>
      <c r="D146" s="14" t="s">
        <v>441</v>
      </c>
      <c r="E146" s="15">
        <v>40392.0</v>
      </c>
      <c r="F146" s="5">
        <v>1.0</v>
      </c>
      <c r="G146" s="5">
        <v>0.0</v>
      </c>
      <c r="H146" s="32" t="s">
        <v>442</v>
      </c>
      <c r="I146" s="15">
        <v>45467.0</v>
      </c>
      <c r="J146" s="10"/>
    </row>
    <row r="147">
      <c r="A147" s="23">
        <v>148.0</v>
      </c>
      <c r="B147" s="6" t="str">
        <f>VLOOKUP(A147,vaccines!A:B,2)</f>
        <v>Uro_BCG_therapeutic</v>
      </c>
      <c r="C147" s="14" t="s">
        <v>443</v>
      </c>
      <c r="D147" s="14" t="s">
        <v>444</v>
      </c>
      <c r="E147" s="15">
        <v>42947.0</v>
      </c>
      <c r="F147" s="5">
        <v>1.0</v>
      </c>
      <c r="G147" s="5">
        <v>0.0</v>
      </c>
      <c r="H147" s="32" t="s">
        <v>445</v>
      </c>
      <c r="I147" s="15">
        <v>45494.0</v>
      </c>
      <c r="J147" s="10"/>
    </row>
    <row r="148">
      <c r="A148" s="6">
        <v>149.0</v>
      </c>
      <c r="B148" s="6" t="str">
        <f>VLOOKUP(A148,vaccines!A:B,2)</f>
        <v>Flu_Microgen</v>
      </c>
      <c r="C148" s="14" t="s">
        <v>446</v>
      </c>
      <c r="D148" s="14" t="s">
        <v>447</v>
      </c>
      <c r="E148" s="15">
        <v>40940.0</v>
      </c>
      <c r="F148" s="5">
        <v>1.0</v>
      </c>
      <c r="G148" s="5">
        <v>0.0</v>
      </c>
      <c r="H148" s="32" t="s">
        <v>448</v>
      </c>
      <c r="I148" s="15">
        <v>45494.0</v>
      </c>
      <c r="J148" s="10"/>
    </row>
    <row r="149">
      <c r="A149" s="23">
        <v>150.0</v>
      </c>
      <c r="B149" s="6" t="str">
        <f>VLOOKUP(A149,vaccines!A:B,2)</f>
        <v>MonoGrippol_plus</v>
      </c>
      <c r="C149" s="14" t="s">
        <v>449</v>
      </c>
      <c r="D149" s="14" t="s">
        <v>450</v>
      </c>
      <c r="E149" s="15">
        <v>42719.0</v>
      </c>
      <c r="F149" s="5">
        <v>1.0</v>
      </c>
      <c r="G149" s="5">
        <v>0.0</v>
      </c>
      <c r="H149" s="32" t="s">
        <v>451</v>
      </c>
      <c r="I149" s="15">
        <v>45494.0</v>
      </c>
      <c r="J149" s="10"/>
    </row>
    <row r="150">
      <c r="A150" s="6">
        <v>151.0</v>
      </c>
      <c r="B150" s="6" t="str">
        <f>VLOOKUP(A150,vaccines!A:B,2)</f>
        <v>MonoGrippol_Neo</v>
      </c>
      <c r="C150" s="14" t="s">
        <v>449</v>
      </c>
      <c r="D150" s="14" t="s">
        <v>450</v>
      </c>
      <c r="E150" s="18">
        <v>40353.0</v>
      </c>
      <c r="F150" s="34">
        <v>2.0</v>
      </c>
      <c r="G150" s="34">
        <v>1.0</v>
      </c>
      <c r="H150" s="35" t="s">
        <v>452</v>
      </c>
      <c r="I150" s="15">
        <v>45494.0</v>
      </c>
      <c r="J150" s="10"/>
    </row>
    <row r="151">
      <c r="A151" s="23">
        <v>152.0</v>
      </c>
      <c r="B151" s="6" t="str">
        <f>VLOOKUP(A151,vaccines!A:B,2)</f>
        <v>MonoGrippol</v>
      </c>
      <c r="C151" s="14" t="s">
        <v>453</v>
      </c>
      <c r="D151" s="14" t="s">
        <v>454</v>
      </c>
      <c r="E151" s="15">
        <v>40102.0</v>
      </c>
      <c r="F151" s="5">
        <v>1.0</v>
      </c>
      <c r="G151" s="5">
        <v>0.0</v>
      </c>
      <c r="H151" s="32" t="s">
        <v>455</v>
      </c>
      <c r="I151" s="15">
        <v>45494.0</v>
      </c>
      <c r="J151" s="10"/>
    </row>
    <row r="152">
      <c r="A152" s="6">
        <v>153.0</v>
      </c>
      <c r="B152" s="6" t="str">
        <f>VLOOKUP(A152,vaccines!A:B,2)</f>
        <v>Influvir</v>
      </c>
      <c r="C152" s="14" t="s">
        <v>456</v>
      </c>
      <c r="D152" s="14" t="s">
        <v>457</v>
      </c>
      <c r="E152" s="15">
        <v>45681.0</v>
      </c>
      <c r="F152" s="5">
        <v>1.0</v>
      </c>
      <c r="G152" s="5">
        <v>0.0</v>
      </c>
      <c r="H152" s="32" t="s">
        <v>458</v>
      </c>
      <c r="I152" s="15">
        <v>45494.0</v>
      </c>
      <c r="J152" s="15">
        <v>45717.0</v>
      </c>
    </row>
    <row r="153">
      <c r="A153" s="23">
        <v>154.0</v>
      </c>
      <c r="B153" s="6" t="str">
        <f>VLOOKUP(A153,vaccines!A:B,2)</f>
        <v>Pandeflu</v>
      </c>
      <c r="C153" s="14" t="s">
        <v>459</v>
      </c>
      <c r="D153" s="14" t="s">
        <v>460</v>
      </c>
      <c r="E153" s="15">
        <v>45719.0</v>
      </c>
      <c r="F153" s="5">
        <v>1.0</v>
      </c>
      <c r="G153" s="5">
        <v>0.0</v>
      </c>
      <c r="H153" s="32" t="s">
        <v>461</v>
      </c>
      <c r="I153" s="15">
        <v>45494.0</v>
      </c>
      <c r="J153" s="15">
        <v>45750.0</v>
      </c>
    </row>
    <row r="154">
      <c r="A154" s="6">
        <v>155.0</v>
      </c>
      <c r="B154" s="6" t="str">
        <f>VLOOKUP(A154,vaccines!A:B,2)</f>
        <v>Grippol_Neo</v>
      </c>
      <c r="C154" s="14" t="s">
        <v>462</v>
      </c>
      <c r="D154" s="14" t="s">
        <v>463</v>
      </c>
      <c r="E154" s="18">
        <v>40332.0</v>
      </c>
      <c r="F154" s="34">
        <v>1.0</v>
      </c>
      <c r="G154" s="34">
        <v>1.0</v>
      </c>
      <c r="H154" s="35" t="s">
        <v>464</v>
      </c>
      <c r="I154" s="15">
        <v>45494.0</v>
      </c>
      <c r="J154" s="10"/>
    </row>
    <row r="155">
      <c r="A155" s="23">
        <v>156.0</v>
      </c>
      <c r="B155" s="6" t="str">
        <f>VLOOKUP(A155,vaccines!A:B,2)</f>
        <v>Ultravac</v>
      </c>
      <c r="C155" s="14" t="s">
        <v>465</v>
      </c>
      <c r="D155" s="14" t="s">
        <v>466</v>
      </c>
      <c r="E155" s="15">
        <v>45569.0</v>
      </c>
      <c r="F155" s="16"/>
      <c r="G155" s="16"/>
      <c r="H155" s="29" t="s">
        <v>467</v>
      </c>
      <c r="I155" s="15">
        <v>45494.0</v>
      </c>
      <c r="J155" s="15">
        <v>45622.0</v>
      </c>
    </row>
    <row r="156">
      <c r="A156" s="23">
        <v>158.0</v>
      </c>
      <c r="B156" s="6" t="str">
        <f>VLOOKUP(A156,vaccines!A:B,2)</f>
        <v>Gerpovax_therapeutic</v>
      </c>
      <c r="C156" s="14" t="s">
        <v>468</v>
      </c>
      <c r="D156" s="14" t="s">
        <v>469</v>
      </c>
      <c r="E156" s="15">
        <v>43808.0</v>
      </c>
      <c r="F156" s="5">
        <v>1.0</v>
      </c>
      <c r="G156" s="5">
        <v>0.0</v>
      </c>
      <c r="H156" s="32" t="s">
        <v>470</v>
      </c>
      <c r="I156" s="15">
        <v>45496.0</v>
      </c>
      <c r="J156" s="10"/>
    </row>
    <row r="157">
      <c r="A157" s="23">
        <v>159.0</v>
      </c>
      <c r="B157" s="6" t="str">
        <f>VLOOKUP(A157,vaccines!A:B,2)</f>
        <v>Ultragrivac</v>
      </c>
      <c r="C157" s="14" t="s">
        <v>471</v>
      </c>
      <c r="D157" s="14" t="s">
        <v>472</v>
      </c>
      <c r="E157" s="15">
        <v>45775.0</v>
      </c>
      <c r="F157" s="5">
        <v>1.0</v>
      </c>
      <c r="G157" s="5">
        <v>0.0</v>
      </c>
      <c r="H157" s="32" t="s">
        <v>473</v>
      </c>
      <c r="I157" s="15">
        <v>45496.0</v>
      </c>
      <c r="J157" s="15">
        <v>45818.0</v>
      </c>
    </row>
    <row r="158">
      <c r="A158" s="23">
        <v>160.0</v>
      </c>
      <c r="B158" s="6" t="str">
        <f>VLOOKUP(A158,vaccines!A:B,2)</f>
        <v>OrniFlu</v>
      </c>
      <c r="C158" s="14" t="s">
        <v>474</v>
      </c>
      <c r="D158" s="14" t="s">
        <v>475</v>
      </c>
      <c r="E158" s="15">
        <v>45720.0</v>
      </c>
      <c r="F158" s="5">
        <v>1.0</v>
      </c>
      <c r="G158" s="5">
        <v>0.0</v>
      </c>
      <c r="H158" s="32" t="s">
        <v>476</v>
      </c>
      <c r="I158" s="15">
        <v>45496.0</v>
      </c>
      <c r="J158" s="15">
        <v>45750.0</v>
      </c>
    </row>
    <row r="159">
      <c r="A159" s="23">
        <v>161.0</v>
      </c>
      <c r="B159" s="6" t="str">
        <f>VLOOKUP(A159,vaccines!A:B,2)</f>
        <v>rubella_Croatia</v>
      </c>
      <c r="C159" s="14" t="s">
        <v>477</v>
      </c>
      <c r="D159" s="14" t="s">
        <v>478</v>
      </c>
      <c r="E159" s="15">
        <v>37712.0</v>
      </c>
      <c r="F159" s="5">
        <v>1.0</v>
      </c>
      <c r="G159" s="5">
        <v>0.0</v>
      </c>
      <c r="H159" s="32" t="s">
        <v>479</v>
      </c>
      <c r="I159" s="15">
        <v>45496.0</v>
      </c>
      <c r="J159" s="10"/>
    </row>
    <row r="160">
      <c r="A160" s="23">
        <v>162.0</v>
      </c>
      <c r="B160" s="6" t="str">
        <f>VLOOKUP(A160,vaccines!A:B,2)</f>
        <v>Tetraanatoxin</v>
      </c>
      <c r="C160" s="14" t="s">
        <v>480</v>
      </c>
      <c r="D160" s="14" t="s">
        <v>481</v>
      </c>
      <c r="E160" s="15">
        <v>45546.0</v>
      </c>
      <c r="F160" s="6"/>
      <c r="G160" s="6"/>
      <c r="H160" s="36" t="s">
        <v>482</v>
      </c>
      <c r="I160" s="15">
        <v>45497.0</v>
      </c>
      <c r="J160" s="15">
        <v>45581.0</v>
      </c>
    </row>
    <row r="161">
      <c r="A161" s="23">
        <v>163.0</v>
      </c>
      <c r="B161" s="6" t="str">
        <f>VLOOKUP(A161,vaccines!A:B,2)</f>
        <v>Staphylococcus_Gamaleya</v>
      </c>
      <c r="C161" s="14" t="s">
        <v>483</v>
      </c>
      <c r="D161" s="14" t="s">
        <v>484</v>
      </c>
      <c r="E161" s="15">
        <v>45799.0</v>
      </c>
      <c r="F161" s="5">
        <v>1.0</v>
      </c>
      <c r="G161" s="5">
        <v>0.0</v>
      </c>
      <c r="H161" s="32" t="s">
        <v>485</v>
      </c>
      <c r="I161" s="15">
        <v>45497.0</v>
      </c>
      <c r="J161" s="31">
        <v>45830.0</v>
      </c>
    </row>
    <row r="162">
      <c r="A162" s="23">
        <v>164.0</v>
      </c>
      <c r="B162" s="6" t="str">
        <f>VLOOKUP(A162,vaccines!A:B,2)</f>
        <v>Staphylococcus_therapeutic_Gamaleya</v>
      </c>
      <c r="C162" s="14" t="s">
        <v>486</v>
      </c>
      <c r="D162" s="14" t="s">
        <v>487</v>
      </c>
      <c r="E162" s="15">
        <v>45799.0</v>
      </c>
      <c r="F162" s="5">
        <v>1.0</v>
      </c>
      <c r="G162" s="5">
        <v>0.0</v>
      </c>
      <c r="H162" s="32" t="s">
        <v>488</v>
      </c>
      <c r="I162" s="15">
        <v>45497.0</v>
      </c>
      <c r="J162" s="15">
        <v>45830.0</v>
      </c>
    </row>
    <row r="163">
      <c r="A163" s="23">
        <v>165.0</v>
      </c>
      <c r="B163" s="6" t="str">
        <f>VLOOKUP(A163,vaccines!A:B,2)</f>
        <v>Imuron_vac_therapeutic</v>
      </c>
      <c r="C163" s="14" t="s">
        <v>489</v>
      </c>
      <c r="D163" s="14" t="s">
        <v>490</v>
      </c>
      <c r="E163" s="15">
        <v>45811.0</v>
      </c>
      <c r="F163" s="5">
        <v>1.0</v>
      </c>
      <c r="G163" s="5">
        <v>0.0</v>
      </c>
      <c r="H163" s="32" t="s">
        <v>491</v>
      </c>
      <c r="I163" s="15">
        <v>45497.0</v>
      </c>
      <c r="J163" s="15">
        <v>45861.0</v>
      </c>
    </row>
    <row r="164">
      <c r="A164" s="23">
        <v>166.0</v>
      </c>
      <c r="B164" s="6" t="str">
        <f>VLOOKUP(A164,vaccines!A:B,2)</f>
        <v>HepB_Serum_India_1_0</v>
      </c>
      <c r="C164" s="14" t="s">
        <v>492</v>
      </c>
      <c r="D164" s="14" t="s">
        <v>493</v>
      </c>
      <c r="E164" s="15">
        <v>45981.0</v>
      </c>
      <c r="F164" s="5">
        <v>1.0</v>
      </c>
      <c r="G164" s="5">
        <v>0.0</v>
      </c>
      <c r="H164" s="32" t="s">
        <v>433</v>
      </c>
      <c r="I164" s="15">
        <v>45466.0</v>
      </c>
      <c r="J164" s="31">
        <v>46053.0</v>
      </c>
    </row>
    <row r="165">
      <c r="A165" s="23">
        <v>167.0</v>
      </c>
      <c r="B165" s="6" t="str">
        <f>VLOOKUP(A165,vaccines!A:B,2)</f>
        <v>Hexaxim</v>
      </c>
      <c r="C165" s="14" t="s">
        <v>494</v>
      </c>
      <c r="D165" s="14" t="s">
        <v>495</v>
      </c>
      <c r="E165" s="15">
        <v>45504.0</v>
      </c>
      <c r="F165" s="6"/>
      <c r="G165" s="6"/>
      <c r="H165" s="36" t="s">
        <v>496</v>
      </c>
      <c r="I165" s="15">
        <v>45558.0</v>
      </c>
      <c r="J165" s="10"/>
    </row>
    <row r="166">
      <c r="A166" s="23">
        <v>168.0</v>
      </c>
      <c r="B166" s="6" t="str">
        <f>VLOOKUP(A166,vaccines!A:B,2)</f>
        <v>Gam_VLP_multivac</v>
      </c>
      <c r="C166" s="14" t="s">
        <v>497</v>
      </c>
      <c r="D166" s="14" t="s">
        <v>498</v>
      </c>
      <c r="E166" s="15">
        <v>45632.0</v>
      </c>
      <c r="F166" s="5">
        <v>1.0</v>
      </c>
      <c r="G166" s="5">
        <v>0.0</v>
      </c>
      <c r="H166" s="36" t="s">
        <v>499</v>
      </c>
      <c r="I166" s="15">
        <v>45678.0</v>
      </c>
      <c r="J166" s="10"/>
    </row>
    <row r="167">
      <c r="A167" s="23">
        <v>169.0</v>
      </c>
      <c r="B167" s="6" t="str">
        <f>VLOOKUP(A167,vaccines!A:B,2)</f>
        <v>Gam_VLP_multivac_nasal</v>
      </c>
      <c r="C167" s="14" t="s">
        <v>500</v>
      </c>
      <c r="D167" s="14" t="s">
        <v>501</v>
      </c>
      <c r="E167" s="15">
        <v>45737.0</v>
      </c>
      <c r="F167" s="5">
        <v>1.0</v>
      </c>
      <c r="G167" s="5">
        <v>0.0</v>
      </c>
      <c r="H167" s="32" t="s">
        <v>502</v>
      </c>
      <c r="I167" s="15">
        <v>45742.0</v>
      </c>
      <c r="J167" s="10"/>
    </row>
    <row r="168">
      <c r="A168" s="23">
        <v>170.0</v>
      </c>
      <c r="B168" s="6" t="str">
        <f>VLOOKUP(A168,vaccines!A:B,2)</f>
        <v>Cegardex</v>
      </c>
      <c r="C168" s="14" t="s">
        <v>503</v>
      </c>
      <c r="D168" s="14" t="s">
        <v>504</v>
      </c>
      <c r="E168" s="15">
        <v>45721.0</v>
      </c>
      <c r="F168" s="5">
        <v>1.0</v>
      </c>
      <c r="G168" s="5">
        <v>0.0</v>
      </c>
      <c r="H168" s="32" t="s">
        <v>505</v>
      </c>
      <c r="I168" s="15">
        <v>45742.0</v>
      </c>
      <c r="J168" s="10"/>
    </row>
    <row r="169">
      <c r="A169" s="23">
        <v>171.0</v>
      </c>
      <c r="B169" s="6" t="str">
        <f>VLOOKUP(A169,vaccines!A:B,2)</f>
        <v>Menvaid</v>
      </c>
      <c r="C169" s="14" t="s">
        <v>506</v>
      </c>
      <c r="D169" s="14" t="s">
        <v>507</v>
      </c>
      <c r="E169" s="15">
        <v>45740.0</v>
      </c>
      <c r="F169" s="5">
        <v>1.0</v>
      </c>
      <c r="G169" s="5">
        <v>0.0</v>
      </c>
      <c r="H169" s="32" t="s">
        <v>508</v>
      </c>
      <c r="I169" s="15">
        <v>45755.0</v>
      </c>
      <c r="J169" s="10"/>
    </row>
    <row r="170">
      <c r="A170" s="23">
        <v>172.0</v>
      </c>
      <c r="B170" s="6" t="str">
        <f>VLOOKUP(A170,vaccines!A:B,2)</f>
        <v>ChiroRab</v>
      </c>
      <c r="C170" s="14" t="s">
        <v>509</v>
      </c>
      <c r="D170" s="14" t="s">
        <v>510</v>
      </c>
      <c r="E170" s="22">
        <v>42996.0</v>
      </c>
      <c r="F170" s="23">
        <v>1.0</v>
      </c>
      <c r="G170" s="23">
        <v>0.0</v>
      </c>
      <c r="H170" s="25" t="s">
        <v>261</v>
      </c>
      <c r="I170" s="22">
        <v>45818.0</v>
      </c>
      <c r="J170" s="10"/>
      <c r="K170" s="37" t="s">
        <v>511</v>
      </c>
    </row>
    <row r="171">
      <c r="A171" s="23">
        <v>173.0</v>
      </c>
      <c r="B171" s="6" t="str">
        <f>VLOOKUP(A171,vaccines!A:B,2)</f>
        <v>Prevenar_20</v>
      </c>
      <c r="C171" s="14" t="s">
        <v>512</v>
      </c>
      <c r="D171" s="14" t="s">
        <v>513</v>
      </c>
      <c r="E171" s="15">
        <v>45835.0</v>
      </c>
      <c r="F171" s="5">
        <v>1.0</v>
      </c>
      <c r="G171" s="5">
        <v>0.0</v>
      </c>
      <c r="H171" s="32" t="s">
        <v>514</v>
      </c>
      <c r="I171" s="15">
        <v>45861.0</v>
      </c>
      <c r="J171" s="10"/>
    </row>
    <row r="172">
      <c r="A172" s="23">
        <v>174.0</v>
      </c>
      <c r="B172" s="6" t="str">
        <f>VLOOKUP(A172,vaccines!A:B,2)</f>
        <v>aAKDS_M</v>
      </c>
      <c r="C172" s="14" t="s">
        <v>515</v>
      </c>
      <c r="D172" s="14" t="s">
        <v>516</v>
      </c>
      <c r="E172" s="15">
        <v>46104.0</v>
      </c>
      <c r="F172" s="5">
        <v>1.0</v>
      </c>
      <c r="G172" s="5">
        <v>0.0</v>
      </c>
      <c r="H172" s="32" t="s">
        <v>517</v>
      </c>
      <c r="I172" s="15">
        <v>46131.0</v>
      </c>
      <c r="J172" s="10"/>
    </row>
    <row r="173">
      <c r="A173" s="23">
        <v>175.0</v>
      </c>
      <c r="B173" s="6" t="str">
        <f>VLOOKUP(A173,vaccines!A:B,2)</f>
        <v>Nimenrix</v>
      </c>
      <c r="C173" s="14" t="s">
        <v>518</v>
      </c>
      <c r="D173" s="14" t="s">
        <v>519</v>
      </c>
      <c r="E173" s="15">
        <v>46111.0</v>
      </c>
      <c r="F173" s="5">
        <v>1.0</v>
      </c>
      <c r="G173" s="5">
        <v>0.0</v>
      </c>
      <c r="H173" s="32" t="s">
        <v>520</v>
      </c>
      <c r="I173" s="15">
        <v>46131.0</v>
      </c>
      <c r="J173" s="10"/>
    </row>
    <row r="174">
      <c r="C174" s="38"/>
      <c r="D174" s="38"/>
      <c r="E174" s="10"/>
      <c r="I174" s="10"/>
      <c r="J174" s="10"/>
    </row>
    <row r="175">
      <c r="C175" s="38"/>
      <c r="D175" s="38"/>
      <c r="E175" s="10"/>
      <c r="I175" s="10"/>
      <c r="J175" s="10"/>
    </row>
    <row r="176">
      <c r="C176" s="38"/>
      <c r="D176" s="38"/>
      <c r="E176" s="10"/>
      <c r="I176" s="10"/>
      <c r="J176" s="10"/>
    </row>
    <row r="177">
      <c r="C177" s="38"/>
      <c r="D177" s="38"/>
      <c r="E177" s="10"/>
      <c r="I177" s="10"/>
      <c r="J177" s="10"/>
    </row>
    <row r="178">
      <c r="C178" s="38"/>
      <c r="D178" s="38"/>
      <c r="E178" s="10"/>
      <c r="I178" s="10"/>
      <c r="J178" s="10"/>
    </row>
    <row r="179">
      <c r="C179" s="38"/>
      <c r="D179" s="38"/>
      <c r="E179" s="10"/>
      <c r="I179" s="10"/>
      <c r="J179" s="10"/>
    </row>
    <row r="180">
      <c r="C180" s="38"/>
      <c r="D180" s="38"/>
      <c r="E180" s="10"/>
      <c r="I180" s="10"/>
      <c r="J180" s="10"/>
    </row>
    <row r="181">
      <c r="C181" s="38"/>
      <c r="D181" s="38"/>
      <c r="E181" s="10"/>
      <c r="I181" s="10"/>
      <c r="J181" s="10"/>
    </row>
    <row r="182">
      <c r="C182" s="38"/>
      <c r="D182" s="38"/>
      <c r="E182" s="10"/>
      <c r="I182" s="10"/>
      <c r="J182" s="10"/>
    </row>
    <row r="183">
      <c r="C183" s="38"/>
      <c r="D183" s="38"/>
      <c r="E183" s="10"/>
      <c r="I183" s="10"/>
      <c r="J183" s="10"/>
    </row>
    <row r="184">
      <c r="C184" s="38"/>
      <c r="D184" s="38"/>
      <c r="E184" s="10"/>
      <c r="I184" s="10"/>
      <c r="J184" s="10"/>
    </row>
    <row r="185">
      <c r="C185" s="38"/>
      <c r="D185" s="38"/>
      <c r="E185" s="10"/>
      <c r="I185" s="10"/>
      <c r="J185" s="10"/>
    </row>
    <row r="186">
      <c r="C186" s="38"/>
      <c r="D186" s="38"/>
      <c r="E186" s="10"/>
      <c r="I186" s="10"/>
      <c r="J186" s="10"/>
    </row>
    <row r="187">
      <c r="C187" s="38"/>
      <c r="D187" s="38"/>
      <c r="E187" s="10"/>
      <c r="I187" s="10"/>
      <c r="J187" s="10"/>
    </row>
    <row r="188">
      <c r="C188" s="38"/>
      <c r="D188" s="38"/>
      <c r="E188" s="10"/>
      <c r="I188" s="10"/>
      <c r="J188" s="10"/>
    </row>
    <row r="189">
      <c r="C189" s="38"/>
      <c r="D189" s="38"/>
      <c r="E189" s="10"/>
      <c r="I189" s="10"/>
      <c r="J189" s="10"/>
    </row>
    <row r="190">
      <c r="C190" s="38"/>
      <c r="D190" s="38"/>
      <c r="E190" s="10"/>
      <c r="I190" s="10"/>
      <c r="J190" s="10"/>
    </row>
    <row r="191">
      <c r="C191" s="38"/>
      <c r="D191" s="38"/>
      <c r="E191" s="10"/>
      <c r="I191" s="10"/>
      <c r="J191" s="10"/>
    </row>
    <row r="192">
      <c r="C192" s="38"/>
      <c r="D192" s="38"/>
      <c r="E192" s="10"/>
      <c r="I192" s="10"/>
      <c r="J192" s="10"/>
    </row>
    <row r="193">
      <c r="C193" s="38"/>
      <c r="D193" s="38"/>
      <c r="E193" s="10"/>
      <c r="I193" s="10"/>
      <c r="J193" s="10"/>
    </row>
    <row r="194">
      <c r="C194" s="38"/>
      <c r="D194" s="38"/>
      <c r="E194" s="10"/>
      <c r="I194" s="10"/>
      <c r="J194" s="10"/>
    </row>
    <row r="195">
      <c r="C195" s="38"/>
      <c r="D195" s="38"/>
      <c r="E195" s="10"/>
      <c r="I195" s="10"/>
      <c r="J195" s="10"/>
    </row>
    <row r="196">
      <c r="C196" s="38"/>
      <c r="D196" s="38"/>
      <c r="E196" s="10"/>
      <c r="I196" s="10"/>
      <c r="J196" s="10"/>
    </row>
    <row r="197">
      <c r="C197" s="38"/>
      <c r="D197" s="38"/>
      <c r="E197" s="10"/>
      <c r="I197" s="10"/>
      <c r="J197" s="10"/>
    </row>
    <row r="198">
      <c r="C198" s="38"/>
      <c r="D198" s="38"/>
      <c r="E198" s="10"/>
      <c r="I198" s="10"/>
      <c r="J198" s="10"/>
    </row>
    <row r="199">
      <c r="C199" s="38"/>
      <c r="D199" s="38"/>
      <c r="E199" s="10"/>
      <c r="I199" s="10"/>
      <c r="J199" s="10"/>
    </row>
    <row r="200">
      <c r="C200" s="38"/>
      <c r="D200" s="38"/>
      <c r="E200" s="10"/>
      <c r="I200" s="10"/>
      <c r="J200" s="10"/>
    </row>
    <row r="201">
      <c r="C201" s="38"/>
      <c r="D201" s="38"/>
      <c r="E201" s="10"/>
      <c r="I201" s="10"/>
      <c r="J201" s="10"/>
    </row>
    <row r="202">
      <c r="C202" s="38"/>
      <c r="D202" s="38"/>
      <c r="E202" s="10"/>
      <c r="I202" s="10"/>
      <c r="J202" s="10"/>
    </row>
    <row r="203">
      <c r="C203" s="38"/>
      <c r="D203" s="38"/>
      <c r="E203" s="10"/>
      <c r="I203" s="10"/>
      <c r="J203" s="10"/>
    </row>
    <row r="204">
      <c r="C204" s="38"/>
      <c r="D204" s="38"/>
      <c r="E204" s="10"/>
      <c r="I204" s="10"/>
      <c r="J204" s="10"/>
    </row>
    <row r="205">
      <c r="C205" s="38"/>
      <c r="D205" s="38"/>
      <c r="E205" s="10"/>
      <c r="I205" s="10"/>
      <c r="J205" s="10"/>
    </row>
    <row r="206">
      <c r="C206" s="38"/>
      <c r="D206" s="38"/>
      <c r="E206" s="10"/>
      <c r="I206" s="10"/>
      <c r="J206" s="10"/>
    </row>
    <row r="207">
      <c r="C207" s="38"/>
      <c r="D207" s="38"/>
      <c r="E207" s="10"/>
      <c r="I207" s="10"/>
      <c r="J207" s="10"/>
    </row>
    <row r="208">
      <c r="C208" s="38"/>
      <c r="D208" s="38"/>
      <c r="E208" s="10"/>
      <c r="I208" s="10"/>
      <c r="J208" s="10"/>
    </row>
    <row r="209">
      <c r="C209" s="38"/>
      <c r="D209" s="38"/>
      <c r="E209" s="10"/>
      <c r="I209" s="10"/>
      <c r="J209" s="10"/>
    </row>
    <row r="210">
      <c r="C210" s="38"/>
      <c r="D210" s="38"/>
      <c r="E210" s="10"/>
      <c r="I210" s="10"/>
      <c r="J210" s="10"/>
    </row>
    <row r="211">
      <c r="C211" s="38"/>
      <c r="D211" s="38"/>
      <c r="E211" s="10"/>
      <c r="I211" s="10"/>
      <c r="J211" s="10"/>
    </row>
    <row r="212">
      <c r="C212" s="38"/>
      <c r="D212" s="38"/>
      <c r="E212" s="10"/>
      <c r="I212" s="10"/>
      <c r="J212" s="10"/>
    </row>
    <row r="213">
      <c r="C213" s="38"/>
      <c r="D213" s="38"/>
      <c r="E213" s="10"/>
      <c r="I213" s="10"/>
      <c r="J213" s="10"/>
    </row>
    <row r="214">
      <c r="C214" s="38"/>
      <c r="D214" s="38"/>
      <c r="E214" s="10"/>
      <c r="I214" s="10"/>
      <c r="J214" s="10"/>
    </row>
    <row r="215">
      <c r="C215" s="38"/>
      <c r="D215" s="38"/>
      <c r="E215" s="10"/>
      <c r="I215" s="10"/>
      <c r="J215" s="10"/>
    </row>
    <row r="216">
      <c r="C216" s="38"/>
      <c r="D216" s="38"/>
      <c r="E216" s="10"/>
      <c r="I216" s="10"/>
      <c r="J216" s="10"/>
    </row>
    <row r="217">
      <c r="C217" s="38"/>
      <c r="D217" s="38"/>
      <c r="E217" s="10"/>
      <c r="I217" s="10"/>
      <c r="J217" s="10"/>
    </row>
    <row r="218">
      <c r="C218" s="38"/>
      <c r="D218" s="38"/>
      <c r="E218" s="10"/>
      <c r="I218" s="10"/>
      <c r="J218" s="10"/>
    </row>
    <row r="219">
      <c r="C219" s="38"/>
      <c r="D219" s="38"/>
      <c r="E219" s="10"/>
      <c r="I219" s="10"/>
      <c r="J219" s="10"/>
    </row>
    <row r="220">
      <c r="C220" s="38"/>
      <c r="D220" s="38"/>
      <c r="E220" s="10"/>
      <c r="I220" s="10"/>
      <c r="J220" s="10"/>
    </row>
    <row r="221">
      <c r="C221" s="38"/>
      <c r="D221" s="38"/>
      <c r="E221" s="10"/>
      <c r="I221" s="10"/>
      <c r="J221" s="10"/>
    </row>
    <row r="222">
      <c r="C222" s="38"/>
      <c r="D222" s="38"/>
      <c r="E222" s="10"/>
      <c r="I222" s="10"/>
      <c r="J222" s="10"/>
    </row>
    <row r="223">
      <c r="C223" s="38"/>
      <c r="D223" s="38"/>
      <c r="E223" s="10"/>
      <c r="I223" s="10"/>
      <c r="J223" s="10"/>
    </row>
    <row r="224">
      <c r="C224" s="38"/>
      <c r="D224" s="38"/>
      <c r="E224" s="10"/>
      <c r="I224" s="10"/>
      <c r="J224" s="10"/>
    </row>
    <row r="225">
      <c r="C225" s="38"/>
      <c r="D225" s="38"/>
      <c r="E225" s="10"/>
      <c r="I225" s="10"/>
      <c r="J225" s="10"/>
    </row>
    <row r="226">
      <c r="C226" s="38"/>
      <c r="D226" s="38"/>
      <c r="E226" s="10"/>
      <c r="I226" s="10"/>
      <c r="J226" s="10"/>
    </row>
    <row r="227">
      <c r="C227" s="38"/>
      <c r="D227" s="38"/>
      <c r="E227" s="10"/>
      <c r="I227" s="10"/>
      <c r="J227" s="10"/>
    </row>
    <row r="228">
      <c r="C228" s="38"/>
      <c r="D228" s="38"/>
      <c r="E228" s="10"/>
      <c r="I228" s="10"/>
      <c r="J228" s="10"/>
    </row>
    <row r="229">
      <c r="C229" s="38"/>
      <c r="D229" s="38"/>
      <c r="E229" s="10"/>
      <c r="I229" s="10"/>
      <c r="J229" s="10"/>
    </row>
    <row r="230">
      <c r="C230" s="38"/>
      <c r="D230" s="38"/>
      <c r="E230" s="10"/>
      <c r="I230" s="10"/>
      <c r="J230" s="10"/>
    </row>
    <row r="231">
      <c r="C231" s="38"/>
      <c r="D231" s="38"/>
      <c r="E231" s="10"/>
      <c r="I231" s="10"/>
      <c r="J231" s="10"/>
    </row>
    <row r="232">
      <c r="C232" s="38"/>
      <c r="D232" s="38"/>
      <c r="E232" s="10"/>
      <c r="I232" s="10"/>
      <c r="J232" s="10"/>
    </row>
    <row r="233">
      <c r="C233" s="38"/>
      <c r="D233" s="38"/>
      <c r="E233" s="10"/>
      <c r="I233" s="10"/>
      <c r="J233" s="10"/>
    </row>
    <row r="234">
      <c r="C234" s="38"/>
      <c r="D234" s="38"/>
      <c r="E234" s="10"/>
      <c r="I234" s="10"/>
      <c r="J234" s="10"/>
    </row>
    <row r="235">
      <c r="C235" s="38"/>
      <c r="D235" s="38"/>
      <c r="E235" s="10"/>
      <c r="I235" s="10"/>
      <c r="J235" s="10"/>
    </row>
    <row r="236">
      <c r="C236" s="38"/>
      <c r="D236" s="38"/>
      <c r="E236" s="10"/>
      <c r="I236" s="10"/>
      <c r="J236" s="10"/>
    </row>
    <row r="237">
      <c r="C237" s="38"/>
      <c r="D237" s="38"/>
      <c r="E237" s="10"/>
      <c r="I237" s="10"/>
      <c r="J237" s="10"/>
    </row>
    <row r="238">
      <c r="C238" s="38"/>
      <c r="D238" s="38"/>
      <c r="E238" s="10"/>
      <c r="I238" s="10"/>
      <c r="J238" s="10"/>
    </row>
    <row r="239">
      <c r="C239" s="38"/>
      <c r="D239" s="38"/>
      <c r="E239" s="10"/>
      <c r="I239" s="10"/>
      <c r="J239" s="10"/>
    </row>
    <row r="240">
      <c r="C240" s="38"/>
      <c r="D240" s="38"/>
      <c r="E240" s="10"/>
      <c r="I240" s="10"/>
      <c r="J240" s="10"/>
    </row>
    <row r="241">
      <c r="C241" s="38"/>
      <c r="D241" s="38"/>
      <c r="E241" s="10"/>
      <c r="I241" s="10"/>
      <c r="J241" s="10"/>
    </row>
    <row r="242">
      <c r="C242" s="38"/>
      <c r="D242" s="38"/>
      <c r="E242" s="10"/>
      <c r="I242" s="10"/>
      <c r="J242" s="10"/>
    </row>
    <row r="243">
      <c r="C243" s="38"/>
      <c r="D243" s="38"/>
      <c r="E243" s="10"/>
      <c r="I243" s="10"/>
      <c r="J243" s="10"/>
    </row>
    <row r="244">
      <c r="C244" s="38"/>
      <c r="D244" s="38"/>
      <c r="E244" s="10"/>
      <c r="I244" s="10"/>
      <c r="J244" s="10"/>
    </row>
    <row r="245">
      <c r="C245" s="38"/>
      <c r="D245" s="38"/>
      <c r="E245" s="10"/>
      <c r="I245" s="10"/>
      <c r="J245" s="10"/>
    </row>
    <row r="246">
      <c r="C246" s="38"/>
      <c r="D246" s="38"/>
      <c r="E246" s="10"/>
      <c r="I246" s="10"/>
      <c r="J246" s="10"/>
    </row>
    <row r="247">
      <c r="C247" s="38"/>
      <c r="D247" s="38"/>
      <c r="E247" s="10"/>
      <c r="I247" s="10"/>
      <c r="J247" s="10"/>
    </row>
    <row r="248">
      <c r="C248" s="38"/>
      <c r="D248" s="38"/>
      <c r="E248" s="10"/>
      <c r="I248" s="10"/>
      <c r="J248" s="10"/>
    </row>
    <row r="249">
      <c r="C249" s="38"/>
      <c r="D249" s="38"/>
      <c r="E249" s="10"/>
      <c r="I249" s="10"/>
      <c r="J249" s="10"/>
    </row>
    <row r="250">
      <c r="C250" s="38"/>
      <c r="D250" s="38"/>
      <c r="E250" s="10"/>
      <c r="I250" s="10"/>
      <c r="J250" s="10"/>
    </row>
    <row r="251">
      <c r="C251" s="38"/>
      <c r="D251" s="38"/>
      <c r="E251" s="10"/>
      <c r="I251" s="10"/>
      <c r="J251" s="10"/>
    </row>
    <row r="252">
      <c r="C252" s="38"/>
      <c r="D252" s="38"/>
      <c r="E252" s="10"/>
      <c r="I252" s="10"/>
      <c r="J252" s="10"/>
    </row>
    <row r="253">
      <c r="C253" s="38"/>
      <c r="D253" s="38"/>
      <c r="E253" s="10"/>
      <c r="I253" s="10"/>
      <c r="J253" s="10"/>
    </row>
    <row r="254">
      <c r="C254" s="38"/>
      <c r="D254" s="38"/>
      <c r="E254" s="10"/>
      <c r="I254" s="10"/>
      <c r="J254" s="10"/>
    </row>
    <row r="255">
      <c r="C255" s="38"/>
      <c r="D255" s="38"/>
      <c r="E255" s="10"/>
      <c r="I255" s="10"/>
      <c r="J255" s="10"/>
    </row>
    <row r="256">
      <c r="C256" s="38"/>
      <c r="D256" s="38"/>
      <c r="E256" s="10"/>
      <c r="I256" s="10"/>
      <c r="J256" s="10"/>
    </row>
    <row r="257">
      <c r="C257" s="38"/>
      <c r="D257" s="38"/>
      <c r="E257" s="10"/>
      <c r="I257" s="10"/>
      <c r="J257" s="10"/>
    </row>
    <row r="258">
      <c r="C258" s="38"/>
      <c r="D258" s="38"/>
      <c r="E258" s="10"/>
      <c r="I258" s="10"/>
      <c r="J258" s="10"/>
    </row>
    <row r="259">
      <c r="C259" s="38"/>
      <c r="D259" s="38"/>
      <c r="E259" s="10"/>
      <c r="I259" s="10"/>
      <c r="J259" s="10"/>
    </row>
    <row r="260">
      <c r="C260" s="38"/>
      <c r="D260" s="38"/>
      <c r="E260" s="10"/>
      <c r="I260" s="10"/>
      <c r="J260" s="10"/>
    </row>
    <row r="261">
      <c r="C261" s="38"/>
      <c r="D261" s="38"/>
      <c r="E261" s="10"/>
      <c r="I261" s="10"/>
      <c r="J261" s="10"/>
    </row>
    <row r="262">
      <c r="C262" s="38"/>
      <c r="D262" s="38"/>
      <c r="E262" s="10"/>
      <c r="I262" s="10"/>
      <c r="J262" s="10"/>
    </row>
    <row r="263">
      <c r="C263" s="38"/>
      <c r="D263" s="38"/>
      <c r="E263" s="10"/>
      <c r="I263" s="10"/>
      <c r="J263" s="10"/>
    </row>
    <row r="264">
      <c r="C264" s="38"/>
      <c r="D264" s="38"/>
      <c r="E264" s="10"/>
      <c r="I264" s="10"/>
      <c r="J264" s="10"/>
    </row>
    <row r="265">
      <c r="C265" s="38"/>
      <c r="D265" s="38"/>
      <c r="E265" s="10"/>
      <c r="I265" s="10"/>
      <c r="J265" s="10"/>
    </row>
    <row r="266">
      <c r="C266" s="38"/>
      <c r="D266" s="38"/>
      <c r="E266" s="10"/>
      <c r="I266" s="10"/>
      <c r="J266" s="10"/>
    </row>
    <row r="267">
      <c r="C267" s="38"/>
      <c r="D267" s="38"/>
      <c r="E267" s="10"/>
      <c r="I267" s="10"/>
      <c r="J267" s="10"/>
    </row>
    <row r="268">
      <c r="C268" s="38"/>
      <c r="D268" s="38"/>
      <c r="E268" s="10"/>
      <c r="I268" s="10"/>
      <c r="J268" s="10"/>
    </row>
    <row r="269">
      <c r="C269" s="38"/>
      <c r="D269" s="38"/>
      <c r="E269" s="10"/>
      <c r="I269" s="10"/>
      <c r="J269" s="10"/>
    </row>
    <row r="270">
      <c r="C270" s="38"/>
      <c r="D270" s="38"/>
      <c r="E270" s="10"/>
      <c r="I270" s="10"/>
      <c r="J270" s="10"/>
    </row>
    <row r="271">
      <c r="C271" s="38"/>
      <c r="D271" s="38"/>
      <c r="E271" s="10"/>
      <c r="I271" s="10"/>
      <c r="J271" s="10"/>
    </row>
    <row r="272">
      <c r="C272" s="38"/>
      <c r="D272" s="38"/>
      <c r="E272" s="10"/>
      <c r="I272" s="10"/>
      <c r="J272" s="10"/>
    </row>
    <row r="273">
      <c r="C273" s="38"/>
      <c r="D273" s="38"/>
      <c r="E273" s="10"/>
      <c r="I273" s="10"/>
      <c r="J273" s="10"/>
    </row>
    <row r="274">
      <c r="C274" s="38"/>
      <c r="D274" s="38"/>
      <c r="E274" s="10"/>
      <c r="I274" s="10"/>
      <c r="J274" s="10"/>
    </row>
    <row r="275">
      <c r="C275" s="38"/>
      <c r="D275" s="38"/>
      <c r="E275" s="10"/>
      <c r="I275" s="10"/>
      <c r="J275" s="10"/>
    </row>
    <row r="276">
      <c r="C276" s="38"/>
      <c r="D276" s="38"/>
      <c r="E276" s="10"/>
      <c r="I276" s="10"/>
      <c r="J276" s="10"/>
    </row>
    <row r="277">
      <c r="C277" s="38"/>
      <c r="D277" s="38"/>
      <c r="E277" s="10"/>
      <c r="I277" s="10"/>
      <c r="J277" s="10"/>
    </row>
    <row r="278">
      <c r="C278" s="38"/>
      <c r="D278" s="38"/>
      <c r="E278" s="10"/>
      <c r="I278" s="10"/>
      <c r="J278" s="10"/>
    </row>
    <row r="279">
      <c r="C279" s="38"/>
      <c r="D279" s="38"/>
      <c r="E279" s="10"/>
      <c r="I279" s="10"/>
      <c r="J279" s="10"/>
    </row>
    <row r="280">
      <c r="C280" s="38"/>
      <c r="D280" s="38"/>
      <c r="E280" s="10"/>
      <c r="I280" s="10"/>
      <c r="J280" s="10"/>
    </row>
    <row r="281">
      <c r="C281" s="38"/>
      <c r="D281" s="38"/>
      <c r="E281" s="10"/>
      <c r="I281" s="10"/>
      <c r="J281" s="10"/>
    </row>
    <row r="282">
      <c r="C282" s="38"/>
      <c r="D282" s="38"/>
      <c r="E282" s="10"/>
      <c r="I282" s="10"/>
      <c r="J282" s="10"/>
    </row>
    <row r="283">
      <c r="C283" s="38"/>
      <c r="D283" s="38"/>
      <c r="E283" s="10"/>
      <c r="I283" s="10"/>
      <c r="J283" s="10"/>
    </row>
    <row r="284">
      <c r="C284" s="38"/>
      <c r="D284" s="38"/>
      <c r="E284" s="10"/>
      <c r="I284" s="10"/>
      <c r="J284" s="10"/>
    </row>
    <row r="285">
      <c r="C285" s="38"/>
      <c r="D285" s="38"/>
      <c r="E285" s="10"/>
      <c r="I285" s="10"/>
      <c r="J285" s="10"/>
    </row>
    <row r="286">
      <c r="C286" s="38"/>
      <c r="D286" s="38"/>
      <c r="E286" s="10"/>
      <c r="I286" s="10"/>
      <c r="J286" s="10"/>
    </row>
    <row r="287">
      <c r="C287" s="38"/>
      <c r="D287" s="38"/>
      <c r="E287" s="10"/>
      <c r="I287" s="10"/>
      <c r="J287" s="10"/>
    </row>
    <row r="288">
      <c r="C288" s="38"/>
      <c r="D288" s="38"/>
      <c r="E288" s="10"/>
      <c r="I288" s="10"/>
      <c r="J288" s="10"/>
    </row>
    <row r="289">
      <c r="C289" s="38"/>
      <c r="D289" s="38"/>
      <c r="E289" s="10"/>
      <c r="I289" s="10"/>
      <c r="J289" s="10"/>
    </row>
    <row r="290">
      <c r="C290" s="38"/>
      <c r="D290" s="38"/>
      <c r="E290" s="10"/>
      <c r="I290" s="10"/>
      <c r="J290" s="10"/>
    </row>
    <row r="291">
      <c r="C291" s="38"/>
      <c r="D291" s="38"/>
      <c r="E291" s="10"/>
      <c r="I291" s="10"/>
      <c r="J291" s="10"/>
    </row>
    <row r="292">
      <c r="C292" s="38"/>
      <c r="D292" s="38"/>
      <c r="E292" s="10"/>
      <c r="I292" s="10"/>
      <c r="J292" s="10"/>
    </row>
    <row r="293">
      <c r="C293" s="38"/>
      <c r="D293" s="38"/>
      <c r="E293" s="10"/>
      <c r="I293" s="10"/>
      <c r="J293" s="10"/>
    </row>
    <row r="294">
      <c r="C294" s="38"/>
      <c r="D294" s="38"/>
      <c r="E294" s="10"/>
      <c r="I294" s="10"/>
      <c r="J294" s="10"/>
    </row>
    <row r="295">
      <c r="C295" s="38"/>
      <c r="D295" s="38"/>
      <c r="E295" s="10"/>
      <c r="I295" s="10"/>
      <c r="J295" s="10"/>
    </row>
    <row r="296">
      <c r="C296" s="38"/>
      <c r="D296" s="38"/>
      <c r="E296" s="10"/>
      <c r="I296" s="10"/>
      <c r="J296" s="10"/>
    </row>
    <row r="297">
      <c r="C297" s="38"/>
      <c r="D297" s="38"/>
      <c r="E297" s="10"/>
      <c r="I297" s="10"/>
      <c r="J297" s="10"/>
    </row>
    <row r="298">
      <c r="C298" s="38"/>
      <c r="D298" s="38"/>
      <c r="E298" s="10"/>
      <c r="I298" s="10"/>
      <c r="J298" s="10"/>
    </row>
    <row r="299">
      <c r="C299" s="38"/>
      <c r="D299" s="38"/>
      <c r="E299" s="10"/>
      <c r="I299" s="10"/>
      <c r="J299" s="10"/>
    </row>
    <row r="300">
      <c r="C300" s="38"/>
      <c r="D300" s="38"/>
      <c r="E300" s="10"/>
      <c r="I300" s="10"/>
      <c r="J300" s="10"/>
    </row>
    <row r="301">
      <c r="C301" s="38"/>
      <c r="D301" s="38"/>
      <c r="E301" s="10"/>
      <c r="I301" s="10"/>
      <c r="J301" s="10"/>
    </row>
    <row r="302">
      <c r="C302" s="38"/>
      <c r="D302" s="38"/>
      <c r="E302" s="10"/>
      <c r="I302" s="10"/>
      <c r="J302" s="10"/>
    </row>
    <row r="303">
      <c r="C303" s="38"/>
      <c r="D303" s="38"/>
      <c r="E303" s="10"/>
      <c r="I303" s="10"/>
      <c r="J303" s="10"/>
    </row>
    <row r="304">
      <c r="C304" s="38"/>
      <c r="D304" s="38"/>
      <c r="E304" s="10"/>
      <c r="I304" s="10"/>
      <c r="J304" s="10"/>
    </row>
    <row r="305">
      <c r="C305" s="38"/>
      <c r="D305" s="38"/>
      <c r="E305" s="10"/>
      <c r="I305" s="10"/>
      <c r="J305" s="10"/>
    </row>
    <row r="306">
      <c r="C306" s="38"/>
      <c r="D306" s="38"/>
      <c r="E306" s="10"/>
      <c r="I306" s="10"/>
      <c r="J306" s="10"/>
    </row>
    <row r="307">
      <c r="C307" s="38"/>
      <c r="D307" s="38"/>
      <c r="E307" s="10"/>
      <c r="I307" s="10"/>
      <c r="J307" s="10"/>
    </row>
    <row r="308">
      <c r="C308" s="38"/>
      <c r="D308" s="38"/>
      <c r="E308" s="10"/>
      <c r="I308" s="10"/>
      <c r="J308" s="10"/>
    </row>
    <row r="309">
      <c r="C309" s="38"/>
      <c r="D309" s="38"/>
      <c r="E309" s="10"/>
      <c r="I309" s="10"/>
      <c r="J309" s="10"/>
    </row>
    <row r="310">
      <c r="C310" s="38"/>
      <c r="D310" s="38"/>
      <c r="E310" s="10"/>
      <c r="I310" s="10"/>
      <c r="J310" s="10"/>
    </row>
    <row r="311">
      <c r="C311" s="38"/>
      <c r="D311" s="38"/>
      <c r="E311" s="10"/>
      <c r="I311" s="10"/>
      <c r="J311" s="10"/>
    </row>
    <row r="312">
      <c r="C312" s="38"/>
      <c r="D312" s="38"/>
      <c r="E312" s="10"/>
      <c r="I312" s="10"/>
      <c r="J312" s="10"/>
    </row>
    <row r="313">
      <c r="C313" s="38"/>
      <c r="D313" s="38"/>
      <c r="E313" s="10"/>
      <c r="I313" s="10"/>
      <c r="J313" s="10"/>
    </row>
    <row r="314">
      <c r="C314" s="38"/>
      <c r="D314" s="38"/>
      <c r="E314" s="10"/>
      <c r="I314" s="10"/>
      <c r="J314" s="10"/>
    </row>
    <row r="315">
      <c r="C315" s="38"/>
      <c r="D315" s="38"/>
      <c r="E315" s="10"/>
      <c r="I315" s="10"/>
      <c r="J315" s="10"/>
    </row>
    <row r="316">
      <c r="C316" s="38"/>
      <c r="D316" s="38"/>
      <c r="E316" s="10"/>
      <c r="I316" s="10"/>
      <c r="J316" s="10"/>
    </row>
    <row r="317">
      <c r="C317" s="38"/>
      <c r="D317" s="38"/>
      <c r="E317" s="10"/>
      <c r="I317" s="10"/>
      <c r="J317" s="10"/>
    </row>
    <row r="318">
      <c r="C318" s="38"/>
      <c r="D318" s="38"/>
      <c r="E318" s="10"/>
      <c r="I318" s="10"/>
      <c r="J318" s="10"/>
    </row>
    <row r="319">
      <c r="C319" s="38"/>
      <c r="D319" s="38"/>
      <c r="E319" s="10"/>
      <c r="I319" s="10"/>
      <c r="J319" s="10"/>
    </row>
    <row r="320">
      <c r="C320" s="38"/>
      <c r="D320" s="38"/>
      <c r="E320" s="10"/>
      <c r="I320" s="10"/>
      <c r="J320" s="10"/>
    </row>
    <row r="321">
      <c r="C321" s="38"/>
      <c r="D321" s="38"/>
      <c r="E321" s="10"/>
      <c r="I321" s="10"/>
      <c r="J321" s="10"/>
    </row>
    <row r="322">
      <c r="C322" s="38"/>
      <c r="D322" s="38"/>
      <c r="E322" s="10"/>
      <c r="I322" s="10"/>
      <c r="J322" s="10"/>
    </row>
    <row r="323">
      <c r="C323" s="38"/>
      <c r="D323" s="38"/>
      <c r="E323" s="10"/>
      <c r="I323" s="10"/>
      <c r="J323" s="10"/>
    </row>
    <row r="324">
      <c r="C324" s="38"/>
      <c r="D324" s="38"/>
      <c r="E324" s="10"/>
      <c r="I324" s="10"/>
      <c r="J324" s="10"/>
    </row>
    <row r="325">
      <c r="C325" s="38"/>
      <c r="D325" s="38"/>
      <c r="E325" s="10"/>
      <c r="I325" s="10"/>
      <c r="J325" s="10"/>
    </row>
    <row r="326">
      <c r="C326" s="38"/>
      <c r="D326" s="38"/>
      <c r="E326" s="10"/>
      <c r="I326" s="10"/>
      <c r="J326" s="10"/>
    </row>
    <row r="327">
      <c r="C327" s="38"/>
      <c r="D327" s="38"/>
      <c r="E327" s="10"/>
      <c r="I327" s="10"/>
      <c r="J327" s="10"/>
    </row>
    <row r="328">
      <c r="C328" s="38"/>
      <c r="D328" s="38"/>
      <c r="E328" s="10"/>
      <c r="I328" s="10"/>
      <c r="J328" s="10"/>
    </row>
    <row r="329">
      <c r="C329" s="38"/>
      <c r="D329" s="38"/>
      <c r="E329" s="10"/>
      <c r="I329" s="10"/>
      <c r="J329" s="10"/>
    </row>
    <row r="330">
      <c r="C330" s="38"/>
      <c r="D330" s="38"/>
      <c r="E330" s="10"/>
      <c r="I330" s="10"/>
      <c r="J330" s="10"/>
    </row>
    <row r="331">
      <c r="C331" s="38"/>
      <c r="D331" s="38"/>
      <c r="E331" s="10"/>
      <c r="I331" s="10"/>
      <c r="J331" s="10"/>
    </row>
    <row r="332">
      <c r="C332" s="38"/>
      <c r="D332" s="38"/>
      <c r="E332" s="10"/>
      <c r="I332" s="10"/>
      <c r="J332" s="10"/>
    </row>
    <row r="333">
      <c r="C333" s="38"/>
      <c r="D333" s="38"/>
      <c r="E333" s="10"/>
      <c r="I333" s="10"/>
      <c r="J333" s="10"/>
    </row>
    <row r="334">
      <c r="C334" s="38"/>
      <c r="D334" s="38"/>
      <c r="E334" s="10"/>
      <c r="I334" s="10"/>
      <c r="J334" s="10"/>
    </row>
    <row r="335">
      <c r="C335" s="38"/>
      <c r="D335" s="38"/>
      <c r="E335" s="10"/>
      <c r="I335" s="10"/>
      <c r="J335" s="10"/>
    </row>
    <row r="336">
      <c r="C336" s="38"/>
      <c r="D336" s="38"/>
      <c r="E336" s="10"/>
      <c r="I336" s="10"/>
      <c r="J336" s="10"/>
    </row>
    <row r="337">
      <c r="C337" s="38"/>
      <c r="D337" s="38"/>
      <c r="E337" s="10"/>
      <c r="I337" s="10"/>
      <c r="J337" s="10"/>
    </row>
    <row r="338">
      <c r="C338" s="38"/>
      <c r="D338" s="38"/>
      <c r="E338" s="10"/>
      <c r="I338" s="10"/>
      <c r="J338" s="10"/>
    </row>
    <row r="339">
      <c r="C339" s="38"/>
      <c r="D339" s="38"/>
      <c r="E339" s="10"/>
      <c r="I339" s="10"/>
      <c r="J339" s="10"/>
    </row>
    <row r="340">
      <c r="C340" s="38"/>
      <c r="D340" s="38"/>
      <c r="E340" s="10"/>
      <c r="I340" s="10"/>
      <c r="J340" s="10"/>
    </row>
    <row r="341">
      <c r="C341" s="38"/>
      <c r="D341" s="38"/>
      <c r="E341" s="10"/>
      <c r="I341" s="10"/>
      <c r="J341" s="10"/>
    </row>
    <row r="342">
      <c r="C342" s="38"/>
      <c r="D342" s="38"/>
      <c r="E342" s="10"/>
      <c r="I342" s="10"/>
      <c r="J342" s="10"/>
    </row>
    <row r="343">
      <c r="C343" s="38"/>
      <c r="D343" s="38"/>
      <c r="E343" s="10"/>
      <c r="I343" s="10"/>
      <c r="J343" s="10"/>
    </row>
    <row r="344">
      <c r="C344" s="38"/>
      <c r="D344" s="38"/>
      <c r="E344" s="10"/>
      <c r="I344" s="10"/>
      <c r="J344" s="10"/>
    </row>
    <row r="345">
      <c r="C345" s="38"/>
      <c r="D345" s="38"/>
      <c r="E345" s="10"/>
      <c r="I345" s="10"/>
      <c r="J345" s="10"/>
    </row>
    <row r="346">
      <c r="C346" s="38"/>
      <c r="D346" s="38"/>
      <c r="E346" s="10"/>
      <c r="I346" s="10"/>
      <c r="J346" s="10"/>
    </row>
    <row r="347">
      <c r="C347" s="38"/>
      <c r="D347" s="38"/>
      <c r="E347" s="10"/>
      <c r="I347" s="10"/>
      <c r="J347" s="10"/>
    </row>
    <row r="348">
      <c r="C348" s="38"/>
      <c r="D348" s="38"/>
      <c r="E348" s="10"/>
      <c r="I348" s="10"/>
      <c r="J348" s="10"/>
    </row>
    <row r="349">
      <c r="C349" s="38"/>
      <c r="D349" s="38"/>
      <c r="E349" s="10"/>
      <c r="I349" s="10"/>
      <c r="J349" s="10"/>
    </row>
    <row r="350">
      <c r="C350" s="38"/>
      <c r="D350" s="38"/>
      <c r="E350" s="10"/>
      <c r="I350" s="10"/>
      <c r="J350" s="10"/>
    </row>
    <row r="351">
      <c r="C351" s="38"/>
      <c r="D351" s="38"/>
      <c r="E351" s="10"/>
      <c r="I351" s="10"/>
      <c r="J351" s="10"/>
    </row>
    <row r="352">
      <c r="C352" s="38"/>
      <c r="D352" s="38"/>
      <c r="E352" s="10"/>
      <c r="I352" s="10"/>
      <c r="J352" s="10"/>
    </row>
    <row r="353">
      <c r="C353" s="38"/>
      <c r="D353" s="38"/>
      <c r="E353" s="10"/>
      <c r="I353" s="10"/>
      <c r="J353" s="10"/>
    </row>
    <row r="354">
      <c r="C354" s="38"/>
      <c r="D354" s="38"/>
      <c r="E354" s="10"/>
      <c r="I354" s="10"/>
      <c r="J354" s="10"/>
    </row>
    <row r="355">
      <c r="C355" s="38"/>
      <c r="D355" s="38"/>
      <c r="E355" s="10"/>
      <c r="I355" s="10"/>
      <c r="J355" s="10"/>
    </row>
    <row r="356">
      <c r="C356" s="38"/>
      <c r="D356" s="38"/>
      <c r="E356" s="10"/>
      <c r="I356" s="10"/>
      <c r="J356" s="10"/>
    </row>
    <row r="357">
      <c r="C357" s="38"/>
      <c r="D357" s="38"/>
      <c r="E357" s="10"/>
      <c r="I357" s="10"/>
      <c r="J357" s="10"/>
    </row>
    <row r="358">
      <c r="C358" s="38"/>
      <c r="D358" s="38"/>
      <c r="E358" s="10"/>
      <c r="I358" s="10"/>
      <c r="J358" s="10"/>
    </row>
    <row r="359">
      <c r="C359" s="38"/>
      <c r="D359" s="38"/>
      <c r="E359" s="10"/>
      <c r="I359" s="10"/>
      <c r="J359" s="10"/>
    </row>
    <row r="360">
      <c r="C360" s="38"/>
      <c r="D360" s="38"/>
      <c r="E360" s="10"/>
      <c r="I360" s="10"/>
      <c r="J360" s="10"/>
    </row>
    <row r="361">
      <c r="C361" s="38"/>
      <c r="D361" s="38"/>
      <c r="E361" s="10"/>
      <c r="I361" s="10"/>
      <c r="J361" s="10"/>
    </row>
    <row r="362">
      <c r="C362" s="38"/>
      <c r="D362" s="38"/>
      <c r="E362" s="10"/>
      <c r="I362" s="10"/>
      <c r="J362" s="10"/>
    </row>
    <row r="363">
      <c r="C363" s="38"/>
      <c r="D363" s="38"/>
      <c r="E363" s="10"/>
      <c r="I363" s="10"/>
      <c r="J363" s="10"/>
    </row>
    <row r="364">
      <c r="C364" s="38"/>
      <c r="D364" s="38"/>
      <c r="E364" s="10"/>
      <c r="I364" s="10"/>
      <c r="J364" s="10"/>
    </row>
    <row r="365">
      <c r="C365" s="38"/>
      <c r="D365" s="38"/>
      <c r="E365" s="10"/>
      <c r="I365" s="10"/>
      <c r="J365" s="10"/>
    </row>
    <row r="366">
      <c r="C366" s="38"/>
      <c r="D366" s="38"/>
      <c r="E366" s="10"/>
      <c r="I366" s="10"/>
      <c r="J366" s="10"/>
    </row>
    <row r="367">
      <c r="C367" s="38"/>
      <c r="D367" s="38"/>
      <c r="E367" s="10"/>
      <c r="I367" s="10"/>
      <c r="J367" s="10"/>
    </row>
    <row r="368">
      <c r="C368" s="38"/>
      <c r="D368" s="38"/>
      <c r="E368" s="10"/>
      <c r="I368" s="10"/>
      <c r="J368" s="10"/>
    </row>
    <row r="369">
      <c r="C369" s="38"/>
      <c r="D369" s="38"/>
      <c r="E369" s="10"/>
      <c r="I369" s="10"/>
      <c r="J369" s="10"/>
    </row>
    <row r="370">
      <c r="C370" s="38"/>
      <c r="D370" s="38"/>
      <c r="E370" s="10"/>
      <c r="I370" s="10"/>
      <c r="J370" s="10"/>
    </row>
    <row r="371">
      <c r="C371" s="38"/>
      <c r="D371" s="38"/>
      <c r="E371" s="10"/>
      <c r="I371" s="10"/>
      <c r="J371" s="10"/>
    </row>
    <row r="372">
      <c r="C372" s="38"/>
      <c r="D372" s="38"/>
      <c r="E372" s="10"/>
      <c r="I372" s="10"/>
      <c r="J372" s="10"/>
    </row>
    <row r="373">
      <c r="C373" s="38"/>
      <c r="D373" s="38"/>
      <c r="E373" s="10"/>
      <c r="I373" s="10"/>
      <c r="J373" s="10"/>
    </row>
    <row r="374">
      <c r="C374" s="38"/>
      <c r="D374" s="38"/>
      <c r="E374" s="10"/>
      <c r="I374" s="10"/>
      <c r="J374" s="10"/>
    </row>
    <row r="375">
      <c r="C375" s="38"/>
      <c r="D375" s="38"/>
      <c r="E375" s="10"/>
      <c r="I375" s="10"/>
      <c r="J375" s="10"/>
    </row>
    <row r="376">
      <c r="C376" s="38"/>
      <c r="D376" s="38"/>
      <c r="E376" s="10"/>
      <c r="I376" s="10"/>
      <c r="J376" s="10"/>
    </row>
    <row r="377">
      <c r="C377" s="38"/>
      <c r="D377" s="38"/>
      <c r="E377" s="10"/>
      <c r="I377" s="10"/>
      <c r="J377" s="10"/>
    </row>
    <row r="378">
      <c r="C378" s="38"/>
      <c r="D378" s="38"/>
      <c r="E378" s="10"/>
      <c r="I378" s="10"/>
      <c r="J378" s="10"/>
    </row>
    <row r="379">
      <c r="C379" s="38"/>
      <c r="D379" s="38"/>
      <c r="E379" s="10"/>
      <c r="I379" s="10"/>
      <c r="J379" s="10"/>
    </row>
    <row r="380">
      <c r="C380" s="38"/>
      <c r="D380" s="38"/>
      <c r="E380" s="10"/>
      <c r="I380" s="10"/>
      <c r="J380" s="10"/>
    </row>
    <row r="381">
      <c r="C381" s="38"/>
      <c r="D381" s="38"/>
      <c r="E381" s="10"/>
      <c r="I381" s="10"/>
      <c r="J381" s="10"/>
    </row>
    <row r="382">
      <c r="C382" s="38"/>
      <c r="D382" s="38"/>
      <c r="E382" s="10"/>
      <c r="I382" s="10"/>
      <c r="J382" s="10"/>
    </row>
    <row r="383">
      <c r="C383" s="38"/>
      <c r="D383" s="38"/>
      <c r="E383" s="10"/>
      <c r="I383" s="10"/>
      <c r="J383" s="10"/>
    </row>
    <row r="384">
      <c r="C384" s="38"/>
      <c r="D384" s="38"/>
      <c r="E384" s="10"/>
      <c r="I384" s="10"/>
      <c r="J384" s="10"/>
    </row>
    <row r="385">
      <c r="C385" s="38"/>
      <c r="D385" s="38"/>
      <c r="E385" s="10"/>
      <c r="I385" s="10"/>
      <c r="J385" s="10"/>
    </row>
    <row r="386">
      <c r="C386" s="38"/>
      <c r="D386" s="38"/>
      <c r="E386" s="10"/>
      <c r="I386" s="10"/>
      <c r="J386" s="10"/>
    </row>
    <row r="387">
      <c r="C387" s="38"/>
      <c r="D387" s="38"/>
      <c r="E387" s="10"/>
      <c r="I387" s="10"/>
      <c r="J387" s="10"/>
    </row>
    <row r="388">
      <c r="C388" s="38"/>
      <c r="D388" s="38"/>
      <c r="E388" s="10"/>
      <c r="I388" s="10"/>
      <c r="J388" s="10"/>
    </row>
    <row r="389">
      <c r="C389" s="38"/>
      <c r="D389" s="38"/>
      <c r="E389" s="10"/>
      <c r="I389" s="10"/>
      <c r="J389" s="10"/>
    </row>
    <row r="390">
      <c r="C390" s="38"/>
      <c r="D390" s="38"/>
      <c r="E390" s="10"/>
      <c r="I390" s="10"/>
      <c r="J390" s="10"/>
    </row>
    <row r="391">
      <c r="C391" s="38"/>
      <c r="D391" s="38"/>
      <c r="E391" s="10"/>
      <c r="I391" s="10"/>
      <c r="J391" s="10"/>
    </row>
    <row r="392">
      <c r="C392" s="38"/>
      <c r="D392" s="38"/>
      <c r="E392" s="10"/>
      <c r="I392" s="10"/>
      <c r="J392" s="10"/>
    </row>
    <row r="393">
      <c r="C393" s="38"/>
      <c r="D393" s="38"/>
      <c r="E393" s="10"/>
      <c r="I393" s="10"/>
      <c r="J393" s="10"/>
    </row>
    <row r="394">
      <c r="C394" s="38"/>
      <c r="D394" s="38"/>
      <c r="E394" s="10"/>
      <c r="I394" s="10"/>
      <c r="J394" s="10"/>
    </row>
    <row r="395">
      <c r="C395" s="38"/>
      <c r="D395" s="38"/>
      <c r="E395" s="10"/>
      <c r="I395" s="10"/>
      <c r="J395" s="10"/>
    </row>
    <row r="396">
      <c r="C396" s="38"/>
      <c r="D396" s="38"/>
      <c r="E396" s="10"/>
      <c r="I396" s="10"/>
      <c r="J396" s="10"/>
    </row>
    <row r="397">
      <c r="C397" s="38"/>
      <c r="D397" s="38"/>
      <c r="E397" s="10"/>
      <c r="I397" s="10"/>
      <c r="J397" s="10"/>
    </row>
    <row r="398">
      <c r="C398" s="38"/>
      <c r="D398" s="38"/>
      <c r="E398" s="10"/>
      <c r="I398" s="10"/>
      <c r="J398" s="10"/>
    </row>
    <row r="399">
      <c r="C399" s="38"/>
      <c r="D399" s="38"/>
      <c r="E399" s="10"/>
      <c r="I399" s="10"/>
      <c r="J399" s="10"/>
    </row>
    <row r="400">
      <c r="C400" s="38"/>
      <c r="D400" s="38"/>
      <c r="E400" s="10"/>
      <c r="I400" s="10"/>
      <c r="J400" s="10"/>
    </row>
    <row r="401">
      <c r="C401" s="38"/>
      <c r="D401" s="38"/>
      <c r="E401" s="10"/>
      <c r="I401" s="10"/>
      <c r="J401" s="10"/>
    </row>
    <row r="402">
      <c r="C402" s="38"/>
      <c r="D402" s="38"/>
      <c r="E402" s="10"/>
      <c r="I402" s="10"/>
      <c r="J402" s="10"/>
    </row>
    <row r="403">
      <c r="C403" s="38"/>
      <c r="D403" s="38"/>
      <c r="E403" s="10"/>
      <c r="I403" s="10"/>
      <c r="J403" s="10"/>
    </row>
    <row r="404">
      <c r="C404" s="38"/>
      <c r="D404" s="38"/>
      <c r="E404" s="10"/>
      <c r="I404" s="10"/>
      <c r="J404" s="10"/>
    </row>
    <row r="405">
      <c r="C405" s="38"/>
      <c r="D405" s="38"/>
      <c r="E405" s="10"/>
      <c r="I405" s="10"/>
      <c r="J405" s="10"/>
    </row>
    <row r="406">
      <c r="C406" s="38"/>
      <c r="D406" s="38"/>
      <c r="E406" s="10"/>
      <c r="I406" s="10"/>
      <c r="J406" s="10"/>
    </row>
    <row r="407">
      <c r="C407" s="38"/>
      <c r="D407" s="38"/>
      <c r="E407" s="10"/>
      <c r="I407" s="10"/>
      <c r="J407" s="10"/>
    </row>
    <row r="408">
      <c r="C408" s="38"/>
      <c r="D408" s="38"/>
      <c r="E408" s="10"/>
      <c r="I408" s="10"/>
      <c r="J408" s="10"/>
    </row>
    <row r="409">
      <c r="C409" s="38"/>
      <c r="D409" s="38"/>
      <c r="E409" s="10"/>
      <c r="I409" s="10"/>
      <c r="J409" s="10"/>
    </row>
    <row r="410">
      <c r="C410" s="38"/>
      <c r="D410" s="38"/>
      <c r="E410" s="10"/>
      <c r="I410" s="10"/>
      <c r="J410" s="10"/>
    </row>
    <row r="411">
      <c r="C411" s="38"/>
      <c r="D411" s="38"/>
      <c r="E411" s="10"/>
      <c r="I411" s="10"/>
      <c r="J411" s="10"/>
    </row>
    <row r="412">
      <c r="C412" s="38"/>
      <c r="D412" s="38"/>
      <c r="E412" s="10"/>
      <c r="I412" s="10"/>
      <c r="J412" s="10"/>
    </row>
    <row r="413">
      <c r="C413" s="38"/>
      <c r="D413" s="38"/>
      <c r="E413" s="10"/>
      <c r="I413" s="10"/>
      <c r="J413" s="10"/>
    </row>
    <row r="414">
      <c r="C414" s="38"/>
      <c r="D414" s="38"/>
      <c r="E414" s="10"/>
      <c r="I414" s="10"/>
      <c r="J414" s="10"/>
    </row>
    <row r="415">
      <c r="C415" s="38"/>
      <c r="D415" s="38"/>
      <c r="E415" s="10"/>
      <c r="I415" s="10"/>
      <c r="J415" s="10"/>
    </row>
    <row r="416">
      <c r="C416" s="38"/>
      <c r="D416" s="38"/>
      <c r="E416" s="10"/>
      <c r="I416" s="10"/>
      <c r="J416" s="10"/>
    </row>
    <row r="417">
      <c r="C417" s="38"/>
      <c r="D417" s="38"/>
      <c r="E417" s="10"/>
      <c r="I417" s="10"/>
      <c r="J417" s="10"/>
    </row>
    <row r="418">
      <c r="C418" s="38"/>
      <c r="D418" s="38"/>
      <c r="E418" s="10"/>
      <c r="I418" s="10"/>
      <c r="J418" s="10"/>
    </row>
    <row r="419">
      <c r="C419" s="38"/>
      <c r="D419" s="38"/>
      <c r="E419" s="10"/>
      <c r="I419" s="10"/>
      <c r="J419" s="10"/>
    </row>
    <row r="420">
      <c r="C420" s="38"/>
      <c r="D420" s="38"/>
      <c r="E420" s="10"/>
      <c r="I420" s="10"/>
      <c r="J420" s="10"/>
    </row>
    <row r="421">
      <c r="C421" s="38"/>
      <c r="D421" s="38"/>
      <c r="E421" s="10"/>
      <c r="I421" s="10"/>
      <c r="J421" s="10"/>
    </row>
    <row r="422">
      <c r="C422" s="38"/>
      <c r="D422" s="38"/>
      <c r="E422" s="10"/>
      <c r="I422" s="10"/>
      <c r="J422" s="10"/>
    </row>
    <row r="423">
      <c r="C423" s="38"/>
      <c r="D423" s="38"/>
      <c r="E423" s="10"/>
      <c r="I423" s="10"/>
      <c r="J423" s="10"/>
    </row>
    <row r="424">
      <c r="C424" s="38"/>
      <c r="D424" s="38"/>
      <c r="E424" s="10"/>
      <c r="I424" s="10"/>
      <c r="J424" s="10"/>
    </row>
    <row r="425">
      <c r="C425" s="38"/>
      <c r="D425" s="38"/>
      <c r="E425" s="10"/>
      <c r="I425" s="10"/>
      <c r="J425" s="10"/>
    </row>
    <row r="426">
      <c r="C426" s="38"/>
      <c r="D426" s="38"/>
      <c r="E426" s="10"/>
      <c r="I426" s="10"/>
      <c r="J426" s="10"/>
    </row>
    <row r="427">
      <c r="C427" s="38"/>
      <c r="D427" s="38"/>
      <c r="E427" s="10"/>
      <c r="I427" s="10"/>
      <c r="J427" s="10"/>
    </row>
    <row r="428">
      <c r="C428" s="38"/>
      <c r="D428" s="38"/>
      <c r="E428" s="10"/>
      <c r="I428" s="10"/>
      <c r="J428" s="10"/>
    </row>
    <row r="429">
      <c r="C429" s="38"/>
      <c r="D429" s="38"/>
      <c r="E429" s="10"/>
      <c r="I429" s="10"/>
      <c r="J429" s="10"/>
    </row>
    <row r="430">
      <c r="C430" s="38"/>
      <c r="D430" s="38"/>
      <c r="E430" s="10"/>
      <c r="I430" s="10"/>
      <c r="J430" s="10"/>
    </row>
    <row r="431">
      <c r="C431" s="38"/>
      <c r="D431" s="38"/>
      <c r="E431" s="10"/>
      <c r="I431" s="10"/>
      <c r="J431" s="10"/>
    </row>
    <row r="432">
      <c r="C432" s="38"/>
      <c r="D432" s="38"/>
      <c r="E432" s="10"/>
      <c r="I432" s="10"/>
      <c r="J432" s="10"/>
    </row>
    <row r="433">
      <c r="C433" s="38"/>
      <c r="D433" s="38"/>
      <c r="E433" s="10"/>
      <c r="I433" s="10"/>
      <c r="J433" s="10"/>
    </row>
    <row r="434">
      <c r="C434" s="38"/>
      <c r="D434" s="38"/>
      <c r="E434" s="10"/>
      <c r="I434" s="10"/>
      <c r="J434" s="10"/>
    </row>
    <row r="435">
      <c r="C435" s="38"/>
      <c r="D435" s="38"/>
      <c r="E435" s="10"/>
      <c r="I435" s="10"/>
      <c r="J435" s="10"/>
    </row>
    <row r="436">
      <c r="C436" s="38"/>
      <c r="D436" s="38"/>
      <c r="E436" s="10"/>
      <c r="I436" s="10"/>
      <c r="J436" s="10"/>
    </row>
    <row r="437">
      <c r="C437" s="38"/>
      <c r="D437" s="38"/>
      <c r="E437" s="10"/>
      <c r="I437" s="10"/>
      <c r="J437" s="10"/>
    </row>
    <row r="438">
      <c r="C438" s="38"/>
      <c r="D438" s="38"/>
      <c r="E438" s="10"/>
      <c r="I438" s="10"/>
      <c r="J438" s="10"/>
    </row>
    <row r="439">
      <c r="C439" s="38"/>
      <c r="D439" s="38"/>
      <c r="E439" s="10"/>
      <c r="I439" s="10"/>
      <c r="J439" s="10"/>
    </row>
    <row r="440">
      <c r="C440" s="38"/>
      <c r="D440" s="38"/>
      <c r="E440" s="10"/>
      <c r="I440" s="10"/>
      <c r="J440" s="10"/>
    </row>
    <row r="441">
      <c r="C441" s="38"/>
      <c r="D441" s="38"/>
      <c r="E441" s="10"/>
      <c r="I441" s="10"/>
      <c r="J441" s="10"/>
    </row>
    <row r="442">
      <c r="C442" s="38"/>
      <c r="D442" s="38"/>
      <c r="E442" s="10"/>
      <c r="I442" s="10"/>
      <c r="J442" s="10"/>
    </row>
    <row r="443">
      <c r="C443" s="38"/>
      <c r="D443" s="38"/>
      <c r="E443" s="10"/>
      <c r="I443" s="10"/>
      <c r="J443" s="10"/>
    </row>
    <row r="444">
      <c r="C444" s="38"/>
      <c r="D444" s="38"/>
      <c r="E444" s="10"/>
      <c r="I444" s="10"/>
      <c r="J444" s="10"/>
    </row>
    <row r="445">
      <c r="C445" s="38"/>
      <c r="D445" s="38"/>
      <c r="E445" s="10"/>
      <c r="I445" s="10"/>
      <c r="J445" s="10"/>
    </row>
    <row r="446">
      <c r="C446" s="38"/>
      <c r="D446" s="38"/>
      <c r="E446" s="10"/>
      <c r="I446" s="10"/>
      <c r="J446" s="10"/>
    </row>
    <row r="447">
      <c r="C447" s="38"/>
      <c r="D447" s="38"/>
      <c r="E447" s="10"/>
      <c r="I447" s="10"/>
      <c r="J447" s="10"/>
    </row>
    <row r="448">
      <c r="C448" s="38"/>
      <c r="D448" s="38"/>
      <c r="E448" s="10"/>
      <c r="I448" s="10"/>
      <c r="J448" s="10"/>
    </row>
    <row r="449">
      <c r="C449" s="38"/>
      <c r="D449" s="38"/>
      <c r="E449" s="10"/>
      <c r="I449" s="10"/>
      <c r="J449" s="10"/>
    </row>
    <row r="450">
      <c r="C450" s="38"/>
      <c r="D450" s="38"/>
      <c r="E450" s="10"/>
      <c r="I450" s="10"/>
      <c r="J450" s="10"/>
    </row>
    <row r="451">
      <c r="C451" s="38"/>
      <c r="D451" s="38"/>
      <c r="E451" s="10"/>
      <c r="I451" s="10"/>
      <c r="J451" s="10"/>
    </row>
    <row r="452">
      <c r="C452" s="38"/>
      <c r="D452" s="38"/>
      <c r="E452" s="10"/>
      <c r="I452" s="10"/>
      <c r="J452" s="10"/>
    </row>
    <row r="453">
      <c r="C453" s="38"/>
      <c r="D453" s="38"/>
      <c r="E453" s="10"/>
      <c r="I453" s="10"/>
      <c r="J453" s="10"/>
    </row>
    <row r="454">
      <c r="C454" s="38"/>
      <c r="D454" s="38"/>
      <c r="E454" s="10"/>
      <c r="I454" s="10"/>
      <c r="J454" s="10"/>
    </row>
    <row r="455">
      <c r="C455" s="38"/>
      <c r="D455" s="38"/>
      <c r="E455" s="10"/>
      <c r="I455" s="10"/>
      <c r="J455" s="10"/>
    </row>
    <row r="456">
      <c r="C456" s="38"/>
      <c r="D456" s="38"/>
      <c r="E456" s="10"/>
      <c r="I456" s="10"/>
      <c r="J456" s="10"/>
    </row>
    <row r="457">
      <c r="C457" s="38"/>
      <c r="D457" s="38"/>
      <c r="E457" s="10"/>
      <c r="I457" s="10"/>
      <c r="J457" s="10"/>
    </row>
    <row r="458">
      <c r="C458" s="38"/>
      <c r="D458" s="38"/>
      <c r="E458" s="10"/>
      <c r="I458" s="10"/>
      <c r="J458" s="10"/>
    </row>
    <row r="459">
      <c r="C459" s="38"/>
      <c r="D459" s="38"/>
      <c r="E459" s="10"/>
      <c r="I459" s="10"/>
      <c r="J459" s="10"/>
    </row>
    <row r="460">
      <c r="C460" s="38"/>
      <c r="D460" s="38"/>
      <c r="E460" s="10"/>
      <c r="I460" s="10"/>
      <c r="J460" s="10"/>
    </row>
    <row r="461">
      <c r="C461" s="38"/>
      <c r="D461" s="38"/>
      <c r="E461" s="10"/>
      <c r="I461" s="10"/>
      <c r="J461" s="10"/>
    </row>
    <row r="462">
      <c r="C462" s="38"/>
      <c r="D462" s="38"/>
      <c r="E462" s="10"/>
      <c r="I462" s="10"/>
      <c r="J462" s="10"/>
    </row>
    <row r="463">
      <c r="C463" s="38"/>
      <c r="D463" s="38"/>
      <c r="E463" s="10"/>
      <c r="I463" s="10"/>
      <c r="J463" s="10"/>
    </row>
    <row r="464">
      <c r="C464" s="38"/>
      <c r="D464" s="38"/>
      <c r="E464" s="10"/>
      <c r="I464" s="10"/>
      <c r="J464" s="10"/>
    </row>
    <row r="465">
      <c r="C465" s="38"/>
      <c r="D465" s="38"/>
      <c r="E465" s="10"/>
      <c r="I465" s="10"/>
      <c r="J465" s="10"/>
    </row>
    <row r="466">
      <c r="C466" s="38"/>
      <c r="D466" s="38"/>
      <c r="E466" s="10"/>
      <c r="I466" s="10"/>
      <c r="J466" s="10"/>
    </row>
    <row r="467">
      <c r="C467" s="38"/>
      <c r="D467" s="38"/>
      <c r="E467" s="10"/>
      <c r="I467" s="10"/>
      <c r="J467" s="10"/>
    </row>
    <row r="468">
      <c r="C468" s="38"/>
      <c r="D468" s="38"/>
      <c r="E468" s="10"/>
      <c r="I468" s="10"/>
      <c r="J468" s="10"/>
    </row>
    <row r="469">
      <c r="C469" s="38"/>
      <c r="D469" s="38"/>
      <c r="E469" s="10"/>
      <c r="I469" s="10"/>
      <c r="J469" s="10"/>
    </row>
    <row r="470">
      <c r="C470" s="38"/>
      <c r="D470" s="38"/>
      <c r="E470" s="10"/>
      <c r="I470" s="10"/>
      <c r="J470" s="10"/>
    </row>
    <row r="471">
      <c r="C471" s="38"/>
      <c r="D471" s="38"/>
      <c r="E471" s="10"/>
      <c r="I471" s="10"/>
      <c r="J471" s="10"/>
    </row>
    <row r="472">
      <c r="C472" s="38"/>
      <c r="D472" s="38"/>
      <c r="E472" s="10"/>
      <c r="I472" s="10"/>
      <c r="J472" s="10"/>
    </row>
    <row r="473">
      <c r="C473" s="38"/>
      <c r="D473" s="38"/>
      <c r="E473" s="10"/>
      <c r="I473" s="10"/>
      <c r="J473" s="10"/>
    </row>
    <row r="474">
      <c r="C474" s="38"/>
      <c r="D474" s="38"/>
      <c r="E474" s="10"/>
      <c r="I474" s="10"/>
      <c r="J474" s="10"/>
    </row>
    <row r="475">
      <c r="C475" s="38"/>
      <c r="D475" s="38"/>
      <c r="E475" s="10"/>
      <c r="I475" s="10"/>
      <c r="J475" s="10"/>
    </row>
    <row r="476">
      <c r="C476" s="38"/>
      <c r="D476" s="38"/>
      <c r="E476" s="10"/>
      <c r="I476" s="10"/>
      <c r="J476" s="10"/>
    </row>
    <row r="477">
      <c r="C477" s="38"/>
      <c r="D477" s="38"/>
      <c r="E477" s="10"/>
      <c r="I477" s="10"/>
      <c r="J477" s="10"/>
    </row>
    <row r="478">
      <c r="C478" s="38"/>
      <c r="D478" s="38"/>
      <c r="E478" s="10"/>
      <c r="I478" s="10"/>
      <c r="J478" s="10"/>
    </row>
    <row r="479">
      <c r="C479" s="38"/>
      <c r="D479" s="38"/>
      <c r="E479" s="10"/>
      <c r="I479" s="10"/>
      <c r="J479" s="10"/>
    </row>
    <row r="480">
      <c r="C480" s="38"/>
      <c r="D480" s="38"/>
      <c r="E480" s="10"/>
      <c r="I480" s="10"/>
      <c r="J480" s="10"/>
    </row>
    <row r="481">
      <c r="C481" s="38"/>
      <c r="D481" s="38"/>
      <c r="E481" s="10"/>
      <c r="I481" s="10"/>
      <c r="J481" s="10"/>
    </row>
    <row r="482">
      <c r="C482" s="38"/>
      <c r="D482" s="38"/>
      <c r="E482" s="10"/>
      <c r="I482" s="10"/>
      <c r="J482" s="10"/>
    </row>
    <row r="483">
      <c r="C483" s="38"/>
      <c r="D483" s="38"/>
      <c r="E483" s="10"/>
      <c r="I483" s="10"/>
      <c r="J483" s="10"/>
    </row>
    <row r="484">
      <c r="C484" s="38"/>
      <c r="D484" s="38"/>
      <c r="E484" s="10"/>
      <c r="I484" s="10"/>
      <c r="J484" s="10"/>
    </row>
    <row r="485">
      <c r="C485" s="38"/>
      <c r="D485" s="38"/>
      <c r="E485" s="10"/>
      <c r="I485" s="10"/>
      <c r="J485" s="10"/>
    </row>
    <row r="486">
      <c r="C486" s="38"/>
      <c r="D486" s="38"/>
      <c r="E486" s="10"/>
      <c r="I486" s="10"/>
      <c r="J486" s="10"/>
    </row>
    <row r="487">
      <c r="C487" s="38"/>
      <c r="D487" s="38"/>
      <c r="E487" s="10"/>
      <c r="I487" s="10"/>
      <c r="J487" s="10"/>
    </row>
    <row r="488">
      <c r="C488" s="38"/>
      <c r="D488" s="38"/>
      <c r="E488" s="10"/>
      <c r="I488" s="10"/>
      <c r="J488" s="10"/>
    </row>
    <row r="489">
      <c r="C489" s="38"/>
      <c r="D489" s="38"/>
      <c r="E489" s="10"/>
      <c r="I489" s="10"/>
      <c r="J489" s="10"/>
    </row>
    <row r="490">
      <c r="C490" s="38"/>
      <c r="D490" s="38"/>
      <c r="E490" s="10"/>
      <c r="I490" s="10"/>
      <c r="J490" s="10"/>
    </row>
    <row r="491">
      <c r="C491" s="38"/>
      <c r="D491" s="38"/>
      <c r="E491" s="10"/>
      <c r="I491" s="10"/>
      <c r="J491" s="10"/>
    </row>
    <row r="492">
      <c r="C492" s="38"/>
      <c r="D492" s="38"/>
      <c r="E492" s="10"/>
      <c r="I492" s="10"/>
      <c r="J492" s="10"/>
    </row>
    <row r="493">
      <c r="C493" s="38"/>
      <c r="D493" s="38"/>
      <c r="E493" s="10"/>
      <c r="I493" s="10"/>
      <c r="J493" s="10"/>
    </row>
    <row r="494">
      <c r="C494" s="38"/>
      <c r="D494" s="38"/>
      <c r="E494" s="10"/>
      <c r="I494" s="10"/>
      <c r="J494" s="10"/>
    </row>
    <row r="495">
      <c r="C495" s="38"/>
      <c r="D495" s="38"/>
      <c r="E495" s="10"/>
      <c r="I495" s="10"/>
      <c r="J495" s="10"/>
    </row>
    <row r="496">
      <c r="C496" s="38"/>
      <c r="D496" s="38"/>
      <c r="E496" s="10"/>
      <c r="I496" s="10"/>
      <c r="J496" s="10"/>
    </row>
    <row r="497">
      <c r="C497" s="38"/>
      <c r="D497" s="38"/>
      <c r="E497" s="10"/>
      <c r="I497" s="10"/>
      <c r="J497" s="10"/>
    </row>
    <row r="498">
      <c r="C498" s="38"/>
      <c r="D498" s="38"/>
      <c r="E498" s="10"/>
      <c r="I498" s="10"/>
      <c r="J498" s="10"/>
    </row>
    <row r="499">
      <c r="C499" s="38"/>
      <c r="D499" s="38"/>
      <c r="E499" s="10"/>
      <c r="I499" s="10"/>
      <c r="J499" s="10"/>
    </row>
    <row r="500">
      <c r="C500" s="38"/>
      <c r="D500" s="38"/>
      <c r="E500" s="10"/>
      <c r="I500" s="10"/>
      <c r="J500" s="10"/>
    </row>
    <row r="501">
      <c r="C501" s="38"/>
      <c r="D501" s="38"/>
      <c r="E501" s="10"/>
      <c r="I501" s="10"/>
      <c r="J501" s="10"/>
    </row>
    <row r="502">
      <c r="C502" s="38"/>
      <c r="D502" s="38"/>
      <c r="E502" s="10"/>
      <c r="I502" s="10"/>
      <c r="J502" s="10"/>
    </row>
    <row r="503">
      <c r="C503" s="38"/>
      <c r="D503" s="38"/>
      <c r="E503" s="10"/>
      <c r="I503" s="10"/>
      <c r="J503" s="10"/>
    </row>
    <row r="504">
      <c r="C504" s="38"/>
      <c r="D504" s="38"/>
      <c r="E504" s="10"/>
      <c r="I504" s="10"/>
      <c r="J504" s="10"/>
    </row>
    <row r="505">
      <c r="C505" s="38"/>
      <c r="D505" s="38"/>
      <c r="E505" s="10"/>
      <c r="I505" s="10"/>
      <c r="J505" s="10"/>
    </row>
    <row r="506">
      <c r="C506" s="38"/>
      <c r="D506" s="38"/>
      <c r="E506" s="10"/>
      <c r="I506" s="10"/>
      <c r="J506" s="10"/>
    </row>
    <row r="507">
      <c r="C507" s="38"/>
      <c r="D507" s="38"/>
      <c r="E507" s="10"/>
      <c r="I507" s="10"/>
      <c r="J507" s="10"/>
    </row>
    <row r="508">
      <c r="C508" s="38"/>
      <c r="D508" s="38"/>
      <c r="E508" s="10"/>
      <c r="I508" s="10"/>
      <c r="J508" s="10"/>
    </row>
    <row r="509">
      <c r="C509" s="38"/>
      <c r="D509" s="38"/>
      <c r="E509" s="10"/>
      <c r="I509" s="10"/>
      <c r="J509" s="10"/>
    </row>
    <row r="510">
      <c r="C510" s="38"/>
      <c r="D510" s="38"/>
      <c r="E510" s="10"/>
      <c r="I510" s="10"/>
      <c r="J510" s="10"/>
    </row>
    <row r="511">
      <c r="C511" s="38"/>
      <c r="D511" s="38"/>
      <c r="E511" s="10"/>
      <c r="I511" s="10"/>
      <c r="J511" s="10"/>
    </row>
    <row r="512">
      <c r="C512" s="38"/>
      <c r="D512" s="38"/>
      <c r="E512" s="10"/>
      <c r="I512" s="10"/>
      <c r="J512" s="10"/>
    </row>
    <row r="513">
      <c r="C513" s="38"/>
      <c r="D513" s="38"/>
      <c r="E513" s="10"/>
      <c r="I513" s="10"/>
      <c r="J513" s="10"/>
    </row>
    <row r="514">
      <c r="C514" s="38"/>
      <c r="D514" s="38"/>
      <c r="E514" s="10"/>
      <c r="I514" s="10"/>
      <c r="J514" s="10"/>
    </row>
    <row r="515">
      <c r="C515" s="38"/>
      <c r="D515" s="38"/>
      <c r="E515" s="10"/>
      <c r="I515" s="10"/>
      <c r="J515" s="10"/>
    </row>
    <row r="516">
      <c r="C516" s="38"/>
      <c r="D516" s="38"/>
      <c r="E516" s="10"/>
      <c r="I516" s="10"/>
      <c r="J516" s="10"/>
    </row>
    <row r="517">
      <c r="C517" s="38"/>
      <c r="D517" s="38"/>
      <c r="E517" s="10"/>
      <c r="I517" s="10"/>
      <c r="J517" s="10"/>
    </row>
    <row r="518">
      <c r="C518" s="38"/>
      <c r="D518" s="38"/>
      <c r="E518" s="10"/>
      <c r="I518" s="10"/>
      <c r="J518" s="10"/>
    </row>
    <row r="519">
      <c r="C519" s="38"/>
      <c r="D519" s="38"/>
      <c r="E519" s="10"/>
      <c r="I519" s="10"/>
      <c r="J519" s="10"/>
    </row>
    <row r="520">
      <c r="C520" s="38"/>
      <c r="D520" s="38"/>
      <c r="E520" s="10"/>
      <c r="I520" s="10"/>
      <c r="J520" s="10"/>
    </row>
    <row r="521">
      <c r="C521" s="38"/>
      <c r="D521" s="38"/>
      <c r="E521" s="10"/>
      <c r="I521" s="10"/>
      <c r="J521" s="10"/>
    </row>
    <row r="522">
      <c r="C522" s="38"/>
      <c r="D522" s="38"/>
      <c r="E522" s="10"/>
      <c r="I522" s="10"/>
      <c r="J522" s="10"/>
    </row>
    <row r="523">
      <c r="C523" s="38"/>
      <c r="D523" s="38"/>
      <c r="E523" s="10"/>
      <c r="I523" s="10"/>
      <c r="J523" s="10"/>
    </row>
    <row r="524">
      <c r="C524" s="38"/>
      <c r="D524" s="38"/>
      <c r="E524" s="10"/>
      <c r="I524" s="10"/>
      <c r="J524" s="10"/>
    </row>
    <row r="525">
      <c r="C525" s="38"/>
      <c r="D525" s="38"/>
      <c r="E525" s="10"/>
      <c r="I525" s="10"/>
      <c r="J525" s="10"/>
    </row>
    <row r="526">
      <c r="C526" s="38"/>
      <c r="D526" s="38"/>
      <c r="E526" s="10"/>
      <c r="I526" s="10"/>
      <c r="J526" s="10"/>
    </row>
    <row r="527">
      <c r="C527" s="38"/>
      <c r="D527" s="38"/>
      <c r="E527" s="10"/>
      <c r="I527" s="10"/>
      <c r="J527" s="10"/>
    </row>
    <row r="528">
      <c r="C528" s="38"/>
      <c r="D528" s="38"/>
      <c r="E528" s="10"/>
      <c r="I528" s="10"/>
      <c r="J528" s="10"/>
    </row>
    <row r="529">
      <c r="C529" s="38"/>
      <c r="D529" s="38"/>
      <c r="E529" s="10"/>
      <c r="I529" s="10"/>
      <c r="J529" s="10"/>
    </row>
    <row r="530">
      <c r="C530" s="38"/>
      <c r="D530" s="38"/>
      <c r="E530" s="10"/>
      <c r="I530" s="10"/>
      <c r="J530" s="10"/>
    </row>
    <row r="531">
      <c r="C531" s="38"/>
      <c r="D531" s="38"/>
      <c r="E531" s="10"/>
      <c r="I531" s="10"/>
      <c r="J531" s="10"/>
    </row>
    <row r="532">
      <c r="C532" s="38"/>
      <c r="D532" s="38"/>
      <c r="E532" s="10"/>
      <c r="I532" s="10"/>
      <c r="J532" s="10"/>
    </row>
    <row r="533">
      <c r="C533" s="38"/>
      <c r="D533" s="38"/>
      <c r="E533" s="10"/>
      <c r="I533" s="10"/>
      <c r="J533" s="10"/>
    </row>
    <row r="534">
      <c r="C534" s="38"/>
      <c r="D534" s="38"/>
      <c r="E534" s="10"/>
      <c r="I534" s="10"/>
      <c r="J534" s="10"/>
    </row>
    <row r="535">
      <c r="C535" s="38"/>
      <c r="D535" s="38"/>
      <c r="E535" s="10"/>
      <c r="I535" s="10"/>
      <c r="J535" s="10"/>
    </row>
    <row r="536">
      <c r="C536" s="38"/>
      <c r="D536" s="38"/>
      <c r="E536" s="10"/>
      <c r="I536" s="10"/>
      <c r="J536" s="10"/>
    </row>
    <row r="537">
      <c r="C537" s="38"/>
      <c r="D537" s="38"/>
      <c r="E537" s="10"/>
      <c r="I537" s="10"/>
      <c r="J537" s="10"/>
    </row>
    <row r="538">
      <c r="C538" s="38"/>
      <c r="D538" s="38"/>
      <c r="E538" s="10"/>
      <c r="I538" s="10"/>
      <c r="J538" s="10"/>
    </row>
    <row r="539">
      <c r="C539" s="38"/>
      <c r="D539" s="38"/>
      <c r="E539" s="10"/>
      <c r="I539" s="10"/>
      <c r="J539" s="10"/>
    </row>
    <row r="540">
      <c r="C540" s="38"/>
      <c r="D540" s="38"/>
      <c r="E540" s="10"/>
      <c r="I540" s="10"/>
      <c r="J540" s="10"/>
    </row>
    <row r="541">
      <c r="C541" s="38"/>
      <c r="D541" s="38"/>
      <c r="E541" s="10"/>
      <c r="I541" s="10"/>
      <c r="J541" s="10"/>
    </row>
    <row r="542">
      <c r="C542" s="38"/>
      <c r="D542" s="38"/>
      <c r="E542" s="10"/>
      <c r="I542" s="10"/>
      <c r="J542" s="10"/>
    </row>
    <row r="543">
      <c r="C543" s="38"/>
      <c r="D543" s="38"/>
      <c r="E543" s="10"/>
      <c r="I543" s="10"/>
      <c r="J543" s="10"/>
    </row>
    <row r="544">
      <c r="C544" s="38"/>
      <c r="D544" s="38"/>
      <c r="E544" s="10"/>
      <c r="I544" s="10"/>
      <c r="J544" s="10"/>
    </row>
    <row r="545">
      <c r="C545" s="38"/>
      <c r="D545" s="38"/>
      <c r="E545" s="10"/>
      <c r="I545" s="10"/>
      <c r="J545" s="10"/>
    </row>
    <row r="546">
      <c r="C546" s="38"/>
      <c r="D546" s="38"/>
      <c r="E546" s="10"/>
      <c r="I546" s="10"/>
      <c r="J546" s="10"/>
    </row>
    <row r="547">
      <c r="C547" s="38"/>
      <c r="D547" s="38"/>
      <c r="E547" s="10"/>
      <c r="I547" s="10"/>
      <c r="J547" s="10"/>
    </row>
    <row r="548">
      <c r="C548" s="38"/>
      <c r="D548" s="38"/>
      <c r="E548" s="10"/>
      <c r="I548" s="10"/>
      <c r="J548" s="10"/>
    </row>
    <row r="549">
      <c r="C549" s="38"/>
      <c r="D549" s="38"/>
      <c r="E549" s="10"/>
      <c r="I549" s="10"/>
      <c r="J549" s="10"/>
    </row>
    <row r="550">
      <c r="C550" s="38"/>
      <c r="D550" s="38"/>
      <c r="E550" s="10"/>
      <c r="I550" s="10"/>
      <c r="J550" s="10"/>
    </row>
    <row r="551">
      <c r="C551" s="38"/>
      <c r="D551" s="38"/>
      <c r="E551" s="10"/>
      <c r="I551" s="10"/>
      <c r="J551" s="10"/>
    </row>
    <row r="552">
      <c r="C552" s="38"/>
      <c r="D552" s="38"/>
      <c r="E552" s="10"/>
      <c r="I552" s="10"/>
      <c r="J552" s="10"/>
    </row>
    <row r="553">
      <c r="C553" s="38"/>
      <c r="D553" s="38"/>
      <c r="E553" s="10"/>
      <c r="I553" s="10"/>
      <c r="J553" s="10"/>
    </row>
    <row r="554">
      <c r="C554" s="38"/>
      <c r="D554" s="38"/>
      <c r="E554" s="10"/>
      <c r="I554" s="10"/>
      <c r="J554" s="10"/>
    </row>
    <row r="555">
      <c r="C555" s="38"/>
      <c r="D555" s="38"/>
      <c r="E555" s="10"/>
      <c r="I555" s="10"/>
      <c r="J555" s="10"/>
    </row>
    <row r="556">
      <c r="C556" s="38"/>
      <c r="D556" s="38"/>
      <c r="E556" s="10"/>
      <c r="I556" s="10"/>
      <c r="J556" s="10"/>
    </row>
    <row r="557">
      <c r="C557" s="38"/>
      <c r="D557" s="38"/>
      <c r="E557" s="10"/>
      <c r="I557" s="10"/>
      <c r="J557" s="10"/>
    </row>
    <row r="558">
      <c r="C558" s="38"/>
      <c r="D558" s="38"/>
      <c r="E558" s="10"/>
      <c r="I558" s="10"/>
      <c r="J558" s="10"/>
    </row>
    <row r="559">
      <c r="C559" s="38"/>
      <c r="D559" s="38"/>
      <c r="E559" s="10"/>
      <c r="I559" s="10"/>
      <c r="J559" s="10"/>
    </row>
    <row r="560">
      <c r="C560" s="38"/>
      <c r="D560" s="38"/>
      <c r="E560" s="10"/>
      <c r="I560" s="10"/>
      <c r="J560" s="10"/>
    </row>
    <row r="561">
      <c r="C561" s="38"/>
      <c r="D561" s="38"/>
      <c r="E561" s="10"/>
      <c r="I561" s="10"/>
      <c r="J561" s="10"/>
    </row>
    <row r="562">
      <c r="C562" s="38"/>
      <c r="D562" s="38"/>
      <c r="E562" s="10"/>
      <c r="I562" s="10"/>
      <c r="J562" s="10"/>
    </row>
    <row r="563">
      <c r="C563" s="38"/>
      <c r="D563" s="38"/>
      <c r="E563" s="10"/>
      <c r="I563" s="10"/>
      <c r="J563" s="10"/>
    </row>
    <row r="564">
      <c r="C564" s="38"/>
      <c r="D564" s="38"/>
      <c r="E564" s="10"/>
      <c r="I564" s="10"/>
      <c r="J564" s="10"/>
    </row>
    <row r="565">
      <c r="C565" s="38"/>
      <c r="D565" s="38"/>
      <c r="E565" s="10"/>
      <c r="I565" s="10"/>
      <c r="J565" s="10"/>
    </row>
    <row r="566">
      <c r="C566" s="38"/>
      <c r="D566" s="38"/>
      <c r="E566" s="10"/>
      <c r="I566" s="10"/>
      <c r="J566" s="10"/>
    </row>
    <row r="567">
      <c r="C567" s="38"/>
      <c r="D567" s="38"/>
      <c r="E567" s="10"/>
      <c r="I567" s="10"/>
      <c r="J567" s="10"/>
    </row>
    <row r="568">
      <c r="C568" s="38"/>
      <c r="D568" s="38"/>
      <c r="E568" s="10"/>
      <c r="I568" s="10"/>
      <c r="J568" s="10"/>
    </row>
    <row r="569">
      <c r="C569" s="38"/>
      <c r="D569" s="38"/>
      <c r="E569" s="10"/>
      <c r="I569" s="10"/>
      <c r="J569" s="10"/>
    </row>
    <row r="570">
      <c r="C570" s="38"/>
      <c r="D570" s="38"/>
      <c r="E570" s="10"/>
      <c r="I570" s="10"/>
      <c r="J570" s="10"/>
    </row>
    <row r="571">
      <c r="C571" s="38"/>
      <c r="D571" s="38"/>
      <c r="E571" s="10"/>
      <c r="I571" s="10"/>
      <c r="J571" s="10"/>
    </row>
    <row r="572">
      <c r="C572" s="38"/>
      <c r="D572" s="38"/>
      <c r="E572" s="10"/>
      <c r="I572" s="10"/>
      <c r="J572" s="10"/>
    </row>
    <row r="573">
      <c r="C573" s="38"/>
      <c r="D573" s="38"/>
      <c r="E573" s="10"/>
      <c r="I573" s="10"/>
      <c r="J573" s="10"/>
    </row>
    <row r="574">
      <c r="C574" s="38"/>
      <c r="D574" s="38"/>
      <c r="E574" s="10"/>
      <c r="I574" s="10"/>
      <c r="J574" s="10"/>
    </row>
    <row r="575">
      <c r="C575" s="38"/>
      <c r="D575" s="38"/>
      <c r="E575" s="10"/>
      <c r="I575" s="10"/>
      <c r="J575" s="10"/>
    </row>
    <row r="576">
      <c r="C576" s="38"/>
      <c r="D576" s="38"/>
      <c r="E576" s="10"/>
      <c r="I576" s="10"/>
      <c r="J576" s="10"/>
    </row>
    <row r="577">
      <c r="C577" s="38"/>
      <c r="D577" s="38"/>
      <c r="E577" s="10"/>
      <c r="I577" s="10"/>
      <c r="J577" s="10"/>
    </row>
    <row r="578">
      <c r="C578" s="38"/>
      <c r="D578" s="38"/>
      <c r="E578" s="10"/>
      <c r="I578" s="10"/>
      <c r="J578" s="10"/>
    </row>
    <row r="579">
      <c r="C579" s="38"/>
      <c r="D579" s="38"/>
      <c r="E579" s="10"/>
      <c r="I579" s="10"/>
      <c r="J579" s="10"/>
    </row>
    <row r="580">
      <c r="C580" s="38"/>
      <c r="D580" s="38"/>
      <c r="E580" s="10"/>
      <c r="I580" s="10"/>
      <c r="J580" s="10"/>
    </row>
    <row r="581">
      <c r="C581" s="38"/>
      <c r="D581" s="38"/>
      <c r="E581" s="10"/>
      <c r="I581" s="10"/>
      <c r="J581" s="10"/>
    </row>
    <row r="582">
      <c r="C582" s="38"/>
      <c r="D582" s="38"/>
      <c r="E582" s="10"/>
      <c r="I582" s="10"/>
      <c r="J582" s="10"/>
    </row>
    <row r="583">
      <c r="C583" s="38"/>
      <c r="D583" s="38"/>
      <c r="E583" s="10"/>
      <c r="I583" s="10"/>
      <c r="J583" s="10"/>
    </row>
    <row r="584">
      <c r="C584" s="38"/>
      <c r="D584" s="38"/>
      <c r="E584" s="10"/>
      <c r="I584" s="10"/>
      <c r="J584" s="10"/>
    </row>
    <row r="585">
      <c r="C585" s="38"/>
      <c r="D585" s="38"/>
      <c r="E585" s="10"/>
      <c r="I585" s="10"/>
      <c r="J585" s="10"/>
    </row>
    <row r="586">
      <c r="C586" s="38"/>
      <c r="D586" s="38"/>
      <c r="E586" s="10"/>
      <c r="I586" s="10"/>
      <c r="J586" s="10"/>
    </row>
    <row r="587">
      <c r="C587" s="38"/>
      <c r="D587" s="38"/>
      <c r="E587" s="10"/>
      <c r="I587" s="10"/>
      <c r="J587" s="10"/>
    </row>
    <row r="588">
      <c r="C588" s="38"/>
      <c r="D588" s="38"/>
      <c r="E588" s="10"/>
      <c r="I588" s="10"/>
      <c r="J588" s="10"/>
    </row>
    <row r="589">
      <c r="C589" s="38"/>
      <c r="D589" s="38"/>
      <c r="E589" s="10"/>
      <c r="I589" s="10"/>
      <c r="J589" s="10"/>
    </row>
    <row r="590">
      <c r="C590" s="38"/>
      <c r="D590" s="38"/>
      <c r="E590" s="10"/>
      <c r="I590" s="10"/>
      <c r="J590" s="10"/>
    </row>
    <row r="591">
      <c r="C591" s="38"/>
      <c r="D591" s="38"/>
      <c r="E591" s="10"/>
      <c r="I591" s="10"/>
      <c r="J591" s="10"/>
    </row>
    <row r="592">
      <c r="C592" s="38"/>
      <c r="D592" s="38"/>
      <c r="E592" s="10"/>
      <c r="I592" s="10"/>
      <c r="J592" s="10"/>
    </row>
    <row r="593">
      <c r="C593" s="38"/>
      <c r="D593" s="38"/>
      <c r="E593" s="10"/>
      <c r="I593" s="10"/>
      <c r="J593" s="10"/>
    </row>
    <row r="594">
      <c r="C594" s="38"/>
      <c r="D594" s="38"/>
      <c r="E594" s="10"/>
      <c r="I594" s="10"/>
      <c r="J594" s="10"/>
    </row>
    <row r="595">
      <c r="C595" s="38"/>
      <c r="D595" s="38"/>
      <c r="E595" s="10"/>
      <c r="I595" s="10"/>
      <c r="J595" s="10"/>
    </row>
    <row r="596">
      <c r="C596" s="38"/>
      <c r="D596" s="38"/>
      <c r="E596" s="10"/>
      <c r="I596" s="10"/>
      <c r="J596" s="10"/>
    </row>
    <row r="597">
      <c r="C597" s="38"/>
      <c r="D597" s="38"/>
      <c r="E597" s="10"/>
      <c r="I597" s="10"/>
      <c r="J597" s="10"/>
    </row>
    <row r="598">
      <c r="C598" s="38"/>
      <c r="D598" s="38"/>
      <c r="E598" s="10"/>
      <c r="I598" s="10"/>
      <c r="J598" s="10"/>
    </row>
    <row r="599">
      <c r="C599" s="38"/>
      <c r="D599" s="38"/>
      <c r="E599" s="10"/>
      <c r="I599" s="10"/>
      <c r="J599" s="10"/>
    </row>
    <row r="600">
      <c r="C600" s="38"/>
      <c r="D600" s="38"/>
      <c r="E600" s="10"/>
      <c r="I600" s="10"/>
      <c r="J600" s="10"/>
    </row>
    <row r="601">
      <c r="C601" s="38"/>
      <c r="D601" s="38"/>
      <c r="E601" s="10"/>
      <c r="I601" s="10"/>
      <c r="J601" s="10"/>
    </row>
    <row r="602">
      <c r="C602" s="38"/>
      <c r="D602" s="38"/>
      <c r="E602" s="10"/>
      <c r="I602" s="10"/>
      <c r="J602" s="10"/>
    </row>
    <row r="603">
      <c r="C603" s="38"/>
      <c r="D603" s="38"/>
      <c r="E603" s="10"/>
      <c r="I603" s="10"/>
      <c r="J603" s="10"/>
    </row>
    <row r="604">
      <c r="C604" s="38"/>
      <c r="D604" s="38"/>
      <c r="E604" s="10"/>
      <c r="I604" s="10"/>
      <c r="J604" s="10"/>
    </row>
    <row r="605">
      <c r="C605" s="38"/>
      <c r="D605" s="38"/>
      <c r="E605" s="10"/>
      <c r="I605" s="10"/>
      <c r="J605" s="10"/>
    </row>
    <row r="606">
      <c r="C606" s="38"/>
      <c r="D606" s="38"/>
      <c r="E606" s="10"/>
      <c r="I606" s="10"/>
      <c r="J606" s="10"/>
    </row>
    <row r="607">
      <c r="C607" s="38"/>
      <c r="D607" s="38"/>
      <c r="E607" s="10"/>
      <c r="I607" s="10"/>
      <c r="J607" s="10"/>
    </row>
    <row r="608">
      <c r="C608" s="38"/>
      <c r="D608" s="38"/>
      <c r="E608" s="10"/>
      <c r="I608" s="10"/>
      <c r="J608" s="10"/>
    </row>
    <row r="609">
      <c r="C609" s="38"/>
      <c r="D609" s="38"/>
      <c r="E609" s="10"/>
      <c r="I609" s="10"/>
      <c r="J609" s="10"/>
    </row>
    <row r="610">
      <c r="C610" s="38"/>
      <c r="D610" s="38"/>
      <c r="E610" s="10"/>
      <c r="I610" s="10"/>
      <c r="J610" s="10"/>
    </row>
    <row r="611">
      <c r="C611" s="38"/>
      <c r="D611" s="38"/>
      <c r="E611" s="10"/>
      <c r="I611" s="10"/>
      <c r="J611" s="10"/>
    </row>
    <row r="612">
      <c r="C612" s="38"/>
      <c r="D612" s="38"/>
      <c r="E612" s="10"/>
      <c r="I612" s="10"/>
      <c r="J612" s="10"/>
    </row>
    <row r="613">
      <c r="C613" s="38"/>
      <c r="D613" s="38"/>
      <c r="E613" s="10"/>
      <c r="I613" s="10"/>
      <c r="J613" s="10"/>
    </row>
    <row r="614">
      <c r="C614" s="38"/>
      <c r="D614" s="38"/>
      <c r="E614" s="10"/>
      <c r="I614" s="10"/>
      <c r="J614" s="10"/>
    </row>
    <row r="615">
      <c r="C615" s="38"/>
      <c r="D615" s="38"/>
      <c r="E615" s="10"/>
      <c r="I615" s="10"/>
      <c r="J615" s="10"/>
    </row>
    <row r="616">
      <c r="C616" s="38"/>
      <c r="D616" s="38"/>
      <c r="E616" s="10"/>
      <c r="I616" s="10"/>
      <c r="J616" s="10"/>
    </row>
    <row r="617">
      <c r="C617" s="38"/>
      <c r="D617" s="38"/>
      <c r="E617" s="10"/>
      <c r="I617" s="10"/>
      <c r="J617" s="10"/>
    </row>
    <row r="618">
      <c r="C618" s="38"/>
      <c r="D618" s="38"/>
      <c r="E618" s="10"/>
      <c r="I618" s="10"/>
      <c r="J618" s="10"/>
    </row>
    <row r="619">
      <c r="C619" s="38"/>
      <c r="D619" s="38"/>
      <c r="E619" s="10"/>
      <c r="I619" s="10"/>
      <c r="J619" s="10"/>
    </row>
    <row r="620">
      <c r="C620" s="38"/>
      <c r="D620" s="38"/>
      <c r="E620" s="10"/>
      <c r="I620" s="10"/>
      <c r="J620" s="10"/>
    </row>
    <row r="621">
      <c r="C621" s="38"/>
      <c r="D621" s="38"/>
      <c r="E621" s="10"/>
      <c r="I621" s="10"/>
      <c r="J621" s="10"/>
    </row>
    <row r="622">
      <c r="C622" s="38"/>
      <c r="D622" s="38"/>
      <c r="E622" s="10"/>
      <c r="I622" s="10"/>
      <c r="J622" s="10"/>
    </row>
    <row r="623">
      <c r="C623" s="38"/>
      <c r="D623" s="38"/>
      <c r="E623" s="10"/>
      <c r="I623" s="10"/>
      <c r="J623" s="10"/>
    </row>
    <row r="624">
      <c r="C624" s="38"/>
      <c r="D624" s="38"/>
      <c r="E624" s="10"/>
      <c r="I624" s="10"/>
      <c r="J624" s="10"/>
    </row>
    <row r="625">
      <c r="C625" s="38"/>
      <c r="D625" s="38"/>
      <c r="E625" s="10"/>
      <c r="I625" s="10"/>
      <c r="J625" s="10"/>
    </row>
    <row r="626">
      <c r="C626" s="38"/>
      <c r="D626" s="38"/>
      <c r="E626" s="10"/>
      <c r="I626" s="10"/>
      <c r="J626" s="10"/>
    </row>
    <row r="627">
      <c r="C627" s="38"/>
      <c r="D627" s="38"/>
      <c r="E627" s="10"/>
      <c r="I627" s="10"/>
      <c r="J627" s="10"/>
    </row>
    <row r="628">
      <c r="C628" s="38"/>
      <c r="D628" s="38"/>
      <c r="E628" s="10"/>
      <c r="I628" s="10"/>
      <c r="J628" s="10"/>
    </row>
    <row r="629">
      <c r="C629" s="38"/>
      <c r="D629" s="38"/>
      <c r="E629" s="10"/>
      <c r="I629" s="10"/>
      <c r="J629" s="10"/>
    </row>
    <row r="630">
      <c r="C630" s="38"/>
      <c r="D630" s="38"/>
      <c r="E630" s="10"/>
      <c r="I630" s="10"/>
      <c r="J630" s="10"/>
    </row>
    <row r="631">
      <c r="C631" s="38"/>
      <c r="D631" s="38"/>
      <c r="E631" s="10"/>
      <c r="I631" s="10"/>
      <c r="J631" s="10"/>
    </row>
    <row r="632">
      <c r="C632" s="38"/>
      <c r="D632" s="38"/>
      <c r="E632" s="10"/>
      <c r="I632" s="10"/>
      <c r="J632" s="10"/>
    </row>
    <row r="633">
      <c r="C633" s="38"/>
      <c r="D633" s="38"/>
      <c r="E633" s="10"/>
      <c r="I633" s="10"/>
      <c r="J633" s="10"/>
    </row>
    <row r="634">
      <c r="C634" s="38"/>
      <c r="D634" s="38"/>
      <c r="E634" s="10"/>
      <c r="I634" s="10"/>
      <c r="J634" s="10"/>
    </row>
    <row r="635">
      <c r="C635" s="38"/>
      <c r="D635" s="38"/>
      <c r="E635" s="10"/>
      <c r="I635" s="10"/>
      <c r="J635" s="10"/>
    </row>
    <row r="636">
      <c r="C636" s="38"/>
      <c r="D636" s="38"/>
      <c r="E636" s="10"/>
      <c r="I636" s="10"/>
      <c r="J636" s="10"/>
    </row>
    <row r="637">
      <c r="C637" s="38"/>
      <c r="D637" s="38"/>
      <c r="E637" s="10"/>
      <c r="I637" s="10"/>
      <c r="J637" s="10"/>
    </row>
    <row r="638">
      <c r="C638" s="38"/>
      <c r="D638" s="38"/>
      <c r="E638" s="10"/>
      <c r="I638" s="10"/>
      <c r="J638" s="10"/>
    </row>
    <row r="639">
      <c r="C639" s="38"/>
      <c r="D639" s="38"/>
      <c r="E639" s="10"/>
      <c r="I639" s="10"/>
      <c r="J639" s="10"/>
    </row>
    <row r="640">
      <c r="C640" s="38"/>
      <c r="D640" s="38"/>
      <c r="E640" s="10"/>
      <c r="I640" s="10"/>
      <c r="J640" s="10"/>
    </row>
    <row r="641">
      <c r="C641" s="38"/>
      <c r="D641" s="38"/>
      <c r="E641" s="10"/>
      <c r="I641" s="10"/>
      <c r="J641" s="10"/>
    </row>
    <row r="642">
      <c r="C642" s="38"/>
      <c r="D642" s="38"/>
      <c r="E642" s="10"/>
      <c r="I642" s="10"/>
      <c r="J642" s="10"/>
    </row>
    <row r="643">
      <c r="C643" s="38"/>
      <c r="D643" s="38"/>
      <c r="E643" s="10"/>
      <c r="I643" s="10"/>
      <c r="J643" s="10"/>
    </row>
    <row r="644">
      <c r="C644" s="38"/>
      <c r="D644" s="38"/>
      <c r="E644" s="10"/>
      <c r="I644" s="10"/>
      <c r="J644" s="10"/>
    </row>
    <row r="645">
      <c r="C645" s="38"/>
      <c r="D645" s="38"/>
      <c r="E645" s="10"/>
      <c r="I645" s="10"/>
      <c r="J645" s="10"/>
    </row>
    <row r="646">
      <c r="C646" s="38"/>
      <c r="D646" s="38"/>
      <c r="E646" s="10"/>
      <c r="I646" s="10"/>
      <c r="J646" s="10"/>
    </row>
    <row r="647">
      <c r="C647" s="38"/>
      <c r="D647" s="38"/>
      <c r="E647" s="10"/>
      <c r="I647" s="10"/>
      <c r="J647" s="10"/>
    </row>
    <row r="648">
      <c r="C648" s="38"/>
      <c r="D648" s="38"/>
      <c r="E648" s="10"/>
      <c r="I648" s="10"/>
      <c r="J648" s="10"/>
    </row>
    <row r="649">
      <c r="C649" s="38"/>
      <c r="D649" s="38"/>
      <c r="E649" s="10"/>
      <c r="I649" s="10"/>
      <c r="J649" s="10"/>
    </row>
    <row r="650">
      <c r="C650" s="38"/>
      <c r="D650" s="38"/>
      <c r="E650" s="10"/>
      <c r="I650" s="10"/>
      <c r="J650" s="10"/>
    </row>
    <row r="651">
      <c r="C651" s="38"/>
      <c r="D651" s="38"/>
      <c r="E651" s="10"/>
      <c r="I651" s="10"/>
      <c r="J651" s="10"/>
    </row>
    <row r="652">
      <c r="C652" s="38"/>
      <c r="D652" s="38"/>
      <c r="E652" s="10"/>
      <c r="I652" s="10"/>
      <c r="J652" s="10"/>
    </row>
    <row r="653">
      <c r="C653" s="38"/>
      <c r="D653" s="38"/>
      <c r="E653" s="10"/>
      <c r="I653" s="10"/>
      <c r="J653" s="10"/>
    </row>
    <row r="654">
      <c r="C654" s="38"/>
      <c r="D654" s="38"/>
      <c r="E654" s="10"/>
      <c r="I654" s="10"/>
      <c r="J654" s="10"/>
    </row>
    <row r="655">
      <c r="C655" s="38"/>
      <c r="D655" s="38"/>
      <c r="E655" s="10"/>
      <c r="I655" s="10"/>
      <c r="J655" s="10"/>
    </row>
    <row r="656">
      <c r="C656" s="38"/>
      <c r="D656" s="38"/>
      <c r="E656" s="10"/>
      <c r="I656" s="10"/>
      <c r="J656" s="10"/>
    </row>
    <row r="657">
      <c r="C657" s="38"/>
      <c r="D657" s="38"/>
      <c r="E657" s="10"/>
      <c r="I657" s="10"/>
      <c r="J657" s="10"/>
    </row>
    <row r="658">
      <c r="C658" s="38"/>
      <c r="D658" s="38"/>
      <c r="E658" s="10"/>
      <c r="I658" s="10"/>
      <c r="J658" s="10"/>
    </row>
    <row r="659">
      <c r="C659" s="38"/>
      <c r="D659" s="38"/>
      <c r="E659" s="10"/>
      <c r="I659" s="10"/>
      <c r="J659" s="10"/>
    </row>
    <row r="660">
      <c r="C660" s="38"/>
      <c r="D660" s="38"/>
      <c r="E660" s="10"/>
      <c r="I660" s="10"/>
      <c r="J660" s="10"/>
    </row>
    <row r="661">
      <c r="C661" s="38"/>
      <c r="D661" s="38"/>
      <c r="E661" s="10"/>
      <c r="I661" s="10"/>
      <c r="J661" s="10"/>
    </row>
    <row r="662">
      <c r="C662" s="38"/>
      <c r="D662" s="38"/>
      <c r="E662" s="10"/>
      <c r="I662" s="10"/>
      <c r="J662" s="10"/>
    </row>
    <row r="663">
      <c r="C663" s="38"/>
      <c r="D663" s="38"/>
      <c r="E663" s="10"/>
      <c r="I663" s="10"/>
      <c r="J663" s="10"/>
    </row>
    <row r="664">
      <c r="C664" s="38"/>
      <c r="D664" s="38"/>
      <c r="E664" s="10"/>
      <c r="I664" s="10"/>
      <c r="J664" s="10"/>
    </row>
    <row r="665">
      <c r="C665" s="38"/>
      <c r="D665" s="38"/>
      <c r="E665" s="10"/>
      <c r="I665" s="10"/>
      <c r="J665" s="10"/>
    </row>
    <row r="666">
      <c r="C666" s="38"/>
      <c r="D666" s="38"/>
      <c r="E666" s="10"/>
      <c r="I666" s="10"/>
      <c r="J666" s="10"/>
    </row>
    <row r="667">
      <c r="C667" s="38"/>
      <c r="D667" s="38"/>
      <c r="E667" s="10"/>
      <c r="I667" s="10"/>
      <c r="J667" s="10"/>
    </row>
    <row r="668">
      <c r="C668" s="38"/>
      <c r="D668" s="38"/>
      <c r="E668" s="10"/>
      <c r="I668" s="10"/>
      <c r="J668" s="10"/>
    </row>
    <row r="669">
      <c r="C669" s="38"/>
      <c r="D669" s="38"/>
      <c r="E669" s="10"/>
      <c r="I669" s="10"/>
      <c r="J669" s="10"/>
    </row>
    <row r="670">
      <c r="C670" s="38"/>
      <c r="D670" s="38"/>
      <c r="E670" s="10"/>
      <c r="I670" s="10"/>
      <c r="J670" s="10"/>
    </row>
    <row r="671">
      <c r="C671" s="38"/>
      <c r="D671" s="38"/>
      <c r="E671" s="10"/>
      <c r="I671" s="10"/>
      <c r="J671" s="10"/>
    </row>
    <row r="672">
      <c r="C672" s="38"/>
      <c r="D672" s="38"/>
      <c r="E672" s="10"/>
      <c r="I672" s="10"/>
      <c r="J672" s="10"/>
    </row>
    <row r="673">
      <c r="C673" s="38"/>
      <c r="D673" s="38"/>
      <c r="E673" s="10"/>
      <c r="I673" s="10"/>
      <c r="J673" s="10"/>
    </row>
    <row r="674">
      <c r="C674" s="38"/>
      <c r="D674" s="38"/>
      <c r="E674" s="10"/>
      <c r="I674" s="10"/>
      <c r="J674" s="10"/>
    </row>
    <row r="675">
      <c r="C675" s="38"/>
      <c r="D675" s="38"/>
      <c r="E675" s="10"/>
      <c r="I675" s="10"/>
      <c r="J675" s="10"/>
    </row>
    <row r="676">
      <c r="C676" s="38"/>
      <c r="D676" s="38"/>
      <c r="E676" s="10"/>
      <c r="I676" s="10"/>
      <c r="J676" s="10"/>
    </row>
    <row r="677">
      <c r="C677" s="38"/>
      <c r="D677" s="38"/>
      <c r="E677" s="10"/>
      <c r="I677" s="10"/>
      <c r="J677" s="10"/>
    </row>
    <row r="678">
      <c r="C678" s="38"/>
      <c r="D678" s="38"/>
      <c r="E678" s="10"/>
      <c r="I678" s="10"/>
      <c r="J678" s="10"/>
    </row>
    <row r="679">
      <c r="C679" s="38"/>
      <c r="D679" s="38"/>
      <c r="E679" s="10"/>
      <c r="I679" s="10"/>
      <c r="J679" s="10"/>
    </row>
    <row r="680">
      <c r="C680" s="38"/>
      <c r="D680" s="38"/>
      <c r="E680" s="10"/>
      <c r="I680" s="10"/>
      <c r="J680" s="10"/>
    </row>
    <row r="681">
      <c r="C681" s="38"/>
      <c r="D681" s="38"/>
      <c r="E681" s="10"/>
      <c r="I681" s="10"/>
      <c r="J681" s="10"/>
    </row>
    <row r="682">
      <c r="C682" s="38"/>
      <c r="D682" s="38"/>
      <c r="E682" s="10"/>
      <c r="I682" s="10"/>
      <c r="J682" s="10"/>
    </row>
    <row r="683">
      <c r="C683" s="38"/>
      <c r="D683" s="38"/>
      <c r="E683" s="10"/>
      <c r="I683" s="10"/>
      <c r="J683" s="10"/>
    </row>
    <row r="684">
      <c r="C684" s="38"/>
      <c r="D684" s="38"/>
      <c r="E684" s="10"/>
      <c r="I684" s="10"/>
      <c r="J684" s="10"/>
    </row>
    <row r="685">
      <c r="C685" s="38"/>
      <c r="D685" s="38"/>
      <c r="E685" s="10"/>
      <c r="I685" s="10"/>
      <c r="J685" s="10"/>
    </row>
    <row r="686">
      <c r="C686" s="38"/>
      <c r="D686" s="38"/>
      <c r="E686" s="10"/>
      <c r="I686" s="10"/>
      <c r="J686" s="10"/>
    </row>
    <row r="687">
      <c r="C687" s="38"/>
      <c r="D687" s="38"/>
      <c r="E687" s="10"/>
      <c r="I687" s="10"/>
      <c r="J687" s="10"/>
    </row>
    <row r="688">
      <c r="C688" s="38"/>
      <c r="D688" s="38"/>
      <c r="E688" s="10"/>
      <c r="I688" s="10"/>
      <c r="J688" s="10"/>
    </row>
    <row r="689">
      <c r="C689" s="38"/>
      <c r="D689" s="38"/>
      <c r="E689" s="10"/>
      <c r="I689" s="10"/>
      <c r="J689" s="10"/>
    </row>
    <row r="690">
      <c r="C690" s="38"/>
      <c r="D690" s="38"/>
      <c r="E690" s="10"/>
      <c r="I690" s="10"/>
      <c r="J690" s="10"/>
    </row>
    <row r="691">
      <c r="C691" s="38"/>
      <c r="D691" s="38"/>
      <c r="E691" s="10"/>
      <c r="I691" s="10"/>
      <c r="J691" s="10"/>
    </row>
    <row r="692">
      <c r="C692" s="38"/>
      <c r="D692" s="38"/>
      <c r="E692" s="10"/>
      <c r="I692" s="10"/>
      <c r="J692" s="10"/>
    </row>
    <row r="693">
      <c r="C693" s="38"/>
      <c r="D693" s="38"/>
      <c r="E693" s="10"/>
      <c r="I693" s="10"/>
      <c r="J693" s="10"/>
    </row>
    <row r="694">
      <c r="C694" s="38"/>
      <c r="D694" s="38"/>
      <c r="E694" s="10"/>
      <c r="I694" s="10"/>
      <c r="J694" s="10"/>
    </row>
    <row r="695">
      <c r="C695" s="38"/>
      <c r="D695" s="38"/>
      <c r="E695" s="10"/>
      <c r="I695" s="10"/>
      <c r="J695" s="10"/>
    </row>
    <row r="696">
      <c r="C696" s="38"/>
      <c r="D696" s="38"/>
      <c r="E696" s="10"/>
      <c r="I696" s="10"/>
      <c r="J696" s="10"/>
    </row>
    <row r="697">
      <c r="C697" s="38"/>
      <c r="D697" s="38"/>
      <c r="E697" s="10"/>
      <c r="I697" s="10"/>
      <c r="J697" s="10"/>
    </row>
    <row r="698">
      <c r="C698" s="38"/>
      <c r="D698" s="38"/>
      <c r="E698" s="10"/>
      <c r="I698" s="10"/>
      <c r="J698" s="10"/>
    </row>
    <row r="699">
      <c r="C699" s="38"/>
      <c r="D699" s="38"/>
      <c r="E699" s="10"/>
      <c r="I699" s="10"/>
      <c r="J699" s="10"/>
    </row>
    <row r="700">
      <c r="C700" s="38"/>
      <c r="D700" s="38"/>
      <c r="E700" s="10"/>
      <c r="I700" s="10"/>
      <c r="J700" s="10"/>
    </row>
    <row r="701">
      <c r="C701" s="38"/>
      <c r="D701" s="38"/>
      <c r="E701" s="10"/>
      <c r="I701" s="10"/>
      <c r="J701" s="10"/>
    </row>
    <row r="702">
      <c r="C702" s="38"/>
      <c r="D702" s="38"/>
      <c r="E702" s="10"/>
      <c r="I702" s="10"/>
      <c r="J702" s="10"/>
    </row>
    <row r="703">
      <c r="C703" s="38"/>
      <c r="D703" s="38"/>
      <c r="E703" s="10"/>
      <c r="I703" s="10"/>
      <c r="J703" s="10"/>
    </row>
    <row r="704">
      <c r="C704" s="38"/>
      <c r="D704" s="38"/>
      <c r="E704" s="10"/>
      <c r="I704" s="10"/>
      <c r="J704" s="10"/>
    </row>
    <row r="705">
      <c r="C705" s="38"/>
      <c r="D705" s="38"/>
      <c r="E705" s="10"/>
      <c r="I705" s="10"/>
      <c r="J705" s="10"/>
    </row>
    <row r="706">
      <c r="C706" s="38"/>
      <c r="D706" s="38"/>
      <c r="E706" s="10"/>
      <c r="I706" s="10"/>
      <c r="J706" s="10"/>
    </row>
    <row r="707">
      <c r="C707" s="38"/>
      <c r="D707" s="38"/>
      <c r="E707" s="10"/>
      <c r="I707" s="10"/>
      <c r="J707" s="10"/>
    </row>
    <row r="708">
      <c r="C708" s="38"/>
      <c r="D708" s="38"/>
      <c r="E708" s="10"/>
      <c r="I708" s="10"/>
      <c r="J708" s="10"/>
    </row>
    <row r="709">
      <c r="C709" s="38"/>
      <c r="D709" s="38"/>
      <c r="E709" s="10"/>
      <c r="I709" s="10"/>
      <c r="J709" s="10"/>
    </row>
    <row r="710">
      <c r="C710" s="38"/>
      <c r="D710" s="38"/>
      <c r="E710" s="10"/>
      <c r="I710" s="10"/>
      <c r="J710" s="10"/>
    </row>
    <row r="711">
      <c r="C711" s="38"/>
      <c r="D711" s="38"/>
      <c r="E711" s="10"/>
      <c r="I711" s="10"/>
      <c r="J711" s="10"/>
    </row>
    <row r="712">
      <c r="C712" s="38"/>
      <c r="D712" s="38"/>
      <c r="E712" s="10"/>
      <c r="I712" s="10"/>
      <c r="J712" s="10"/>
    </row>
    <row r="713">
      <c r="C713" s="38"/>
      <c r="D713" s="38"/>
      <c r="E713" s="10"/>
      <c r="I713" s="10"/>
      <c r="J713" s="10"/>
    </row>
    <row r="714">
      <c r="C714" s="38"/>
      <c r="D714" s="38"/>
      <c r="E714" s="10"/>
      <c r="I714" s="10"/>
      <c r="J714" s="10"/>
    </row>
    <row r="715">
      <c r="C715" s="38"/>
      <c r="D715" s="38"/>
      <c r="E715" s="10"/>
      <c r="I715" s="10"/>
      <c r="J715" s="10"/>
    </row>
    <row r="716">
      <c r="C716" s="38"/>
      <c r="D716" s="38"/>
      <c r="E716" s="10"/>
      <c r="I716" s="10"/>
      <c r="J716" s="10"/>
    </row>
    <row r="717">
      <c r="C717" s="38"/>
      <c r="D717" s="38"/>
      <c r="E717" s="10"/>
      <c r="I717" s="10"/>
      <c r="J717" s="10"/>
    </row>
    <row r="718">
      <c r="C718" s="38"/>
      <c r="D718" s="38"/>
      <c r="E718" s="10"/>
      <c r="I718" s="10"/>
      <c r="J718" s="10"/>
    </row>
    <row r="719">
      <c r="C719" s="38"/>
      <c r="D719" s="38"/>
      <c r="E719" s="10"/>
      <c r="I719" s="10"/>
      <c r="J719" s="10"/>
    </row>
    <row r="720">
      <c r="C720" s="38"/>
      <c r="D720" s="38"/>
      <c r="E720" s="10"/>
      <c r="I720" s="10"/>
      <c r="J720" s="10"/>
    </row>
    <row r="721">
      <c r="C721" s="38"/>
      <c r="D721" s="38"/>
      <c r="E721" s="10"/>
      <c r="I721" s="10"/>
      <c r="J721" s="10"/>
    </row>
    <row r="722">
      <c r="C722" s="38"/>
      <c r="D722" s="38"/>
      <c r="E722" s="10"/>
      <c r="I722" s="10"/>
      <c r="J722" s="10"/>
    </row>
    <row r="723">
      <c r="C723" s="38"/>
      <c r="D723" s="38"/>
      <c r="E723" s="10"/>
      <c r="I723" s="10"/>
      <c r="J723" s="10"/>
    </row>
    <row r="724">
      <c r="C724" s="38"/>
      <c r="D724" s="38"/>
      <c r="E724" s="10"/>
      <c r="I724" s="10"/>
      <c r="J724" s="10"/>
    </row>
    <row r="725">
      <c r="C725" s="38"/>
      <c r="D725" s="38"/>
      <c r="E725" s="10"/>
      <c r="I725" s="10"/>
      <c r="J725" s="10"/>
    </row>
    <row r="726">
      <c r="C726" s="38"/>
      <c r="D726" s="38"/>
      <c r="E726" s="10"/>
      <c r="I726" s="10"/>
      <c r="J726" s="10"/>
    </row>
    <row r="727">
      <c r="C727" s="38"/>
      <c r="D727" s="38"/>
      <c r="E727" s="10"/>
      <c r="I727" s="10"/>
      <c r="J727" s="10"/>
    </row>
    <row r="728">
      <c r="C728" s="38"/>
      <c r="D728" s="38"/>
      <c r="E728" s="10"/>
      <c r="I728" s="10"/>
      <c r="J728" s="10"/>
    </row>
    <row r="729">
      <c r="C729" s="38"/>
      <c r="D729" s="38"/>
      <c r="E729" s="10"/>
      <c r="I729" s="10"/>
      <c r="J729" s="10"/>
    </row>
    <row r="730">
      <c r="C730" s="38"/>
      <c r="D730" s="38"/>
      <c r="E730" s="10"/>
      <c r="I730" s="10"/>
      <c r="J730" s="10"/>
    </row>
    <row r="731">
      <c r="C731" s="38"/>
      <c r="D731" s="38"/>
      <c r="E731" s="10"/>
      <c r="I731" s="10"/>
      <c r="J731" s="10"/>
    </row>
    <row r="732">
      <c r="C732" s="38"/>
      <c r="D732" s="38"/>
      <c r="E732" s="10"/>
      <c r="I732" s="10"/>
      <c r="J732" s="10"/>
    </row>
    <row r="733">
      <c r="C733" s="38"/>
      <c r="D733" s="38"/>
      <c r="E733" s="10"/>
      <c r="I733" s="10"/>
      <c r="J733" s="10"/>
    </row>
    <row r="734">
      <c r="C734" s="38"/>
      <c r="D734" s="38"/>
      <c r="E734" s="10"/>
      <c r="I734" s="10"/>
      <c r="J734" s="10"/>
    </row>
    <row r="735">
      <c r="C735" s="38"/>
      <c r="D735" s="38"/>
      <c r="E735" s="10"/>
      <c r="I735" s="10"/>
      <c r="J735" s="10"/>
    </row>
    <row r="736">
      <c r="C736" s="38"/>
      <c r="D736" s="38"/>
      <c r="E736" s="10"/>
      <c r="I736" s="10"/>
      <c r="J736" s="10"/>
    </row>
    <row r="737">
      <c r="C737" s="38"/>
      <c r="D737" s="38"/>
      <c r="E737" s="10"/>
      <c r="I737" s="10"/>
      <c r="J737" s="10"/>
    </row>
    <row r="738">
      <c r="C738" s="38"/>
      <c r="D738" s="38"/>
      <c r="E738" s="10"/>
      <c r="I738" s="10"/>
      <c r="J738" s="10"/>
    </row>
    <row r="739">
      <c r="C739" s="38"/>
      <c r="D739" s="38"/>
      <c r="E739" s="10"/>
      <c r="I739" s="10"/>
      <c r="J739" s="10"/>
    </row>
    <row r="740">
      <c r="C740" s="38"/>
      <c r="D740" s="38"/>
      <c r="E740" s="10"/>
      <c r="I740" s="10"/>
      <c r="J740" s="10"/>
    </row>
    <row r="741">
      <c r="C741" s="38"/>
      <c r="D741" s="38"/>
      <c r="E741" s="10"/>
      <c r="I741" s="10"/>
      <c r="J741" s="10"/>
    </row>
    <row r="742">
      <c r="C742" s="38"/>
      <c r="D742" s="38"/>
      <c r="E742" s="10"/>
      <c r="I742" s="10"/>
      <c r="J742" s="10"/>
    </row>
    <row r="743">
      <c r="C743" s="38"/>
      <c r="D743" s="38"/>
      <c r="E743" s="10"/>
      <c r="I743" s="10"/>
      <c r="J743" s="10"/>
    </row>
    <row r="744">
      <c r="C744" s="38"/>
      <c r="D744" s="38"/>
      <c r="E744" s="10"/>
      <c r="I744" s="10"/>
      <c r="J744" s="10"/>
    </row>
    <row r="745">
      <c r="C745" s="38"/>
      <c r="D745" s="38"/>
      <c r="E745" s="10"/>
      <c r="I745" s="10"/>
      <c r="J745" s="10"/>
    </row>
    <row r="746">
      <c r="C746" s="38"/>
      <c r="D746" s="38"/>
      <c r="E746" s="10"/>
      <c r="I746" s="10"/>
      <c r="J746" s="10"/>
    </row>
    <row r="747">
      <c r="C747" s="38"/>
      <c r="D747" s="38"/>
      <c r="E747" s="10"/>
      <c r="I747" s="10"/>
      <c r="J747" s="10"/>
    </row>
    <row r="748">
      <c r="C748" s="38"/>
      <c r="D748" s="38"/>
      <c r="E748" s="10"/>
      <c r="I748" s="10"/>
      <c r="J748" s="10"/>
    </row>
    <row r="749">
      <c r="C749" s="38"/>
      <c r="D749" s="38"/>
      <c r="E749" s="10"/>
      <c r="I749" s="10"/>
      <c r="J749" s="10"/>
    </row>
    <row r="750">
      <c r="C750" s="38"/>
      <c r="D750" s="38"/>
      <c r="E750" s="10"/>
      <c r="I750" s="10"/>
      <c r="J750" s="10"/>
    </row>
    <row r="751">
      <c r="C751" s="38"/>
      <c r="D751" s="38"/>
      <c r="E751" s="10"/>
      <c r="I751" s="10"/>
      <c r="J751" s="10"/>
    </row>
    <row r="752">
      <c r="C752" s="38"/>
      <c r="D752" s="38"/>
      <c r="E752" s="10"/>
      <c r="I752" s="10"/>
      <c r="J752" s="10"/>
    </row>
    <row r="753">
      <c r="C753" s="38"/>
      <c r="D753" s="38"/>
      <c r="E753" s="10"/>
      <c r="I753" s="10"/>
      <c r="J753" s="10"/>
    </row>
    <row r="754">
      <c r="C754" s="38"/>
      <c r="D754" s="38"/>
      <c r="E754" s="10"/>
      <c r="I754" s="10"/>
      <c r="J754" s="10"/>
    </row>
    <row r="755">
      <c r="C755" s="38"/>
      <c r="D755" s="38"/>
      <c r="E755" s="10"/>
      <c r="I755" s="10"/>
      <c r="J755" s="10"/>
    </row>
    <row r="756">
      <c r="C756" s="38"/>
      <c r="D756" s="38"/>
      <c r="E756" s="10"/>
      <c r="I756" s="10"/>
      <c r="J756" s="10"/>
    </row>
    <row r="757">
      <c r="C757" s="38"/>
      <c r="D757" s="38"/>
      <c r="E757" s="10"/>
      <c r="I757" s="10"/>
      <c r="J757" s="10"/>
    </row>
    <row r="758">
      <c r="C758" s="38"/>
      <c r="D758" s="38"/>
      <c r="E758" s="10"/>
      <c r="I758" s="10"/>
      <c r="J758" s="10"/>
    </row>
    <row r="759">
      <c r="C759" s="38"/>
      <c r="D759" s="38"/>
      <c r="E759" s="10"/>
      <c r="I759" s="10"/>
      <c r="J759" s="10"/>
    </row>
    <row r="760">
      <c r="C760" s="38"/>
      <c r="D760" s="38"/>
      <c r="E760" s="10"/>
      <c r="I760" s="10"/>
      <c r="J760" s="10"/>
    </row>
    <row r="761">
      <c r="C761" s="38"/>
      <c r="D761" s="38"/>
      <c r="E761" s="10"/>
      <c r="I761" s="10"/>
      <c r="J761" s="10"/>
    </row>
    <row r="762">
      <c r="C762" s="38"/>
      <c r="D762" s="38"/>
      <c r="E762" s="10"/>
      <c r="I762" s="10"/>
      <c r="J762" s="10"/>
    </row>
    <row r="763">
      <c r="C763" s="38"/>
      <c r="D763" s="38"/>
      <c r="E763" s="10"/>
      <c r="I763" s="10"/>
      <c r="J763" s="10"/>
    </row>
    <row r="764">
      <c r="C764" s="38"/>
      <c r="D764" s="38"/>
      <c r="E764" s="10"/>
      <c r="I764" s="10"/>
      <c r="J764" s="10"/>
    </row>
    <row r="765">
      <c r="C765" s="38"/>
      <c r="D765" s="38"/>
      <c r="E765" s="10"/>
      <c r="I765" s="10"/>
      <c r="J765" s="10"/>
    </row>
    <row r="766">
      <c r="C766" s="38"/>
      <c r="D766" s="38"/>
      <c r="E766" s="10"/>
      <c r="I766" s="10"/>
      <c r="J766" s="10"/>
    </row>
    <row r="767">
      <c r="C767" s="38"/>
      <c r="D767" s="38"/>
      <c r="E767" s="10"/>
      <c r="I767" s="10"/>
      <c r="J767" s="10"/>
    </row>
    <row r="768">
      <c r="C768" s="38"/>
      <c r="D768" s="38"/>
      <c r="E768" s="10"/>
      <c r="I768" s="10"/>
      <c r="J768" s="10"/>
    </row>
    <row r="769">
      <c r="C769" s="38"/>
      <c r="D769" s="38"/>
      <c r="E769" s="10"/>
      <c r="I769" s="10"/>
      <c r="J769" s="10"/>
    </row>
    <row r="770">
      <c r="C770" s="38"/>
      <c r="D770" s="38"/>
      <c r="E770" s="10"/>
      <c r="I770" s="10"/>
      <c r="J770" s="10"/>
    </row>
    <row r="771">
      <c r="C771" s="38"/>
      <c r="D771" s="38"/>
      <c r="E771" s="10"/>
      <c r="I771" s="10"/>
      <c r="J771" s="10"/>
    </row>
    <row r="772">
      <c r="C772" s="38"/>
      <c r="D772" s="38"/>
      <c r="E772" s="10"/>
      <c r="I772" s="10"/>
      <c r="J772" s="10"/>
    </row>
    <row r="773">
      <c r="C773" s="38"/>
      <c r="D773" s="38"/>
      <c r="E773" s="10"/>
      <c r="I773" s="10"/>
      <c r="J773" s="10"/>
    </row>
    <row r="774">
      <c r="C774" s="38"/>
      <c r="D774" s="38"/>
      <c r="E774" s="10"/>
      <c r="I774" s="10"/>
      <c r="J774" s="10"/>
    </row>
    <row r="775">
      <c r="C775" s="38"/>
      <c r="D775" s="38"/>
      <c r="E775" s="10"/>
      <c r="I775" s="10"/>
      <c r="J775" s="10"/>
    </row>
    <row r="776">
      <c r="C776" s="38"/>
      <c r="D776" s="38"/>
      <c r="E776" s="10"/>
      <c r="I776" s="10"/>
      <c r="J776" s="10"/>
    </row>
    <row r="777">
      <c r="C777" s="38"/>
      <c r="D777" s="38"/>
      <c r="E777" s="10"/>
      <c r="I777" s="10"/>
      <c r="J777" s="10"/>
    </row>
    <row r="778">
      <c r="C778" s="38"/>
      <c r="D778" s="38"/>
      <c r="E778" s="10"/>
      <c r="I778" s="10"/>
      <c r="J778" s="10"/>
    </row>
    <row r="779">
      <c r="C779" s="38"/>
      <c r="D779" s="38"/>
      <c r="E779" s="10"/>
      <c r="I779" s="10"/>
      <c r="J779" s="10"/>
    </row>
    <row r="780">
      <c r="C780" s="38"/>
      <c r="D780" s="38"/>
      <c r="E780" s="10"/>
      <c r="I780" s="10"/>
      <c r="J780" s="10"/>
    </row>
    <row r="781">
      <c r="C781" s="38"/>
      <c r="D781" s="38"/>
      <c r="E781" s="10"/>
      <c r="I781" s="10"/>
      <c r="J781" s="10"/>
    </row>
    <row r="782">
      <c r="C782" s="38"/>
      <c r="D782" s="38"/>
      <c r="E782" s="10"/>
      <c r="I782" s="10"/>
      <c r="J782" s="10"/>
    </row>
    <row r="783">
      <c r="C783" s="38"/>
      <c r="D783" s="38"/>
      <c r="E783" s="10"/>
      <c r="I783" s="10"/>
      <c r="J783" s="10"/>
    </row>
    <row r="784">
      <c r="C784" s="38"/>
      <c r="D784" s="38"/>
      <c r="E784" s="10"/>
      <c r="I784" s="10"/>
      <c r="J784" s="10"/>
    </row>
    <row r="785">
      <c r="C785" s="38"/>
      <c r="D785" s="38"/>
      <c r="E785" s="10"/>
      <c r="I785" s="10"/>
      <c r="J785" s="10"/>
    </row>
    <row r="786">
      <c r="C786" s="38"/>
      <c r="D786" s="38"/>
      <c r="E786" s="10"/>
      <c r="I786" s="10"/>
      <c r="J786" s="10"/>
    </row>
    <row r="787">
      <c r="C787" s="38"/>
      <c r="D787" s="38"/>
      <c r="E787" s="10"/>
      <c r="I787" s="10"/>
      <c r="J787" s="10"/>
    </row>
    <row r="788">
      <c r="C788" s="38"/>
      <c r="D788" s="38"/>
      <c r="E788" s="10"/>
      <c r="I788" s="10"/>
      <c r="J788" s="10"/>
    </row>
    <row r="789">
      <c r="C789" s="38"/>
      <c r="D789" s="38"/>
      <c r="E789" s="10"/>
      <c r="I789" s="10"/>
      <c r="J789" s="10"/>
    </row>
    <row r="790">
      <c r="C790" s="38"/>
      <c r="D790" s="38"/>
      <c r="E790" s="10"/>
      <c r="I790" s="10"/>
      <c r="J790" s="10"/>
    </row>
    <row r="791">
      <c r="C791" s="38"/>
      <c r="D791" s="38"/>
      <c r="E791" s="10"/>
      <c r="I791" s="10"/>
      <c r="J791" s="10"/>
    </row>
    <row r="792">
      <c r="C792" s="38"/>
      <c r="D792" s="38"/>
      <c r="E792" s="10"/>
      <c r="I792" s="10"/>
      <c r="J792" s="10"/>
    </row>
    <row r="793">
      <c r="C793" s="38"/>
      <c r="D793" s="38"/>
      <c r="E793" s="10"/>
      <c r="I793" s="10"/>
      <c r="J793" s="10"/>
    </row>
    <row r="794">
      <c r="C794" s="38"/>
      <c r="D794" s="38"/>
      <c r="E794" s="10"/>
      <c r="I794" s="10"/>
      <c r="J794" s="10"/>
    </row>
    <row r="795">
      <c r="C795" s="38"/>
      <c r="D795" s="38"/>
      <c r="E795" s="10"/>
      <c r="I795" s="10"/>
      <c r="J795" s="10"/>
    </row>
    <row r="796">
      <c r="C796" s="38"/>
      <c r="D796" s="38"/>
      <c r="E796" s="10"/>
      <c r="I796" s="10"/>
      <c r="J796" s="10"/>
    </row>
    <row r="797">
      <c r="C797" s="38"/>
      <c r="D797" s="38"/>
      <c r="E797" s="10"/>
      <c r="I797" s="10"/>
      <c r="J797" s="10"/>
    </row>
    <row r="798">
      <c r="C798" s="38"/>
      <c r="D798" s="38"/>
      <c r="E798" s="10"/>
      <c r="I798" s="10"/>
      <c r="J798" s="10"/>
    </row>
    <row r="799">
      <c r="C799" s="38"/>
      <c r="D799" s="38"/>
      <c r="E799" s="10"/>
      <c r="I799" s="10"/>
      <c r="J799" s="10"/>
    </row>
    <row r="800">
      <c r="C800" s="38"/>
      <c r="D800" s="38"/>
      <c r="E800" s="10"/>
      <c r="I800" s="10"/>
      <c r="J800" s="10"/>
    </row>
    <row r="801">
      <c r="C801" s="38"/>
      <c r="D801" s="38"/>
      <c r="E801" s="10"/>
      <c r="I801" s="10"/>
      <c r="J801" s="10"/>
    </row>
    <row r="802">
      <c r="C802" s="38"/>
      <c r="D802" s="38"/>
      <c r="E802" s="10"/>
      <c r="I802" s="10"/>
      <c r="J802" s="10"/>
    </row>
    <row r="803">
      <c r="C803" s="38"/>
      <c r="D803" s="38"/>
      <c r="E803" s="10"/>
      <c r="I803" s="10"/>
      <c r="J803" s="10"/>
    </row>
    <row r="804">
      <c r="C804" s="38"/>
      <c r="D804" s="38"/>
      <c r="E804" s="10"/>
      <c r="I804" s="10"/>
      <c r="J804" s="10"/>
    </row>
    <row r="805">
      <c r="C805" s="38"/>
      <c r="D805" s="38"/>
      <c r="E805" s="10"/>
      <c r="I805" s="10"/>
      <c r="J805" s="10"/>
    </row>
    <row r="806">
      <c r="C806" s="38"/>
      <c r="D806" s="38"/>
      <c r="E806" s="10"/>
      <c r="I806" s="10"/>
      <c r="J806" s="10"/>
    </row>
    <row r="807">
      <c r="C807" s="38"/>
      <c r="D807" s="38"/>
      <c r="E807" s="10"/>
      <c r="I807" s="10"/>
      <c r="J807" s="10"/>
    </row>
    <row r="808">
      <c r="C808" s="38"/>
      <c r="D808" s="38"/>
      <c r="E808" s="10"/>
      <c r="I808" s="10"/>
      <c r="J808" s="10"/>
    </row>
    <row r="809">
      <c r="C809" s="38"/>
      <c r="D809" s="38"/>
      <c r="E809" s="10"/>
      <c r="I809" s="10"/>
      <c r="J809" s="10"/>
    </row>
    <row r="810">
      <c r="C810" s="38"/>
      <c r="D810" s="38"/>
      <c r="E810" s="10"/>
      <c r="I810" s="10"/>
      <c r="J810" s="10"/>
    </row>
    <row r="811">
      <c r="C811" s="38"/>
      <c r="D811" s="38"/>
      <c r="E811" s="10"/>
      <c r="I811" s="10"/>
      <c r="J811" s="10"/>
    </row>
    <row r="812">
      <c r="C812" s="38"/>
      <c r="D812" s="38"/>
      <c r="E812" s="10"/>
      <c r="I812" s="10"/>
      <c r="J812" s="10"/>
    </row>
    <row r="813">
      <c r="C813" s="38"/>
      <c r="D813" s="38"/>
      <c r="E813" s="10"/>
      <c r="I813" s="10"/>
      <c r="J813" s="10"/>
    </row>
    <row r="814">
      <c r="C814" s="38"/>
      <c r="D814" s="38"/>
      <c r="E814" s="10"/>
      <c r="I814" s="10"/>
      <c r="J814" s="10"/>
    </row>
    <row r="815">
      <c r="C815" s="38"/>
      <c r="D815" s="38"/>
      <c r="E815" s="10"/>
      <c r="I815" s="10"/>
      <c r="J815" s="10"/>
    </row>
    <row r="816">
      <c r="C816" s="38"/>
      <c r="D816" s="38"/>
      <c r="E816" s="10"/>
      <c r="I816" s="10"/>
      <c r="J816" s="10"/>
    </row>
    <row r="817">
      <c r="C817" s="38"/>
      <c r="D817" s="38"/>
      <c r="E817" s="10"/>
      <c r="I817" s="10"/>
      <c r="J817" s="10"/>
    </row>
    <row r="818">
      <c r="C818" s="38"/>
      <c r="D818" s="38"/>
      <c r="E818" s="10"/>
      <c r="I818" s="10"/>
      <c r="J818" s="10"/>
    </row>
    <row r="819">
      <c r="C819" s="38"/>
      <c r="D819" s="38"/>
      <c r="E819" s="10"/>
      <c r="I819" s="10"/>
      <c r="J819" s="10"/>
    </row>
    <row r="820">
      <c r="C820" s="38"/>
      <c r="D820" s="38"/>
      <c r="E820" s="10"/>
      <c r="I820" s="10"/>
      <c r="J820" s="10"/>
    </row>
    <row r="821">
      <c r="C821" s="38"/>
      <c r="D821" s="38"/>
      <c r="E821" s="10"/>
      <c r="I821" s="10"/>
      <c r="J821" s="10"/>
    </row>
    <row r="822">
      <c r="C822" s="38"/>
      <c r="D822" s="38"/>
      <c r="E822" s="10"/>
      <c r="I822" s="10"/>
      <c r="J822" s="10"/>
    </row>
    <row r="823">
      <c r="C823" s="38"/>
      <c r="D823" s="38"/>
      <c r="E823" s="10"/>
      <c r="I823" s="10"/>
      <c r="J823" s="10"/>
    </row>
    <row r="824">
      <c r="C824" s="38"/>
      <c r="D824" s="38"/>
      <c r="E824" s="10"/>
      <c r="I824" s="10"/>
      <c r="J824" s="10"/>
    </row>
    <row r="825">
      <c r="C825" s="38"/>
      <c r="D825" s="38"/>
      <c r="E825" s="10"/>
      <c r="I825" s="10"/>
      <c r="J825" s="10"/>
    </row>
    <row r="826">
      <c r="C826" s="38"/>
      <c r="D826" s="38"/>
      <c r="E826" s="10"/>
      <c r="I826" s="10"/>
      <c r="J826" s="10"/>
    </row>
    <row r="827">
      <c r="C827" s="38"/>
      <c r="D827" s="38"/>
      <c r="E827" s="10"/>
      <c r="I827" s="10"/>
      <c r="J827" s="10"/>
    </row>
    <row r="828">
      <c r="C828" s="38"/>
      <c r="D828" s="38"/>
      <c r="E828" s="10"/>
      <c r="I828" s="10"/>
      <c r="J828" s="10"/>
    </row>
    <row r="829">
      <c r="C829" s="38"/>
      <c r="D829" s="38"/>
      <c r="E829" s="10"/>
      <c r="I829" s="10"/>
      <c r="J829" s="10"/>
    </row>
    <row r="830">
      <c r="C830" s="38"/>
      <c r="D830" s="38"/>
      <c r="E830" s="10"/>
      <c r="I830" s="10"/>
      <c r="J830" s="10"/>
    </row>
    <row r="831">
      <c r="C831" s="38"/>
      <c r="D831" s="38"/>
      <c r="E831" s="10"/>
      <c r="I831" s="10"/>
      <c r="J831" s="10"/>
    </row>
    <row r="832">
      <c r="C832" s="38"/>
      <c r="D832" s="38"/>
      <c r="E832" s="10"/>
      <c r="I832" s="10"/>
      <c r="J832" s="10"/>
    </row>
    <row r="833">
      <c r="C833" s="38"/>
      <c r="D833" s="38"/>
      <c r="E833" s="10"/>
      <c r="I833" s="10"/>
      <c r="J833" s="10"/>
    </row>
    <row r="834">
      <c r="C834" s="38"/>
      <c r="D834" s="38"/>
      <c r="E834" s="10"/>
      <c r="I834" s="10"/>
      <c r="J834" s="10"/>
    </row>
    <row r="835">
      <c r="C835" s="38"/>
      <c r="D835" s="38"/>
      <c r="E835" s="10"/>
      <c r="I835" s="10"/>
      <c r="J835" s="10"/>
    </row>
    <row r="836">
      <c r="C836" s="38"/>
      <c r="D836" s="38"/>
      <c r="E836" s="10"/>
      <c r="I836" s="10"/>
      <c r="J836" s="10"/>
    </row>
    <row r="837">
      <c r="C837" s="38"/>
      <c r="D837" s="38"/>
      <c r="E837" s="10"/>
      <c r="I837" s="10"/>
      <c r="J837" s="10"/>
    </row>
    <row r="838">
      <c r="C838" s="38"/>
      <c r="D838" s="38"/>
      <c r="E838" s="10"/>
      <c r="I838" s="10"/>
      <c r="J838" s="10"/>
    </row>
    <row r="839">
      <c r="C839" s="38"/>
      <c r="D839" s="38"/>
      <c r="E839" s="10"/>
      <c r="I839" s="10"/>
      <c r="J839" s="10"/>
    </row>
    <row r="840">
      <c r="C840" s="38"/>
      <c r="D840" s="38"/>
      <c r="E840" s="10"/>
      <c r="I840" s="10"/>
      <c r="J840" s="10"/>
    </row>
    <row r="841">
      <c r="C841" s="38"/>
      <c r="D841" s="38"/>
      <c r="E841" s="10"/>
      <c r="I841" s="10"/>
      <c r="J841" s="10"/>
    </row>
    <row r="842">
      <c r="C842" s="38"/>
      <c r="D842" s="38"/>
      <c r="E842" s="10"/>
      <c r="I842" s="10"/>
      <c r="J842" s="10"/>
    </row>
    <row r="843">
      <c r="C843" s="38"/>
      <c r="D843" s="38"/>
      <c r="E843" s="10"/>
      <c r="I843" s="10"/>
      <c r="J843" s="10"/>
    </row>
    <row r="844">
      <c r="C844" s="38"/>
      <c r="D844" s="38"/>
      <c r="E844" s="10"/>
      <c r="I844" s="10"/>
      <c r="J844" s="10"/>
    </row>
    <row r="845">
      <c r="C845" s="38"/>
      <c r="D845" s="38"/>
      <c r="E845" s="10"/>
      <c r="I845" s="10"/>
      <c r="J845" s="10"/>
    </row>
    <row r="846">
      <c r="C846" s="38"/>
      <c r="D846" s="38"/>
      <c r="E846" s="10"/>
      <c r="I846" s="10"/>
      <c r="J846" s="10"/>
    </row>
    <row r="847">
      <c r="C847" s="38"/>
      <c r="D847" s="38"/>
      <c r="E847" s="10"/>
      <c r="I847" s="10"/>
      <c r="J847" s="10"/>
    </row>
    <row r="848">
      <c r="C848" s="38"/>
      <c r="D848" s="38"/>
      <c r="E848" s="10"/>
      <c r="I848" s="10"/>
      <c r="J848" s="10"/>
    </row>
    <row r="849">
      <c r="C849" s="38"/>
      <c r="D849" s="38"/>
      <c r="E849" s="10"/>
      <c r="I849" s="10"/>
      <c r="J849" s="10"/>
    </row>
    <row r="850">
      <c r="C850" s="38"/>
      <c r="D850" s="38"/>
      <c r="E850" s="10"/>
      <c r="I850" s="10"/>
      <c r="J850" s="10"/>
    </row>
    <row r="851">
      <c r="C851" s="38"/>
      <c r="D851" s="38"/>
      <c r="E851" s="10"/>
      <c r="I851" s="10"/>
      <c r="J851" s="10"/>
    </row>
    <row r="852">
      <c r="C852" s="38"/>
      <c r="D852" s="38"/>
      <c r="E852" s="10"/>
      <c r="I852" s="10"/>
      <c r="J852" s="10"/>
    </row>
    <row r="853">
      <c r="C853" s="38"/>
      <c r="D853" s="38"/>
      <c r="E853" s="10"/>
      <c r="I853" s="10"/>
      <c r="J853" s="10"/>
    </row>
    <row r="854">
      <c r="C854" s="38"/>
      <c r="D854" s="38"/>
      <c r="E854" s="10"/>
      <c r="I854" s="10"/>
      <c r="J854" s="10"/>
    </row>
    <row r="855">
      <c r="C855" s="38"/>
      <c r="D855" s="38"/>
      <c r="E855" s="10"/>
      <c r="I855" s="10"/>
      <c r="J855" s="10"/>
    </row>
    <row r="856">
      <c r="C856" s="38"/>
      <c r="D856" s="38"/>
      <c r="E856" s="10"/>
      <c r="I856" s="10"/>
      <c r="J856" s="10"/>
    </row>
    <row r="857">
      <c r="C857" s="38"/>
      <c r="D857" s="38"/>
      <c r="E857" s="10"/>
      <c r="I857" s="10"/>
      <c r="J857" s="10"/>
    </row>
    <row r="858">
      <c r="C858" s="38"/>
      <c r="D858" s="38"/>
      <c r="E858" s="10"/>
      <c r="I858" s="10"/>
      <c r="J858" s="10"/>
    </row>
    <row r="859">
      <c r="C859" s="38"/>
      <c r="D859" s="38"/>
      <c r="E859" s="10"/>
      <c r="I859" s="10"/>
      <c r="J859" s="10"/>
    </row>
    <row r="860">
      <c r="C860" s="38"/>
      <c r="D860" s="38"/>
      <c r="E860" s="10"/>
      <c r="I860" s="10"/>
      <c r="J860" s="10"/>
    </row>
    <row r="861">
      <c r="C861" s="38"/>
      <c r="D861" s="38"/>
      <c r="E861" s="10"/>
      <c r="I861" s="10"/>
      <c r="J861" s="10"/>
    </row>
    <row r="862">
      <c r="C862" s="38"/>
      <c r="D862" s="38"/>
      <c r="E862" s="10"/>
      <c r="I862" s="10"/>
      <c r="J862" s="10"/>
    </row>
    <row r="863">
      <c r="C863" s="38"/>
      <c r="D863" s="38"/>
      <c r="E863" s="10"/>
      <c r="I863" s="10"/>
      <c r="J863" s="10"/>
    </row>
    <row r="864">
      <c r="C864" s="38"/>
      <c r="D864" s="38"/>
      <c r="E864" s="10"/>
      <c r="I864" s="10"/>
      <c r="J864" s="10"/>
    </row>
    <row r="865">
      <c r="C865" s="38"/>
      <c r="D865" s="38"/>
      <c r="E865" s="10"/>
      <c r="I865" s="10"/>
      <c r="J865" s="10"/>
    </row>
    <row r="866">
      <c r="C866" s="38"/>
      <c r="D866" s="38"/>
      <c r="E866" s="10"/>
      <c r="I866" s="10"/>
      <c r="J866" s="10"/>
    </row>
    <row r="867">
      <c r="C867" s="38"/>
      <c r="D867" s="38"/>
      <c r="E867" s="10"/>
      <c r="I867" s="10"/>
      <c r="J867" s="10"/>
    </row>
    <row r="868">
      <c r="C868" s="38"/>
      <c r="D868" s="38"/>
      <c r="E868" s="10"/>
      <c r="I868" s="10"/>
      <c r="J868" s="10"/>
    </row>
    <row r="869">
      <c r="C869" s="38"/>
      <c r="D869" s="38"/>
      <c r="E869" s="10"/>
      <c r="I869" s="10"/>
      <c r="J869" s="10"/>
    </row>
    <row r="870">
      <c r="C870" s="38"/>
      <c r="D870" s="38"/>
      <c r="E870" s="10"/>
      <c r="I870" s="10"/>
      <c r="J870" s="10"/>
    </row>
    <row r="871">
      <c r="C871" s="38"/>
      <c r="D871" s="38"/>
      <c r="E871" s="10"/>
      <c r="I871" s="10"/>
      <c r="J871" s="10"/>
    </row>
    <row r="872">
      <c r="C872" s="38"/>
      <c r="D872" s="38"/>
      <c r="E872" s="10"/>
      <c r="I872" s="10"/>
      <c r="J872" s="10"/>
    </row>
    <row r="873">
      <c r="C873" s="38"/>
      <c r="D873" s="38"/>
      <c r="E873" s="10"/>
      <c r="I873" s="10"/>
      <c r="J873" s="10"/>
    </row>
    <row r="874">
      <c r="C874" s="38"/>
      <c r="D874" s="38"/>
      <c r="E874" s="10"/>
      <c r="I874" s="10"/>
      <c r="J874" s="10"/>
    </row>
    <row r="875">
      <c r="C875" s="38"/>
      <c r="D875" s="38"/>
      <c r="E875" s="10"/>
      <c r="I875" s="10"/>
      <c r="J875" s="10"/>
    </row>
    <row r="876">
      <c r="C876" s="38"/>
      <c r="D876" s="38"/>
      <c r="E876" s="10"/>
      <c r="I876" s="10"/>
      <c r="J876" s="10"/>
    </row>
    <row r="877">
      <c r="C877" s="38"/>
      <c r="D877" s="38"/>
      <c r="E877" s="10"/>
      <c r="I877" s="10"/>
      <c r="J877" s="10"/>
    </row>
    <row r="878">
      <c r="C878" s="38"/>
      <c r="D878" s="38"/>
      <c r="E878" s="10"/>
      <c r="I878" s="10"/>
      <c r="J878" s="10"/>
    </row>
    <row r="879">
      <c r="C879" s="38"/>
      <c r="D879" s="38"/>
      <c r="E879" s="10"/>
      <c r="I879" s="10"/>
      <c r="J879" s="10"/>
    </row>
    <row r="880">
      <c r="C880" s="38"/>
      <c r="D880" s="38"/>
      <c r="E880" s="10"/>
      <c r="I880" s="10"/>
      <c r="J880" s="10"/>
    </row>
    <row r="881">
      <c r="C881" s="38"/>
      <c r="D881" s="38"/>
      <c r="E881" s="10"/>
      <c r="I881" s="10"/>
      <c r="J881" s="10"/>
    </row>
    <row r="882">
      <c r="C882" s="38"/>
      <c r="D882" s="38"/>
      <c r="E882" s="10"/>
      <c r="I882" s="10"/>
      <c r="J882" s="10"/>
    </row>
    <row r="883">
      <c r="C883" s="38"/>
      <c r="D883" s="38"/>
      <c r="E883" s="10"/>
      <c r="I883" s="10"/>
      <c r="J883" s="10"/>
    </row>
    <row r="884">
      <c r="C884" s="38"/>
      <c r="D884" s="38"/>
      <c r="E884" s="10"/>
      <c r="I884" s="10"/>
      <c r="J884" s="10"/>
    </row>
    <row r="885">
      <c r="C885" s="38"/>
      <c r="D885" s="38"/>
      <c r="E885" s="10"/>
      <c r="I885" s="10"/>
      <c r="J885" s="10"/>
    </row>
    <row r="886">
      <c r="C886" s="38"/>
      <c r="D886" s="38"/>
      <c r="E886" s="10"/>
      <c r="I886" s="10"/>
      <c r="J886" s="10"/>
    </row>
    <row r="887">
      <c r="C887" s="38"/>
      <c r="D887" s="38"/>
      <c r="E887" s="10"/>
      <c r="I887" s="10"/>
      <c r="J887" s="10"/>
    </row>
    <row r="888">
      <c r="C888" s="38"/>
      <c r="D888" s="38"/>
      <c r="E888" s="10"/>
      <c r="I888" s="10"/>
      <c r="J888" s="10"/>
    </row>
    <row r="889">
      <c r="C889" s="38"/>
      <c r="D889" s="38"/>
      <c r="E889" s="10"/>
      <c r="I889" s="10"/>
      <c r="J889" s="10"/>
    </row>
    <row r="890">
      <c r="C890" s="38"/>
      <c r="D890" s="38"/>
      <c r="E890" s="10"/>
      <c r="I890" s="10"/>
      <c r="J890" s="10"/>
    </row>
    <row r="891">
      <c r="C891" s="38"/>
      <c r="D891" s="38"/>
      <c r="E891" s="10"/>
      <c r="I891" s="10"/>
      <c r="J891" s="10"/>
    </row>
    <row r="892">
      <c r="C892" s="38"/>
      <c r="D892" s="38"/>
      <c r="E892" s="10"/>
      <c r="I892" s="10"/>
      <c r="J892" s="10"/>
    </row>
    <row r="893">
      <c r="C893" s="38"/>
      <c r="D893" s="38"/>
      <c r="E893" s="10"/>
      <c r="I893" s="10"/>
      <c r="J893" s="10"/>
    </row>
    <row r="894">
      <c r="C894" s="38"/>
      <c r="D894" s="38"/>
      <c r="E894" s="10"/>
      <c r="I894" s="10"/>
      <c r="J894" s="10"/>
    </row>
    <row r="895">
      <c r="C895" s="38"/>
      <c r="D895" s="38"/>
      <c r="E895" s="10"/>
      <c r="I895" s="10"/>
      <c r="J895" s="10"/>
    </row>
    <row r="896">
      <c r="C896" s="38"/>
      <c r="D896" s="38"/>
      <c r="E896" s="10"/>
      <c r="I896" s="10"/>
      <c r="J896" s="10"/>
    </row>
    <row r="897">
      <c r="C897" s="38"/>
      <c r="D897" s="38"/>
      <c r="E897" s="10"/>
      <c r="I897" s="10"/>
      <c r="J897" s="10"/>
    </row>
    <row r="898">
      <c r="C898" s="38"/>
      <c r="D898" s="38"/>
      <c r="E898" s="10"/>
      <c r="I898" s="10"/>
      <c r="J898" s="10"/>
    </row>
    <row r="899">
      <c r="C899" s="38"/>
      <c r="D899" s="38"/>
      <c r="E899" s="10"/>
      <c r="I899" s="10"/>
      <c r="J899" s="10"/>
    </row>
    <row r="900">
      <c r="C900" s="38"/>
      <c r="D900" s="38"/>
      <c r="E900" s="10"/>
      <c r="I900" s="10"/>
      <c r="J900" s="10"/>
    </row>
    <row r="901">
      <c r="C901" s="38"/>
      <c r="D901" s="38"/>
      <c r="E901" s="10"/>
      <c r="I901" s="10"/>
      <c r="J901" s="10"/>
    </row>
    <row r="902">
      <c r="C902" s="38"/>
      <c r="D902" s="38"/>
      <c r="E902" s="10"/>
      <c r="I902" s="10"/>
      <c r="J902" s="10"/>
    </row>
    <row r="903">
      <c r="C903" s="38"/>
      <c r="D903" s="38"/>
      <c r="E903" s="10"/>
      <c r="I903" s="10"/>
      <c r="J903" s="10"/>
    </row>
    <row r="904">
      <c r="C904" s="38"/>
      <c r="D904" s="38"/>
      <c r="E904" s="10"/>
      <c r="I904" s="10"/>
      <c r="J904" s="10"/>
    </row>
    <row r="905">
      <c r="C905" s="38"/>
      <c r="D905" s="38"/>
      <c r="E905" s="10"/>
      <c r="I905" s="10"/>
      <c r="J905" s="10"/>
    </row>
    <row r="906">
      <c r="C906" s="38"/>
      <c r="D906" s="38"/>
      <c r="E906" s="10"/>
      <c r="I906" s="10"/>
      <c r="J906" s="10"/>
    </row>
    <row r="907">
      <c r="C907" s="38"/>
      <c r="D907" s="38"/>
      <c r="E907" s="10"/>
      <c r="I907" s="10"/>
      <c r="J907" s="10"/>
    </row>
    <row r="908">
      <c r="C908" s="38"/>
      <c r="D908" s="38"/>
      <c r="E908" s="10"/>
      <c r="I908" s="10"/>
      <c r="J908" s="10"/>
    </row>
    <row r="909">
      <c r="C909" s="38"/>
      <c r="D909" s="38"/>
      <c r="E909" s="10"/>
      <c r="I909" s="10"/>
      <c r="J909" s="10"/>
    </row>
    <row r="910">
      <c r="C910" s="38"/>
      <c r="D910" s="38"/>
      <c r="E910" s="10"/>
      <c r="I910" s="10"/>
      <c r="J910" s="10"/>
    </row>
    <row r="911">
      <c r="C911" s="38"/>
      <c r="D911" s="38"/>
      <c r="E911" s="10"/>
      <c r="I911" s="10"/>
      <c r="J911" s="10"/>
    </row>
    <row r="912">
      <c r="C912" s="38"/>
      <c r="D912" s="38"/>
      <c r="E912" s="10"/>
      <c r="I912" s="10"/>
      <c r="J912" s="10"/>
    </row>
    <row r="913">
      <c r="C913" s="38"/>
      <c r="D913" s="38"/>
      <c r="E913" s="10"/>
      <c r="I913" s="10"/>
      <c r="J913" s="10"/>
    </row>
    <row r="914">
      <c r="C914" s="38"/>
      <c r="D914" s="38"/>
      <c r="E914" s="10"/>
      <c r="I914" s="10"/>
      <c r="J914" s="10"/>
    </row>
    <row r="915">
      <c r="C915" s="38"/>
      <c r="D915" s="38"/>
      <c r="E915" s="10"/>
      <c r="I915" s="10"/>
      <c r="J915" s="10"/>
    </row>
    <row r="916">
      <c r="C916" s="38"/>
      <c r="D916" s="38"/>
      <c r="E916" s="10"/>
      <c r="I916" s="10"/>
      <c r="J916" s="10"/>
    </row>
    <row r="917">
      <c r="C917" s="38"/>
      <c r="D917" s="38"/>
      <c r="E917" s="10"/>
      <c r="I917" s="10"/>
      <c r="J917" s="10"/>
    </row>
    <row r="918">
      <c r="C918" s="38"/>
      <c r="D918" s="38"/>
      <c r="E918" s="10"/>
      <c r="I918" s="10"/>
      <c r="J918" s="10"/>
    </row>
    <row r="919">
      <c r="C919" s="38"/>
      <c r="D919" s="38"/>
      <c r="E919" s="10"/>
      <c r="I919" s="10"/>
      <c r="J919" s="10"/>
    </row>
    <row r="920">
      <c r="C920" s="38"/>
      <c r="D920" s="38"/>
      <c r="E920" s="10"/>
      <c r="I920" s="10"/>
      <c r="J920" s="10"/>
    </row>
    <row r="921">
      <c r="C921" s="38"/>
      <c r="D921" s="38"/>
      <c r="E921" s="10"/>
      <c r="I921" s="10"/>
      <c r="J921" s="10"/>
    </row>
    <row r="922">
      <c r="C922" s="38"/>
      <c r="D922" s="38"/>
      <c r="E922" s="10"/>
      <c r="I922" s="10"/>
      <c r="J922" s="10"/>
    </row>
    <row r="923">
      <c r="C923" s="38"/>
      <c r="D923" s="38"/>
      <c r="E923" s="10"/>
      <c r="I923" s="10"/>
      <c r="J923" s="10"/>
    </row>
    <row r="924">
      <c r="C924" s="38"/>
      <c r="D924" s="38"/>
      <c r="E924" s="10"/>
      <c r="I924" s="10"/>
      <c r="J924" s="10"/>
    </row>
    <row r="925">
      <c r="C925" s="38"/>
      <c r="D925" s="38"/>
      <c r="E925" s="10"/>
      <c r="I925" s="10"/>
      <c r="J925" s="10"/>
    </row>
    <row r="926">
      <c r="C926" s="38"/>
      <c r="D926" s="38"/>
      <c r="E926" s="10"/>
      <c r="I926" s="10"/>
      <c r="J926" s="10"/>
    </row>
    <row r="927">
      <c r="C927" s="38"/>
      <c r="D927" s="38"/>
      <c r="E927" s="10"/>
      <c r="I927" s="10"/>
      <c r="J927" s="10"/>
    </row>
    <row r="928">
      <c r="C928" s="38"/>
      <c r="D928" s="38"/>
      <c r="E928" s="10"/>
      <c r="I928" s="10"/>
      <c r="J928" s="10"/>
    </row>
    <row r="929">
      <c r="C929" s="38"/>
      <c r="D929" s="38"/>
      <c r="E929" s="10"/>
      <c r="I929" s="10"/>
      <c r="J929" s="10"/>
    </row>
    <row r="930">
      <c r="C930" s="38"/>
      <c r="D930" s="38"/>
      <c r="E930" s="10"/>
      <c r="I930" s="10"/>
      <c r="J930" s="10"/>
    </row>
    <row r="931">
      <c r="C931" s="38"/>
      <c r="D931" s="38"/>
      <c r="E931" s="10"/>
      <c r="I931" s="10"/>
      <c r="J931" s="10"/>
    </row>
    <row r="932">
      <c r="C932" s="38"/>
      <c r="D932" s="38"/>
      <c r="E932" s="10"/>
      <c r="I932" s="10"/>
      <c r="J932" s="10"/>
    </row>
    <row r="933">
      <c r="C933" s="38"/>
      <c r="D933" s="38"/>
      <c r="E933" s="10"/>
      <c r="I933" s="10"/>
      <c r="J933" s="10"/>
    </row>
    <row r="934">
      <c r="C934" s="38"/>
      <c r="D934" s="38"/>
      <c r="E934" s="10"/>
      <c r="I934" s="10"/>
      <c r="J934" s="10"/>
    </row>
    <row r="935">
      <c r="C935" s="38"/>
      <c r="D935" s="38"/>
      <c r="E935" s="10"/>
      <c r="I935" s="10"/>
      <c r="J935" s="10"/>
    </row>
    <row r="936">
      <c r="C936" s="38"/>
      <c r="D936" s="38"/>
      <c r="E936" s="10"/>
      <c r="I936" s="10"/>
      <c r="J936" s="10"/>
    </row>
    <row r="937">
      <c r="C937" s="38"/>
      <c r="D937" s="38"/>
      <c r="E937" s="10"/>
      <c r="I937" s="10"/>
      <c r="J937" s="10"/>
    </row>
    <row r="938">
      <c r="C938" s="38"/>
      <c r="D938" s="38"/>
      <c r="E938" s="10"/>
      <c r="I938" s="10"/>
      <c r="J938" s="10"/>
    </row>
    <row r="939">
      <c r="C939" s="38"/>
      <c r="D939" s="38"/>
      <c r="E939" s="10"/>
      <c r="I939" s="10"/>
      <c r="J939" s="10"/>
    </row>
    <row r="940">
      <c r="C940" s="38"/>
      <c r="D940" s="38"/>
      <c r="E940" s="10"/>
      <c r="I940" s="10"/>
      <c r="J940" s="10"/>
    </row>
    <row r="941">
      <c r="C941" s="38"/>
      <c r="D941" s="38"/>
      <c r="E941" s="10"/>
      <c r="I941" s="10"/>
      <c r="J941" s="10"/>
    </row>
    <row r="942">
      <c r="C942" s="38"/>
      <c r="D942" s="38"/>
      <c r="E942" s="10"/>
      <c r="I942" s="10"/>
      <c r="J942" s="10"/>
    </row>
    <row r="943">
      <c r="C943" s="38"/>
      <c r="D943" s="38"/>
      <c r="E943" s="10"/>
      <c r="I943" s="10"/>
      <c r="J943" s="10"/>
    </row>
    <row r="944">
      <c r="C944" s="38"/>
      <c r="D944" s="38"/>
      <c r="E944" s="10"/>
      <c r="I944" s="10"/>
      <c r="J944" s="10"/>
    </row>
    <row r="945">
      <c r="C945" s="38"/>
      <c r="D945" s="38"/>
      <c r="E945" s="10"/>
      <c r="I945" s="10"/>
      <c r="J945" s="10"/>
    </row>
    <row r="946">
      <c r="C946" s="38"/>
      <c r="D946" s="38"/>
      <c r="E946" s="10"/>
      <c r="I946" s="10"/>
      <c r="J946" s="10"/>
    </row>
    <row r="947">
      <c r="C947" s="38"/>
      <c r="D947" s="38"/>
      <c r="E947" s="10"/>
      <c r="I947" s="10"/>
      <c r="J947" s="10"/>
    </row>
    <row r="948">
      <c r="C948" s="38"/>
      <c r="D948" s="38"/>
      <c r="E948" s="10"/>
      <c r="I948" s="10"/>
      <c r="J948" s="10"/>
    </row>
    <row r="949">
      <c r="C949" s="38"/>
      <c r="D949" s="38"/>
      <c r="E949" s="10"/>
      <c r="I949" s="10"/>
      <c r="J949" s="10"/>
    </row>
    <row r="950">
      <c r="C950" s="38"/>
      <c r="D950" s="38"/>
      <c r="E950" s="10"/>
      <c r="I950" s="10"/>
      <c r="J950" s="10"/>
    </row>
    <row r="951">
      <c r="C951" s="38"/>
      <c r="D951" s="38"/>
      <c r="E951" s="10"/>
      <c r="I951" s="10"/>
      <c r="J951" s="10"/>
    </row>
    <row r="952">
      <c r="C952" s="38"/>
      <c r="D952" s="38"/>
      <c r="E952" s="10"/>
      <c r="I952" s="10"/>
      <c r="J952" s="10"/>
    </row>
    <row r="953">
      <c r="C953" s="38"/>
      <c r="D953" s="38"/>
      <c r="E953" s="10"/>
      <c r="I953" s="10"/>
      <c r="J953" s="10"/>
    </row>
    <row r="954">
      <c r="C954" s="38"/>
      <c r="D954" s="38"/>
      <c r="E954" s="10"/>
      <c r="I954" s="10"/>
      <c r="J954" s="10"/>
    </row>
    <row r="955">
      <c r="C955" s="38"/>
      <c r="D955" s="38"/>
      <c r="E955" s="10"/>
      <c r="I955" s="10"/>
      <c r="J955" s="10"/>
    </row>
    <row r="956">
      <c r="C956" s="38"/>
      <c r="D956" s="38"/>
      <c r="E956" s="10"/>
      <c r="I956" s="10"/>
      <c r="J956" s="10"/>
    </row>
    <row r="957">
      <c r="C957" s="38"/>
      <c r="D957" s="38"/>
      <c r="E957" s="10"/>
      <c r="I957" s="10"/>
      <c r="J957" s="10"/>
    </row>
    <row r="958">
      <c r="C958" s="38"/>
      <c r="D958" s="38"/>
      <c r="E958" s="10"/>
      <c r="I958" s="10"/>
      <c r="J958" s="10"/>
    </row>
    <row r="959">
      <c r="C959" s="38"/>
      <c r="D959" s="38"/>
      <c r="E959" s="10"/>
      <c r="I959" s="10"/>
      <c r="J959" s="10"/>
    </row>
    <row r="960">
      <c r="C960" s="38"/>
      <c r="D960" s="38"/>
      <c r="E960" s="10"/>
      <c r="I960" s="10"/>
      <c r="J960" s="10"/>
    </row>
    <row r="961">
      <c r="C961" s="38"/>
      <c r="D961" s="38"/>
      <c r="E961" s="10"/>
      <c r="I961" s="10"/>
      <c r="J961" s="10"/>
    </row>
    <row r="962">
      <c r="C962" s="38"/>
      <c r="D962" s="38"/>
      <c r="E962" s="10"/>
      <c r="I962" s="10"/>
      <c r="J962" s="10"/>
    </row>
    <row r="963">
      <c r="C963" s="38"/>
      <c r="D963" s="38"/>
      <c r="E963" s="10"/>
      <c r="I963" s="10"/>
      <c r="J963" s="10"/>
    </row>
    <row r="964">
      <c r="C964" s="38"/>
      <c r="D964" s="38"/>
      <c r="E964" s="10"/>
      <c r="I964" s="10"/>
      <c r="J964" s="10"/>
    </row>
    <row r="965">
      <c r="C965" s="38"/>
      <c r="D965" s="38"/>
      <c r="E965" s="10"/>
      <c r="I965" s="10"/>
      <c r="J965" s="10"/>
    </row>
    <row r="966">
      <c r="C966" s="38"/>
      <c r="D966" s="38"/>
      <c r="E966" s="10"/>
      <c r="I966" s="10"/>
      <c r="J966" s="10"/>
    </row>
    <row r="967">
      <c r="C967" s="38"/>
      <c r="D967" s="38"/>
      <c r="E967" s="10"/>
      <c r="I967" s="10"/>
      <c r="J967" s="10"/>
    </row>
    <row r="968">
      <c r="C968" s="38"/>
      <c r="D968" s="38"/>
      <c r="E968" s="10"/>
      <c r="I968" s="10"/>
      <c r="J968" s="10"/>
    </row>
    <row r="969">
      <c r="C969" s="38"/>
      <c r="D969" s="38"/>
      <c r="E969" s="10"/>
      <c r="I969" s="10"/>
      <c r="J969" s="10"/>
    </row>
    <row r="970">
      <c r="C970" s="38"/>
      <c r="D970" s="38"/>
      <c r="E970" s="10"/>
      <c r="I970" s="10"/>
      <c r="J970" s="10"/>
    </row>
    <row r="971">
      <c r="C971" s="38"/>
      <c r="D971" s="38"/>
      <c r="E971" s="10"/>
      <c r="I971" s="10"/>
      <c r="J971" s="10"/>
    </row>
    <row r="972">
      <c r="C972" s="38"/>
      <c r="D972" s="38"/>
      <c r="E972" s="10"/>
      <c r="I972" s="10"/>
      <c r="J972" s="10"/>
    </row>
    <row r="973">
      <c r="C973" s="38"/>
      <c r="D973" s="38"/>
      <c r="E973" s="10"/>
      <c r="I973" s="10"/>
      <c r="J973" s="10"/>
    </row>
    <row r="974">
      <c r="C974" s="38"/>
      <c r="D974" s="38"/>
      <c r="E974" s="10"/>
      <c r="I974" s="10"/>
      <c r="J974" s="10"/>
    </row>
    <row r="975">
      <c r="C975" s="38"/>
      <c r="D975" s="38"/>
      <c r="E975" s="10"/>
      <c r="I975" s="10"/>
      <c r="J975" s="10"/>
    </row>
    <row r="976">
      <c r="C976" s="38"/>
      <c r="D976" s="38"/>
      <c r="E976" s="10"/>
      <c r="I976" s="10"/>
      <c r="J976" s="10"/>
    </row>
    <row r="977">
      <c r="C977" s="38"/>
      <c r="D977" s="38"/>
      <c r="E977" s="10"/>
      <c r="I977" s="10"/>
      <c r="J977" s="10"/>
    </row>
    <row r="978">
      <c r="C978" s="38"/>
      <c r="D978" s="38"/>
      <c r="E978" s="10"/>
      <c r="I978" s="10"/>
      <c r="J978" s="10"/>
    </row>
    <row r="979">
      <c r="C979" s="38"/>
      <c r="D979" s="38"/>
      <c r="E979" s="10"/>
      <c r="I979" s="10"/>
      <c r="J979" s="10"/>
    </row>
    <row r="980">
      <c r="C980" s="38"/>
      <c r="D980" s="38"/>
      <c r="E980" s="10"/>
      <c r="I980" s="10"/>
      <c r="J980" s="10"/>
    </row>
    <row r="981">
      <c r="C981" s="38"/>
      <c r="D981" s="38"/>
      <c r="E981" s="10"/>
      <c r="I981" s="10"/>
      <c r="J981" s="10"/>
    </row>
    <row r="982">
      <c r="C982" s="38"/>
      <c r="D982" s="38"/>
      <c r="E982" s="10"/>
      <c r="I982" s="10"/>
      <c r="J982" s="10"/>
    </row>
    <row r="983">
      <c r="C983" s="38"/>
      <c r="D983" s="38"/>
      <c r="E983" s="10"/>
      <c r="I983" s="10"/>
      <c r="J983" s="10"/>
    </row>
    <row r="984">
      <c r="C984" s="38"/>
      <c r="D984" s="38"/>
      <c r="E984" s="10"/>
      <c r="I984" s="10"/>
      <c r="J984" s="10"/>
    </row>
    <row r="985">
      <c r="C985" s="38"/>
      <c r="D985" s="38"/>
      <c r="E985" s="10"/>
      <c r="I985" s="10"/>
      <c r="J985" s="10"/>
    </row>
    <row r="986">
      <c r="C986" s="38"/>
      <c r="D986" s="38"/>
      <c r="E986" s="10"/>
      <c r="I986" s="10"/>
      <c r="J986" s="10"/>
    </row>
    <row r="987">
      <c r="C987" s="38"/>
      <c r="D987" s="38"/>
      <c r="E987" s="10"/>
      <c r="I987" s="10"/>
      <c r="J987" s="10"/>
    </row>
    <row r="988">
      <c r="C988" s="38"/>
      <c r="D988" s="38"/>
      <c r="E988" s="10"/>
      <c r="I988" s="10"/>
      <c r="J988" s="10"/>
    </row>
    <row r="989">
      <c r="C989" s="38"/>
      <c r="D989" s="38"/>
      <c r="E989" s="10"/>
      <c r="I989" s="10"/>
      <c r="J989" s="10"/>
    </row>
    <row r="990">
      <c r="C990" s="38"/>
      <c r="D990" s="38"/>
      <c r="E990" s="10"/>
      <c r="I990" s="10"/>
      <c r="J990" s="10"/>
    </row>
    <row r="991">
      <c r="C991" s="38"/>
      <c r="D991" s="38"/>
      <c r="E991" s="10"/>
      <c r="I991" s="10"/>
      <c r="J991" s="10"/>
    </row>
    <row r="992">
      <c r="C992" s="38"/>
      <c r="D992" s="38"/>
      <c r="E992" s="10"/>
      <c r="I992" s="10"/>
      <c r="J992" s="10"/>
    </row>
    <row r="993">
      <c r="C993" s="38"/>
      <c r="D993" s="38"/>
      <c r="E993" s="10"/>
      <c r="I993" s="10"/>
      <c r="J993" s="10"/>
    </row>
    <row r="994">
      <c r="C994" s="38"/>
      <c r="D994" s="38"/>
      <c r="E994" s="10"/>
      <c r="I994" s="10"/>
      <c r="J994" s="10"/>
    </row>
    <row r="995">
      <c r="C995" s="38"/>
      <c r="D995" s="38"/>
      <c r="E995" s="10"/>
      <c r="I995" s="10"/>
      <c r="J995" s="10"/>
    </row>
    <row r="996">
      <c r="C996" s="38"/>
      <c r="D996" s="38"/>
      <c r="E996" s="10"/>
      <c r="I996" s="10"/>
      <c r="J996" s="10"/>
    </row>
    <row r="997">
      <c r="C997" s="38"/>
      <c r="D997" s="38"/>
      <c r="E997" s="10"/>
      <c r="I997" s="10"/>
      <c r="J997" s="10"/>
    </row>
  </sheetData>
  <dataValidations>
    <dataValidation type="custom" allowBlank="1" showDropDown="1" showErrorMessage="1" sqref="E2:E7 E10:E15 E17 E19:E21 E24:E25 E29:E30 E35:E38 E40:E44 E46:E47 E49:E53 E55 E57:E59 E63 E65 E69:E74 E76 E82 E87 E89 E91 E93 E95 E99:E101 E104:E106 E109:E110 E112:E113 E123">
      <formula1>OR(NOT(ISERROR(DATEVALUE(E2))), AND(ISNUMBER(E2), LEFT(CELL("format", E2))="D"))</formula1>
    </dataValidation>
    <dataValidation type="decimal" allowBlank="1" showDropDown="1" showErrorMessage="1" sqref="F2:F6 F10:F15 F17 F19:F21 F24:F25 F29:F30 F35:F38 F40:F44 F46:F47 F49:F53 F57:F59 F63 F65 F69:F74 F76 F82 F87 F89 F91 F93 F95 F99:F101 F104:F106 F109:F110 F112:F113 F123">
      <formula1>1.0</formula1>
      <formula2>15.0</formula2>
    </dataValidation>
  </dataValidations>
  <hyperlinks>
    <hyperlink r:id="rId1" ref="H2"/>
    <hyperlink r:id="rId2" ref="K2"/>
    <hyperlink r:id="rId3" ref="H3"/>
    <hyperlink r:id="rId4" ref="K3"/>
    <hyperlink r:id="rId5" ref="H4"/>
    <hyperlink r:id="rId6" ref="H5"/>
    <hyperlink r:id="rId7" ref="H6"/>
    <hyperlink r:id="rId8" ref="K6"/>
    <hyperlink r:id="rId9" ref="H7"/>
    <hyperlink r:id="rId10" ref="H8"/>
    <hyperlink r:id="rId11" ref="H9"/>
    <hyperlink r:id="rId12" ref="H10"/>
    <hyperlink r:id="rId13" ref="K10"/>
    <hyperlink r:id="rId14" ref="H11"/>
    <hyperlink r:id="rId15" ref="H12"/>
    <hyperlink r:id="rId16" ref="H13"/>
    <hyperlink r:id="rId17" ref="K13"/>
    <hyperlink r:id="rId18" ref="H14"/>
    <hyperlink r:id="rId19" ref="H15"/>
    <hyperlink r:id="rId20" ref="H16"/>
    <hyperlink r:id="rId21" ref="H17"/>
    <hyperlink r:id="rId22" ref="H18"/>
    <hyperlink r:id="rId23" ref="H19"/>
    <hyperlink r:id="rId24" ref="H20"/>
    <hyperlink r:id="rId25" ref="H21"/>
    <hyperlink r:id="rId26" ref="H22"/>
    <hyperlink r:id="rId27" ref="H23"/>
    <hyperlink r:id="rId28" ref="H24"/>
    <hyperlink r:id="rId29" ref="H25"/>
    <hyperlink r:id="rId30" ref="H26"/>
    <hyperlink r:id="rId31" ref="H27"/>
    <hyperlink r:id="rId32" ref="H28"/>
    <hyperlink r:id="rId33" ref="H29"/>
    <hyperlink r:id="rId34" ref="H30"/>
    <hyperlink r:id="rId35" ref="H31"/>
    <hyperlink r:id="rId36" ref="H32"/>
    <hyperlink r:id="rId37" ref="H33"/>
    <hyperlink r:id="rId38" ref="K33"/>
    <hyperlink r:id="rId39" ref="H34"/>
    <hyperlink r:id="rId40" ref="H35"/>
    <hyperlink r:id="rId41" ref="H36"/>
    <hyperlink r:id="rId42" ref="H37"/>
    <hyperlink r:id="rId43" ref="H38"/>
    <hyperlink r:id="rId44" ref="H39"/>
    <hyperlink r:id="rId45" ref="H40"/>
    <hyperlink r:id="rId46" ref="H41"/>
    <hyperlink r:id="rId47" ref="H42"/>
    <hyperlink r:id="rId48" ref="H43"/>
    <hyperlink r:id="rId49" ref="K43"/>
    <hyperlink r:id="rId50" ref="H44"/>
    <hyperlink r:id="rId51" ref="H45"/>
    <hyperlink r:id="rId52" ref="H46"/>
    <hyperlink r:id="rId53" ref="H47"/>
    <hyperlink r:id="rId54" ref="H48"/>
    <hyperlink r:id="rId55" ref="H49"/>
    <hyperlink r:id="rId56" ref="H50"/>
    <hyperlink r:id="rId57" ref="H51"/>
    <hyperlink r:id="rId58" ref="H52"/>
    <hyperlink r:id="rId59" ref="H53"/>
    <hyperlink r:id="rId60" ref="K53"/>
    <hyperlink r:id="rId61" ref="H54"/>
    <hyperlink r:id="rId62" ref="H55"/>
    <hyperlink r:id="rId63" ref="H56"/>
    <hyperlink r:id="rId64" ref="H57"/>
    <hyperlink r:id="rId65" ref="H58"/>
    <hyperlink r:id="rId66" ref="H59"/>
    <hyperlink r:id="rId67" ref="H60"/>
    <hyperlink r:id="rId68" ref="H61"/>
    <hyperlink r:id="rId69" ref="H62"/>
    <hyperlink r:id="rId70" ref="H63"/>
    <hyperlink r:id="rId71" ref="K63"/>
    <hyperlink r:id="rId72" ref="H64"/>
    <hyperlink r:id="rId73" ref="H65"/>
    <hyperlink r:id="rId74" ref="H66"/>
    <hyperlink r:id="rId75" ref="H67"/>
    <hyperlink r:id="rId76" ref="H68"/>
    <hyperlink r:id="rId77" ref="H69"/>
    <hyperlink r:id="rId78" ref="H70"/>
    <hyperlink r:id="rId79" ref="H71"/>
    <hyperlink r:id="rId80" ref="H72"/>
    <hyperlink r:id="rId81" ref="K72"/>
    <hyperlink r:id="rId82" ref="H73"/>
    <hyperlink r:id="rId83" ref="K73"/>
    <hyperlink r:id="rId84" ref="H74"/>
    <hyperlink r:id="rId85" ref="H75"/>
    <hyperlink r:id="rId86" ref="H76"/>
    <hyperlink r:id="rId87" ref="H77"/>
    <hyperlink r:id="rId88" ref="H78"/>
    <hyperlink r:id="rId89" ref="H79"/>
    <hyperlink r:id="rId90" ref="H80"/>
    <hyperlink r:id="rId91" ref="H81"/>
    <hyperlink r:id="rId92" ref="H82"/>
    <hyperlink r:id="rId93" ref="H83"/>
    <hyperlink r:id="rId94" ref="K83"/>
    <hyperlink r:id="rId95" ref="H84"/>
    <hyperlink r:id="rId96" ref="H85"/>
    <hyperlink r:id="rId97" ref="H86"/>
    <hyperlink r:id="rId98" ref="H87"/>
    <hyperlink r:id="rId99" ref="H88"/>
    <hyperlink r:id="rId100" ref="H89"/>
    <hyperlink r:id="rId101" ref="H90"/>
    <hyperlink r:id="rId102" ref="H91"/>
    <hyperlink r:id="rId103" ref="H92"/>
    <hyperlink r:id="rId104" ref="H93"/>
    <hyperlink r:id="rId105" ref="K93"/>
    <hyperlink r:id="rId106" ref="H94"/>
    <hyperlink r:id="rId107" ref="H95"/>
    <hyperlink r:id="rId108" ref="H96"/>
    <hyperlink r:id="rId109" ref="H97"/>
    <hyperlink r:id="rId110" ref="H98"/>
    <hyperlink r:id="rId111" ref="H99"/>
    <hyperlink r:id="rId112" ref="H100"/>
    <hyperlink r:id="rId113" ref="H101"/>
    <hyperlink r:id="rId114" ref="H102"/>
    <hyperlink r:id="rId115" ref="H103"/>
    <hyperlink r:id="rId116" ref="K103"/>
    <hyperlink r:id="rId117" ref="H104"/>
    <hyperlink r:id="rId118" ref="H105"/>
    <hyperlink r:id="rId119" ref="H106"/>
    <hyperlink r:id="rId120" ref="H107"/>
    <hyperlink r:id="rId121" ref="H108"/>
    <hyperlink r:id="rId122" ref="H109"/>
    <hyperlink r:id="rId123" ref="H110"/>
    <hyperlink r:id="rId124" ref="H111"/>
    <hyperlink r:id="rId125" ref="H112"/>
    <hyperlink r:id="rId126" ref="H113"/>
    <hyperlink r:id="rId127" ref="K113"/>
    <hyperlink r:id="rId128" ref="H114"/>
    <hyperlink r:id="rId129" ref="H115"/>
    <hyperlink r:id="rId130" ref="H116"/>
    <hyperlink r:id="rId131" ref="H117"/>
    <hyperlink r:id="rId132" ref="H118"/>
    <hyperlink r:id="rId133" ref="H119"/>
    <hyperlink r:id="rId134" ref="H120"/>
    <hyperlink r:id="rId135" ref="H121"/>
    <hyperlink r:id="rId136" ref="H122"/>
    <hyperlink r:id="rId137" ref="H123"/>
    <hyperlink r:id="rId138" ref="K123"/>
    <hyperlink r:id="rId139" ref="H124"/>
    <hyperlink r:id="rId140" ref="K124"/>
    <hyperlink r:id="rId141" ref="H125"/>
    <hyperlink r:id="rId142" ref="H126"/>
    <hyperlink r:id="rId143" ref="H127"/>
    <hyperlink r:id="rId144" ref="H128"/>
    <hyperlink r:id="rId145" ref="H129"/>
    <hyperlink r:id="rId146" ref="H130"/>
    <hyperlink r:id="rId147" ref="H131"/>
    <hyperlink r:id="rId148" ref="H132"/>
    <hyperlink r:id="rId149" ref="H133"/>
    <hyperlink r:id="rId150" ref="H134"/>
    <hyperlink r:id="rId151" ref="H135"/>
    <hyperlink r:id="rId152" ref="H136"/>
    <hyperlink r:id="rId153" ref="H137"/>
    <hyperlink r:id="rId154" ref="H138"/>
    <hyperlink r:id="rId155" ref="H139"/>
    <hyperlink r:id="rId156" ref="H140"/>
    <hyperlink r:id="rId157" ref="H141"/>
    <hyperlink r:id="rId158" ref="H142"/>
    <hyperlink r:id="rId159" ref="H143"/>
    <hyperlink r:id="rId160" ref="H144"/>
    <hyperlink r:id="rId161" ref="H145"/>
    <hyperlink r:id="rId162" ref="H146"/>
    <hyperlink r:id="rId163" ref="H147"/>
    <hyperlink r:id="rId164" ref="H148"/>
    <hyperlink r:id="rId165" ref="H149"/>
    <hyperlink r:id="rId166" ref="H150"/>
    <hyperlink r:id="rId167" ref="H151"/>
    <hyperlink r:id="rId168" ref="H152"/>
    <hyperlink r:id="rId169" ref="H153"/>
    <hyperlink r:id="rId170" ref="H154"/>
    <hyperlink r:id="rId171" ref="H155"/>
    <hyperlink r:id="rId172" ref="H156"/>
    <hyperlink r:id="rId173" ref="H157"/>
    <hyperlink r:id="rId174" ref="H158"/>
    <hyperlink r:id="rId175" ref="H159"/>
    <hyperlink r:id="rId176" ref="H160"/>
    <hyperlink r:id="rId177" ref="H161"/>
    <hyperlink r:id="rId178" ref="H162"/>
    <hyperlink r:id="rId179" ref="H163"/>
    <hyperlink r:id="rId180" ref="H164"/>
    <hyperlink r:id="rId181" ref="H165"/>
    <hyperlink r:id="rId182" ref="H166"/>
    <hyperlink r:id="rId183" ref="H167"/>
    <hyperlink r:id="rId184" ref="H168"/>
    <hyperlink r:id="rId185" ref="H169"/>
    <hyperlink r:id="rId186" ref="H170"/>
    <hyperlink r:id="rId187" ref="H171"/>
    <hyperlink r:id="rId188" ref="H172"/>
    <hyperlink r:id="rId189" ref="H173"/>
  </hyperlinks>
  <drawing r:id="rId19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33.13"/>
    <col customWidth="1" min="3" max="3" width="37.63"/>
    <col customWidth="1" min="4" max="4" width="38.25"/>
    <col customWidth="1" min="11" max="11" width="37.88"/>
  </cols>
  <sheetData>
    <row r="1">
      <c r="A1" s="11" t="s">
        <v>0</v>
      </c>
      <c r="B1" s="11" t="s">
        <v>1</v>
      </c>
      <c r="C1" s="12" t="s">
        <v>521</v>
      </c>
      <c r="D1" s="12" t="s">
        <v>522</v>
      </c>
      <c r="E1" s="39" t="s">
        <v>523</v>
      </c>
      <c r="F1" s="12" t="s">
        <v>524</v>
      </c>
      <c r="G1" s="12" t="s">
        <v>525</v>
      </c>
      <c r="H1" s="12" t="s">
        <v>526</v>
      </c>
      <c r="I1" s="13" t="s">
        <v>8</v>
      </c>
      <c r="J1" s="13" t="s">
        <v>9</v>
      </c>
      <c r="K1" s="11" t="s">
        <v>10</v>
      </c>
    </row>
    <row r="2">
      <c r="A2" s="5">
        <v>1.0</v>
      </c>
      <c r="B2" s="6" t="str">
        <f>VLOOKUP(A2,vaccines!A:B,2)</f>
        <v>BCG_Microgen</v>
      </c>
      <c r="C2" s="14" t="s">
        <v>527</v>
      </c>
      <c r="D2" s="14" t="s">
        <v>528</v>
      </c>
      <c r="E2" s="15">
        <v>45461.0</v>
      </c>
      <c r="F2" s="16"/>
      <c r="G2" s="16"/>
      <c r="H2" s="17" t="s">
        <v>13</v>
      </c>
      <c r="I2" s="18">
        <v>45156.0</v>
      </c>
      <c r="J2" s="19">
        <v>45517.0</v>
      </c>
      <c r="K2" s="20" t="s">
        <v>14</v>
      </c>
    </row>
    <row r="3">
      <c r="A3" s="5">
        <v>2.0</v>
      </c>
      <c r="B3" s="6" t="str">
        <f>VLOOKUP(A3,vaccines!A:B,2)</f>
        <v>BCG_M_Microgen</v>
      </c>
      <c r="C3" s="14" t="s">
        <v>529</v>
      </c>
      <c r="D3" s="14" t="s">
        <v>530</v>
      </c>
      <c r="E3" s="15">
        <v>45461.0</v>
      </c>
      <c r="F3" s="16"/>
      <c r="G3" s="16"/>
      <c r="H3" s="17" t="s">
        <v>17</v>
      </c>
      <c r="I3" s="18">
        <v>45107.0</v>
      </c>
      <c r="J3" s="19">
        <v>45517.0</v>
      </c>
    </row>
    <row r="4">
      <c r="A4" s="5">
        <v>3.0</v>
      </c>
      <c r="B4" s="6" t="str">
        <f>VLOOKUP(A4,vaccines!A:B,2)</f>
        <v>BCG_Gamaleya</v>
      </c>
      <c r="C4" s="14" t="s">
        <v>531</v>
      </c>
      <c r="D4" s="14" t="s">
        <v>532</v>
      </c>
      <c r="E4" s="15">
        <v>45769.0</v>
      </c>
      <c r="F4" s="21">
        <v>1.0</v>
      </c>
      <c r="G4" s="21">
        <v>0.0</v>
      </c>
      <c r="H4" s="17" t="s">
        <v>21</v>
      </c>
      <c r="I4" s="18">
        <v>45108.0</v>
      </c>
      <c r="J4" s="19">
        <v>45801.0</v>
      </c>
      <c r="K4" s="20" t="s">
        <v>18</v>
      </c>
    </row>
    <row r="5">
      <c r="A5" s="5">
        <v>4.0</v>
      </c>
      <c r="B5" s="6" t="str">
        <f>VLOOKUP(A5,vaccines!A:B,2)</f>
        <v>BCG_M_Gamaleya</v>
      </c>
      <c r="C5" s="14" t="s">
        <v>531</v>
      </c>
      <c r="D5" s="14" t="s">
        <v>532</v>
      </c>
      <c r="E5" s="15">
        <v>45771.0</v>
      </c>
      <c r="F5" s="21">
        <v>1.0</v>
      </c>
      <c r="G5" s="21">
        <v>0.0</v>
      </c>
      <c r="H5" s="17" t="s">
        <v>24</v>
      </c>
      <c r="I5" s="15">
        <f>I4</f>
        <v>45108</v>
      </c>
      <c r="J5" s="19">
        <v>45818.0</v>
      </c>
    </row>
    <row r="6">
      <c r="A6" s="5">
        <v>5.0</v>
      </c>
      <c r="B6" s="6" t="str">
        <f>VLOOKUP(A6,vaccines!A:B,2)</f>
        <v>Infanrix</v>
      </c>
      <c r="C6" s="14" t="s">
        <v>533</v>
      </c>
      <c r="D6" s="14" t="s">
        <v>534</v>
      </c>
      <c r="E6" s="15">
        <v>44211.0</v>
      </c>
      <c r="F6" s="16"/>
      <c r="G6" s="16"/>
      <c r="H6" s="17" t="s">
        <v>27</v>
      </c>
      <c r="I6" s="18">
        <v>45105.0</v>
      </c>
      <c r="J6" s="19">
        <v>45481.0</v>
      </c>
      <c r="K6" s="20" t="s">
        <v>14</v>
      </c>
    </row>
    <row r="7">
      <c r="A7" s="5">
        <v>6.0</v>
      </c>
      <c r="B7" s="6" t="str">
        <f>VLOOKUP(A7,vaccines!A:B,2)</f>
        <v>AKDS_Microgen</v>
      </c>
      <c r="C7" s="14" t="s">
        <v>535</v>
      </c>
      <c r="D7" s="14" t="s">
        <v>536</v>
      </c>
      <c r="E7" s="19">
        <v>45415.0</v>
      </c>
      <c r="F7" s="16"/>
      <c r="G7" s="16"/>
      <c r="H7" s="17" t="s">
        <v>30</v>
      </c>
      <c r="I7" s="22">
        <v>45461.0</v>
      </c>
      <c r="J7" s="10"/>
    </row>
    <row r="8">
      <c r="A8" s="5">
        <v>7.0</v>
      </c>
      <c r="B8" s="6" t="str">
        <f>VLOOKUP(A8,vaccines!A:B,2)</f>
        <v>AKDS_Biomed</v>
      </c>
      <c r="C8" s="14" t="s">
        <v>537</v>
      </c>
      <c r="D8" s="14" t="s">
        <v>538</v>
      </c>
      <c r="E8" s="22">
        <v>41388.0</v>
      </c>
      <c r="F8" s="23">
        <v>1.0</v>
      </c>
      <c r="G8" s="23">
        <v>0.0</v>
      </c>
      <c r="H8" s="24" t="s">
        <v>33</v>
      </c>
      <c r="I8" s="22">
        <v>45115.0</v>
      </c>
      <c r="J8" s="10"/>
    </row>
    <row r="9">
      <c r="A9" s="5">
        <v>8.0</v>
      </c>
      <c r="B9" s="6" t="str">
        <f>VLOOKUP(A9,vaccines!A:B,2)</f>
        <v>Bubo_kok</v>
      </c>
      <c r="C9" s="40" t="s">
        <v>539</v>
      </c>
      <c r="D9" s="14" t="s">
        <v>540</v>
      </c>
      <c r="E9" s="22">
        <v>40395.0</v>
      </c>
      <c r="F9" s="23">
        <v>1.0</v>
      </c>
      <c r="G9" s="23">
        <v>0.0</v>
      </c>
      <c r="H9" s="25" t="s">
        <v>36</v>
      </c>
      <c r="I9" s="22">
        <v>45115.0</v>
      </c>
      <c r="J9" s="10"/>
    </row>
    <row r="10">
      <c r="A10" s="5">
        <v>9.0</v>
      </c>
      <c r="B10" s="6" t="str">
        <f>VLOOKUP(A10,vaccines!A:B,2)</f>
        <v>Pentaxim</v>
      </c>
      <c r="C10" s="14" t="s">
        <v>541</v>
      </c>
      <c r="D10" s="14" t="s">
        <v>542</v>
      </c>
      <c r="E10" s="15">
        <v>45980.0</v>
      </c>
      <c r="F10" s="21">
        <v>1.0</v>
      </c>
      <c r="G10" s="21">
        <v>0.0</v>
      </c>
      <c r="H10" s="17" t="s">
        <v>39</v>
      </c>
      <c r="I10" s="15">
        <f t="shared" ref="I10:I11" si="1">I9</f>
        <v>45115</v>
      </c>
      <c r="J10" s="19">
        <v>46204.0</v>
      </c>
    </row>
    <row r="11">
      <c r="A11" s="5">
        <v>10.0</v>
      </c>
      <c r="B11" s="6" t="str">
        <f>VLOOKUP(A11,vaccines!A:B,2)</f>
        <v>Infanrix_Hexa</v>
      </c>
      <c r="C11" s="14" t="s">
        <v>543</v>
      </c>
      <c r="D11" s="14" t="s">
        <v>544</v>
      </c>
      <c r="E11" s="15">
        <v>45953.0</v>
      </c>
      <c r="F11" s="21">
        <v>1.0</v>
      </c>
      <c r="G11" s="21">
        <v>0.0</v>
      </c>
      <c r="H11" s="17" t="s">
        <v>43</v>
      </c>
      <c r="I11" s="15">
        <f t="shared" si="1"/>
        <v>45115</v>
      </c>
      <c r="J11" s="19">
        <v>46000.0</v>
      </c>
    </row>
    <row r="12">
      <c r="A12" s="5">
        <v>11.0</v>
      </c>
      <c r="B12" s="6" t="str">
        <f>VLOOKUP(A12,vaccines!A:B,2)</f>
        <v>Bubo_M</v>
      </c>
      <c r="C12" s="14" t="s">
        <v>545</v>
      </c>
      <c r="D12" s="14" t="s">
        <v>546</v>
      </c>
      <c r="E12" s="15">
        <v>46136.0</v>
      </c>
      <c r="F12" s="21">
        <v>1.0</v>
      </c>
      <c r="G12" s="21">
        <v>0.0</v>
      </c>
      <c r="H12" s="17" t="s">
        <v>46</v>
      </c>
      <c r="I12" s="27">
        <v>45116.0</v>
      </c>
      <c r="J12" s="19">
        <v>46188.0</v>
      </c>
    </row>
    <row r="13">
      <c r="A13" s="5">
        <v>12.0</v>
      </c>
      <c r="B13" s="6" t="str">
        <f>VLOOKUP(A13,vaccines!A:B,2)</f>
        <v>AD_M_Microgen</v>
      </c>
      <c r="C13" s="14" t="s">
        <v>547</v>
      </c>
      <c r="D13" s="14" t="s">
        <v>548</v>
      </c>
      <c r="E13" s="15">
        <v>45482.0</v>
      </c>
      <c r="F13" s="16"/>
      <c r="G13" s="16"/>
      <c r="H13" s="17" t="s">
        <v>49</v>
      </c>
      <c r="I13" s="15">
        <f t="shared" ref="I13:I15" si="2">I12</f>
        <v>45116</v>
      </c>
      <c r="J13" s="19">
        <v>45518.0</v>
      </c>
    </row>
    <row r="14">
      <c r="A14" s="5">
        <v>13.0</v>
      </c>
      <c r="B14" s="6" t="str">
        <f>VLOOKUP(A14,vaccines!A:B,2)</f>
        <v>ADS_Microgen</v>
      </c>
      <c r="C14" s="14" t="s">
        <v>549</v>
      </c>
      <c r="D14" s="14" t="s">
        <v>550</v>
      </c>
      <c r="E14" s="15">
        <v>45488.0</v>
      </c>
      <c r="F14" s="16"/>
      <c r="G14" s="16"/>
      <c r="H14" s="17" t="s">
        <v>52</v>
      </c>
      <c r="I14" s="15">
        <f t="shared" si="2"/>
        <v>45116</v>
      </c>
      <c r="J14" s="19">
        <v>45518.0</v>
      </c>
      <c r="K14" s="20" t="s">
        <v>18</v>
      </c>
    </row>
    <row r="15">
      <c r="A15" s="5">
        <v>14.0</v>
      </c>
      <c r="B15" s="6" t="str">
        <f>VLOOKUP(A15,vaccines!A:B,2)</f>
        <v>ADS_M_Microgen</v>
      </c>
      <c r="C15" s="14" t="s">
        <v>551</v>
      </c>
      <c r="D15" s="14" t="s">
        <v>552</v>
      </c>
      <c r="E15" s="15">
        <v>45623.0</v>
      </c>
      <c r="F15" s="21">
        <v>1.0</v>
      </c>
      <c r="G15" s="21">
        <v>0.0</v>
      </c>
      <c r="H15" s="17" t="s">
        <v>55</v>
      </c>
      <c r="I15" s="15">
        <f t="shared" si="2"/>
        <v>45116</v>
      </c>
      <c r="J15" s="19">
        <v>45861.0</v>
      </c>
    </row>
    <row r="16">
      <c r="A16" s="5">
        <v>15.0</v>
      </c>
      <c r="B16" s="6" t="str">
        <f>VLOOKUP(A16,vaccines!A:B,2)</f>
        <v>ADS_M_Biomed</v>
      </c>
      <c r="C16" s="14" t="s">
        <v>553</v>
      </c>
      <c r="D16" s="14" t="s">
        <v>554</v>
      </c>
      <c r="E16" s="28">
        <v>41046.0</v>
      </c>
      <c r="F16" s="23">
        <v>1.0</v>
      </c>
      <c r="G16" s="23">
        <v>0.0</v>
      </c>
      <c r="H16" s="24" t="s">
        <v>58</v>
      </c>
      <c r="I16" s="22">
        <v>45116.0</v>
      </c>
      <c r="J16" s="10"/>
    </row>
    <row r="17">
      <c r="A17" s="5">
        <v>16.0</v>
      </c>
      <c r="B17" s="6" t="str">
        <f>VLOOKUP(A17,vaccines!A:B,2)</f>
        <v>Adacel</v>
      </c>
      <c r="C17" s="14" t="s">
        <v>555</v>
      </c>
      <c r="D17" s="14" t="s">
        <v>556</v>
      </c>
      <c r="E17" s="15">
        <v>45456.0</v>
      </c>
      <c r="F17" s="16"/>
      <c r="G17" s="16"/>
      <c r="H17" s="29" t="s">
        <v>61</v>
      </c>
      <c r="I17" s="18">
        <v>45117.0</v>
      </c>
      <c r="J17" s="19">
        <v>45589.0</v>
      </c>
    </row>
    <row r="18">
      <c r="A18" s="5">
        <v>17.0</v>
      </c>
      <c r="B18" s="6" t="str">
        <f>VLOOKUP(A18,vaccines!A:B,2)</f>
        <v>Algavac_M</v>
      </c>
      <c r="C18" s="14" t="s">
        <v>557</v>
      </c>
      <c r="D18" s="14" t="s">
        <v>558</v>
      </c>
      <c r="E18" s="22">
        <v>43369.0</v>
      </c>
      <c r="F18" s="23">
        <v>1.0</v>
      </c>
      <c r="G18" s="23">
        <v>0.0</v>
      </c>
      <c r="H18" s="24" t="s">
        <v>64</v>
      </c>
      <c r="I18" s="22">
        <v>45117.0</v>
      </c>
      <c r="J18" s="10"/>
    </row>
    <row r="19">
      <c r="A19" s="5">
        <v>18.0</v>
      </c>
      <c r="B19" s="6" t="str">
        <f>VLOOKUP(A19,vaccines!A:B,2)</f>
        <v>Algavac</v>
      </c>
      <c r="C19" s="14" t="s">
        <v>559</v>
      </c>
      <c r="D19" s="14" t="s">
        <v>560</v>
      </c>
      <c r="E19" s="15">
        <v>46111.0</v>
      </c>
      <c r="F19" s="21">
        <v>1.0</v>
      </c>
      <c r="G19" s="21">
        <v>0.0</v>
      </c>
      <c r="H19" s="17" t="s">
        <v>67</v>
      </c>
      <c r="I19" s="15">
        <f>I18</f>
        <v>45117</v>
      </c>
      <c r="J19" s="19">
        <v>46188.0</v>
      </c>
    </row>
    <row r="20">
      <c r="A20" s="5">
        <v>19.0</v>
      </c>
      <c r="B20" s="6" t="str">
        <f>VLOOKUP(A20,vaccines!A:B,2)</f>
        <v>Havrix_720</v>
      </c>
      <c r="C20" s="14" t="s">
        <v>561</v>
      </c>
      <c r="D20" s="14" t="s">
        <v>562</v>
      </c>
      <c r="E20" s="15">
        <v>45490.0</v>
      </c>
      <c r="F20" s="16"/>
      <c r="G20" s="16"/>
      <c r="H20" s="17" t="s">
        <v>70</v>
      </c>
      <c r="I20" s="22">
        <v>45119.0</v>
      </c>
      <c r="J20" s="19">
        <v>45558.0</v>
      </c>
    </row>
    <row r="21">
      <c r="A21" s="5">
        <v>20.0</v>
      </c>
      <c r="B21" s="6" t="str">
        <f>VLOOKUP(A21,vaccines!A:B,2)</f>
        <v>Havrix_1440</v>
      </c>
      <c r="C21" s="14" t="s">
        <v>563</v>
      </c>
      <c r="D21" s="14" t="s">
        <v>564</v>
      </c>
      <c r="E21" s="15">
        <v>45490.0</v>
      </c>
      <c r="F21" s="21"/>
      <c r="G21" s="21"/>
      <c r="H21" s="17" t="s">
        <v>70</v>
      </c>
      <c r="I21" s="22">
        <v>45119.0</v>
      </c>
      <c r="J21" s="19">
        <v>45558.0</v>
      </c>
    </row>
    <row r="22">
      <c r="A22" s="5">
        <v>21.0</v>
      </c>
      <c r="B22" s="6" t="str">
        <f>VLOOKUP(A22,vaccines!A:B,2)</f>
        <v>Avaxim_80</v>
      </c>
      <c r="C22" s="14" t="s">
        <v>565</v>
      </c>
      <c r="D22" s="14" t="s">
        <v>566</v>
      </c>
      <c r="E22" s="22">
        <v>43500.0</v>
      </c>
      <c r="F22" s="23">
        <v>3.0</v>
      </c>
      <c r="G22" s="23">
        <v>2.0</v>
      </c>
      <c r="H22" s="25" t="s">
        <v>567</v>
      </c>
      <c r="I22" s="22">
        <v>45119.0</v>
      </c>
      <c r="J22" s="10"/>
    </row>
    <row r="23">
      <c r="A23" s="5">
        <v>22.0</v>
      </c>
      <c r="B23" s="6" t="str">
        <f>VLOOKUP(A23,vaccines!A:B,2)</f>
        <v>Avaxim_160</v>
      </c>
      <c r="C23" s="14" t="s">
        <v>568</v>
      </c>
      <c r="D23" s="14" t="s">
        <v>569</v>
      </c>
      <c r="E23" s="22">
        <v>42131.0</v>
      </c>
      <c r="F23" s="23">
        <v>1.0</v>
      </c>
      <c r="G23" s="23">
        <v>0.0</v>
      </c>
      <c r="H23" s="25" t="s">
        <v>78</v>
      </c>
      <c r="I23" s="22">
        <v>45119.0</v>
      </c>
      <c r="J23" s="10"/>
    </row>
    <row r="24">
      <c r="A24" s="5">
        <v>23.0</v>
      </c>
      <c r="B24" s="6" t="str">
        <f>VLOOKUP(A24,vaccines!A:B,2)</f>
        <v>Regevac_0_5</v>
      </c>
      <c r="C24" s="14" t="s">
        <v>570</v>
      </c>
      <c r="D24" s="14" t="s">
        <v>571</v>
      </c>
      <c r="E24" s="15">
        <v>45216.0</v>
      </c>
      <c r="F24" s="21">
        <v>1.0</v>
      </c>
      <c r="G24" s="21">
        <v>0.0</v>
      </c>
      <c r="H24" s="17" t="s">
        <v>81</v>
      </c>
      <c r="I24" s="15">
        <f t="shared" ref="I24:I25" si="3">I23</f>
        <v>45119</v>
      </c>
      <c r="J24" s="19">
        <v>45988.0</v>
      </c>
      <c r="K24" s="20" t="s">
        <v>18</v>
      </c>
    </row>
    <row r="25">
      <c r="A25" s="5">
        <v>24.0</v>
      </c>
      <c r="B25" s="6" t="str">
        <f>VLOOKUP(A25,vaccines!A:B,2)</f>
        <v>HepB_Combiotech_0_5</v>
      </c>
      <c r="C25" s="14" t="s">
        <v>572</v>
      </c>
      <c r="D25" s="14" t="s">
        <v>573</v>
      </c>
      <c r="E25" s="15">
        <v>46056.0</v>
      </c>
      <c r="F25" s="21">
        <v>1.0</v>
      </c>
      <c r="G25" s="21">
        <v>0.0</v>
      </c>
      <c r="H25" s="17" t="s">
        <v>84</v>
      </c>
      <c r="I25" s="15">
        <f t="shared" si="3"/>
        <v>45119</v>
      </c>
      <c r="J25" s="19">
        <v>46130.0</v>
      </c>
    </row>
    <row r="26">
      <c r="A26" s="5">
        <v>25.0</v>
      </c>
      <c r="B26" s="6" t="str">
        <f>VLOOKUP(A26,vaccines!A:B,2)</f>
        <v>Euvax_B_0_5</v>
      </c>
      <c r="C26" s="14" t="s">
        <v>574</v>
      </c>
      <c r="D26" s="14" t="s">
        <v>575</v>
      </c>
      <c r="E26" s="22">
        <v>41841.0</v>
      </c>
      <c r="F26" s="23">
        <v>1.0</v>
      </c>
      <c r="G26" s="23">
        <v>0.0</v>
      </c>
      <c r="H26" s="24" t="s">
        <v>576</v>
      </c>
      <c r="I26" s="22">
        <v>45120.0</v>
      </c>
      <c r="J26" s="10"/>
    </row>
    <row r="27">
      <c r="A27" s="5">
        <v>26.0</v>
      </c>
      <c r="B27" s="6" t="str">
        <f>VLOOKUP(A27,vaccines!A:B,2)</f>
        <v>Euvax_B_1_0</v>
      </c>
      <c r="C27" s="14" t="s">
        <v>574</v>
      </c>
      <c r="D27" s="14" t="s">
        <v>575</v>
      </c>
      <c r="E27" s="22">
        <v>41841.0</v>
      </c>
      <c r="F27" s="23">
        <v>1.0</v>
      </c>
      <c r="G27" s="23">
        <v>0.0</v>
      </c>
      <c r="H27" s="24" t="s">
        <v>576</v>
      </c>
      <c r="I27" s="22">
        <v>45120.0</v>
      </c>
      <c r="J27" s="10"/>
    </row>
    <row r="28">
      <c r="A28" s="5">
        <v>27.0</v>
      </c>
      <c r="B28" s="6" t="str">
        <f>VLOOKUP(A28,vaccines!A:B,2)</f>
        <v>Cervarix</v>
      </c>
      <c r="C28" s="14" t="s">
        <v>577</v>
      </c>
      <c r="D28" s="14" t="s">
        <v>578</v>
      </c>
      <c r="E28" s="15">
        <v>45513.0</v>
      </c>
      <c r="F28" s="16"/>
      <c r="G28" s="16"/>
      <c r="H28" s="17" t="s">
        <v>92</v>
      </c>
      <c r="I28" s="15">
        <f>I27</f>
        <v>45120</v>
      </c>
      <c r="J28" s="19">
        <v>45589.0</v>
      </c>
    </row>
    <row r="29">
      <c r="A29" s="5">
        <v>28.0</v>
      </c>
      <c r="B29" s="6" t="str">
        <f>VLOOKUP(A29,vaccines!A:B,2)</f>
        <v>Gardasil_4</v>
      </c>
      <c r="C29" s="14" t="s">
        <v>579</v>
      </c>
      <c r="D29" s="14" t="s">
        <v>580</v>
      </c>
      <c r="E29" s="15">
        <v>45386.0</v>
      </c>
      <c r="F29" s="16"/>
      <c r="G29" s="16"/>
      <c r="H29" s="17" t="s">
        <v>95</v>
      </c>
      <c r="I29" s="22">
        <v>45120.0</v>
      </c>
      <c r="J29" s="22">
        <v>45483.0</v>
      </c>
    </row>
    <row r="30">
      <c r="A30" s="5">
        <v>29.0</v>
      </c>
      <c r="B30" s="6" t="str">
        <f>VLOOKUP(A30,vaccines!A:B,2)</f>
        <v>Sputnik</v>
      </c>
      <c r="C30" s="14" t="s">
        <v>581</v>
      </c>
      <c r="D30" s="14" t="s">
        <v>582</v>
      </c>
      <c r="E30" s="15">
        <v>45839.0</v>
      </c>
      <c r="F30" s="21">
        <v>1.0</v>
      </c>
      <c r="G30" s="21">
        <v>0.0</v>
      </c>
      <c r="H30" s="17" t="s">
        <v>98</v>
      </c>
      <c r="I30" s="18">
        <v>45121.0</v>
      </c>
      <c r="J30" s="19">
        <v>45923.0</v>
      </c>
    </row>
    <row r="31">
      <c r="A31" s="5">
        <v>30.0</v>
      </c>
      <c r="B31" s="6" t="str">
        <f>VLOOKUP(A31,vaccines!A:B,2)</f>
        <v>Sputnik_Lyo</v>
      </c>
      <c r="C31" s="14" t="s">
        <v>583</v>
      </c>
      <c r="D31" s="14" t="s">
        <v>584</v>
      </c>
      <c r="E31" s="22">
        <v>44068.0</v>
      </c>
      <c r="F31" s="23">
        <v>1.0</v>
      </c>
      <c r="G31" s="23">
        <v>0.0</v>
      </c>
      <c r="H31" s="25" t="s">
        <v>585</v>
      </c>
      <c r="I31" s="22">
        <v>45121.0</v>
      </c>
      <c r="J31" s="10"/>
    </row>
    <row r="32">
      <c r="A32" s="5">
        <v>31.0</v>
      </c>
      <c r="B32" s="6" t="str">
        <f>VLOOKUP(A32,vaccines!A:B,2)</f>
        <v>EpiVacCorona</v>
      </c>
      <c r="C32" s="14" t="s">
        <v>586</v>
      </c>
      <c r="D32" s="14" t="s">
        <v>587</v>
      </c>
      <c r="E32" s="22">
        <v>44911.0</v>
      </c>
      <c r="F32" s="23">
        <v>1.0</v>
      </c>
      <c r="G32" s="23">
        <v>0.0</v>
      </c>
      <c r="H32" s="25" t="s">
        <v>104</v>
      </c>
      <c r="I32" s="22">
        <v>45122.0</v>
      </c>
      <c r="J32" s="10"/>
    </row>
    <row r="33">
      <c r="A33" s="5">
        <v>32.0</v>
      </c>
      <c r="B33" s="6" t="str">
        <f>VLOOKUP(A33,vaccines!A:B,2)</f>
        <v>Grippol_Microgen</v>
      </c>
      <c r="C33" s="14" t="s">
        <v>588</v>
      </c>
      <c r="D33" s="14" t="s">
        <v>589</v>
      </c>
      <c r="E33" s="22">
        <v>41411.0</v>
      </c>
      <c r="F33" s="23">
        <v>1.0</v>
      </c>
      <c r="G33" s="23">
        <v>0.0</v>
      </c>
      <c r="H33" s="25" t="s">
        <v>107</v>
      </c>
      <c r="I33" s="22">
        <v>45122.0</v>
      </c>
      <c r="J33" s="10"/>
    </row>
    <row r="34">
      <c r="A34" s="5">
        <v>33.0</v>
      </c>
      <c r="B34" s="6" t="str">
        <f>VLOOKUP(A34,vaccines!A:B,2)</f>
        <v>Grippol_Petrovax</v>
      </c>
      <c r="C34" s="14" t="s">
        <v>590</v>
      </c>
      <c r="D34" s="14" t="s">
        <v>591</v>
      </c>
      <c r="E34" s="22">
        <v>40634.0</v>
      </c>
      <c r="F34" s="23">
        <v>1.0</v>
      </c>
      <c r="G34" s="23">
        <v>0.0</v>
      </c>
      <c r="H34" s="25" t="s">
        <v>110</v>
      </c>
      <c r="I34" s="22">
        <v>45122.0</v>
      </c>
      <c r="J34" s="10"/>
      <c r="K34" s="20" t="s">
        <v>18</v>
      </c>
    </row>
    <row r="35">
      <c r="A35" s="5">
        <v>34.0</v>
      </c>
      <c r="B35" s="6" t="str">
        <f>VLOOKUP(A35,vaccines!A:B,2)</f>
        <v>Grippol_plus_0_5</v>
      </c>
      <c r="C35" s="14" t="s">
        <v>592</v>
      </c>
      <c r="D35" s="14" t="s">
        <v>593</v>
      </c>
      <c r="E35" s="15">
        <v>45182.0</v>
      </c>
      <c r="F35" s="16"/>
      <c r="G35" s="16"/>
      <c r="H35" s="17" t="s">
        <v>113</v>
      </c>
      <c r="I35" s="22">
        <v>45122.0</v>
      </c>
      <c r="J35" s="22">
        <v>45483.0</v>
      </c>
    </row>
    <row r="36">
      <c r="A36" s="5">
        <v>35.0</v>
      </c>
      <c r="B36" s="6" t="str">
        <f>VLOOKUP(A36,vaccines!A:B,2)</f>
        <v>Sovigripp</v>
      </c>
      <c r="C36" s="14" t="s">
        <v>594</v>
      </c>
      <c r="D36" s="14" t="s">
        <v>595</v>
      </c>
      <c r="E36" s="15">
        <v>45580.0</v>
      </c>
      <c r="F36" s="16"/>
      <c r="G36" s="16"/>
      <c r="H36" s="29" t="s">
        <v>116</v>
      </c>
      <c r="I36" s="15">
        <f>I35</f>
        <v>45122</v>
      </c>
      <c r="J36" s="19">
        <v>45622.0</v>
      </c>
    </row>
    <row r="37">
      <c r="A37" s="5">
        <v>36.0</v>
      </c>
      <c r="B37" s="6" t="str">
        <f>VLOOKUP(A37,vaccines!A:B,2)</f>
        <v>Ultrix</v>
      </c>
      <c r="C37" s="30" t="s">
        <v>596</v>
      </c>
      <c r="D37" s="30" t="s">
        <v>597</v>
      </c>
      <c r="E37" s="15">
        <v>45211.0</v>
      </c>
      <c r="F37" s="16"/>
      <c r="G37" s="16"/>
      <c r="H37" s="17" t="s">
        <v>119</v>
      </c>
      <c r="I37" s="22">
        <v>45123.0</v>
      </c>
      <c r="J37" s="22">
        <v>45483.0</v>
      </c>
    </row>
    <row r="38">
      <c r="A38" s="5">
        <v>37.0</v>
      </c>
      <c r="B38" s="6" t="str">
        <f>VLOOKUP(A38,vaccines!A:B,2)</f>
        <v>Flu_M</v>
      </c>
      <c r="C38" s="14" t="s">
        <v>598</v>
      </c>
      <c r="D38" s="14" t="s">
        <v>599</v>
      </c>
      <c r="E38" s="15">
        <v>46035.0</v>
      </c>
      <c r="F38" s="21">
        <v>1.0</v>
      </c>
      <c r="G38" s="21">
        <v>0.0</v>
      </c>
      <c r="H38" s="17" t="s">
        <v>122</v>
      </c>
      <c r="I38" s="15">
        <f>I37</f>
        <v>45123</v>
      </c>
      <c r="J38" s="19">
        <v>46130.0</v>
      </c>
    </row>
    <row r="39">
      <c r="A39" s="5">
        <v>38.0</v>
      </c>
      <c r="B39" s="6" t="str">
        <f>VLOOKUP(A39,vaccines!A:B,2)</f>
        <v>Vaxigrip</v>
      </c>
      <c r="C39" s="14" t="s">
        <v>600</v>
      </c>
      <c r="D39" s="14" t="s">
        <v>601</v>
      </c>
      <c r="E39" s="22">
        <v>43598.0</v>
      </c>
      <c r="F39" s="23">
        <v>2.0</v>
      </c>
      <c r="G39" s="23">
        <v>1.0</v>
      </c>
      <c r="H39" s="25" t="s">
        <v>602</v>
      </c>
      <c r="I39" s="22">
        <v>45123.0</v>
      </c>
      <c r="J39" s="10"/>
    </row>
    <row r="40">
      <c r="A40" s="5">
        <v>39.0</v>
      </c>
      <c r="B40" s="6" t="str">
        <f>VLOOKUP(A40,vaccines!A:B,2)</f>
        <v>Influvac</v>
      </c>
      <c r="C40" s="14" t="s">
        <v>603</v>
      </c>
      <c r="D40" s="14" t="s">
        <v>604</v>
      </c>
      <c r="E40" s="15">
        <v>46066.0</v>
      </c>
      <c r="F40" s="21">
        <v>1.0</v>
      </c>
      <c r="G40" s="21">
        <v>0.0</v>
      </c>
      <c r="H40" s="17" t="s">
        <v>128</v>
      </c>
      <c r="I40" s="15">
        <f>I39</f>
        <v>45123</v>
      </c>
      <c r="J40" s="19">
        <v>46130.0</v>
      </c>
    </row>
    <row r="41">
      <c r="A41" s="5">
        <v>40.0</v>
      </c>
      <c r="B41" s="6" t="str">
        <f>VLOOKUP(A41,vaccines!A:B,2)</f>
        <v>Ultrix_quadri</v>
      </c>
      <c r="C41" s="14" t="s">
        <v>605</v>
      </c>
      <c r="D41" s="14" t="s">
        <v>606</v>
      </c>
      <c r="E41" s="15">
        <v>45524.0</v>
      </c>
      <c r="F41" s="16"/>
      <c r="G41" s="16"/>
      <c r="H41" s="29" t="s">
        <v>131</v>
      </c>
      <c r="I41" s="22">
        <v>45124.0</v>
      </c>
      <c r="J41" s="19">
        <v>45589.0</v>
      </c>
    </row>
    <row r="42">
      <c r="A42" s="5">
        <v>41.0</v>
      </c>
      <c r="B42" s="6" t="str">
        <f>VLOOKUP(A42,vaccines!A:B,2)</f>
        <v>Grippol_quadrivalent</v>
      </c>
      <c r="C42" s="14" t="s">
        <v>607</v>
      </c>
      <c r="D42" s="14" t="s">
        <v>608</v>
      </c>
      <c r="E42" s="15">
        <v>45727.0</v>
      </c>
      <c r="F42" s="21">
        <v>1.0</v>
      </c>
      <c r="G42" s="21">
        <v>0.0</v>
      </c>
      <c r="H42" s="17" t="s">
        <v>134</v>
      </c>
      <c r="I42" s="15">
        <f t="shared" ref="I42:I44" si="4">I41</f>
        <v>45124</v>
      </c>
      <c r="J42" s="19">
        <v>45818.0</v>
      </c>
    </row>
    <row r="43">
      <c r="A43" s="5">
        <v>42.0</v>
      </c>
      <c r="B43" s="6" t="str">
        <f>VLOOKUP(A43,vaccines!A:B,2)</f>
        <v>measles_Microgen</v>
      </c>
      <c r="C43" s="14" t="s">
        <v>609</v>
      </c>
      <c r="D43" s="14" t="s">
        <v>610</v>
      </c>
      <c r="E43" s="15">
        <v>45404.0</v>
      </c>
      <c r="F43" s="16"/>
      <c r="G43" s="16"/>
      <c r="H43" s="17" t="s">
        <v>137</v>
      </c>
      <c r="I43" s="15">
        <f t="shared" si="4"/>
        <v>45124</v>
      </c>
      <c r="J43" s="15">
        <v>45483.0</v>
      </c>
    </row>
    <row r="44">
      <c r="A44" s="5">
        <v>43.0</v>
      </c>
      <c r="B44" s="6" t="str">
        <f>VLOOKUP(A44,vaccines!A:B,2)</f>
        <v>measles_Serum_India</v>
      </c>
      <c r="C44" s="14" t="s">
        <v>611</v>
      </c>
      <c r="D44" s="14" t="s">
        <v>612</v>
      </c>
      <c r="E44" s="15">
        <v>45981.0</v>
      </c>
      <c r="F44" s="21">
        <v>1.0</v>
      </c>
      <c r="G44" s="21">
        <v>0.0</v>
      </c>
      <c r="H44" s="17" t="s">
        <v>140</v>
      </c>
      <c r="I44" s="15">
        <f t="shared" si="4"/>
        <v>45124</v>
      </c>
      <c r="J44" s="19">
        <v>46053.0</v>
      </c>
      <c r="K44" s="20" t="s">
        <v>18</v>
      </c>
    </row>
    <row r="45">
      <c r="A45" s="5">
        <v>44.0</v>
      </c>
      <c r="B45" s="6" t="str">
        <f>VLOOKUP(A45,vaccines!A:B,2)</f>
        <v>measles_Vector</v>
      </c>
      <c r="C45" s="40" t="s">
        <v>613</v>
      </c>
      <c r="D45" s="14" t="s">
        <v>614</v>
      </c>
      <c r="E45" s="22">
        <v>39421.0</v>
      </c>
      <c r="F45" s="23">
        <v>1.0</v>
      </c>
      <c r="G45" s="23">
        <v>0.0</v>
      </c>
      <c r="H45" s="24" t="s">
        <v>143</v>
      </c>
      <c r="I45" s="22">
        <v>45124.0</v>
      </c>
      <c r="J45" s="10"/>
    </row>
    <row r="46">
      <c r="A46" s="5">
        <v>45.0</v>
      </c>
      <c r="B46" s="6" t="str">
        <f>VLOOKUP(A46,vaccines!A:B,2)</f>
        <v>measles_mumps_Microgen</v>
      </c>
      <c r="C46" s="14" t="s">
        <v>615</v>
      </c>
      <c r="D46" s="14" t="s">
        <v>616</v>
      </c>
      <c r="E46" s="15">
        <v>45460.0</v>
      </c>
      <c r="F46" s="16"/>
      <c r="G46" s="16"/>
      <c r="H46" s="29" t="s">
        <v>146</v>
      </c>
      <c r="I46" s="15">
        <f t="shared" ref="I46:I47" si="5">I45</f>
        <v>45124</v>
      </c>
      <c r="J46" s="19">
        <v>45589.0</v>
      </c>
    </row>
    <row r="47">
      <c r="A47" s="5">
        <v>46.0</v>
      </c>
      <c r="B47" s="6" t="str">
        <f>VLOOKUP(A47,vaccines!A:B,2)</f>
        <v>Vactrivir</v>
      </c>
      <c r="C47" s="14" t="s">
        <v>617</v>
      </c>
      <c r="D47" s="14" t="s">
        <v>618</v>
      </c>
      <c r="E47" s="15">
        <v>45817.0</v>
      </c>
      <c r="F47" s="21">
        <v>1.0</v>
      </c>
      <c r="G47" s="21">
        <v>0.0</v>
      </c>
      <c r="H47" s="17" t="s">
        <v>149</v>
      </c>
      <c r="I47" s="15">
        <f t="shared" si="5"/>
        <v>45124</v>
      </c>
      <c r="J47" s="19">
        <v>45830.0</v>
      </c>
    </row>
    <row r="48">
      <c r="A48" s="5">
        <v>47.0</v>
      </c>
      <c r="B48" s="6" t="str">
        <f>VLOOKUP(A48,vaccines!A:B,2)</f>
        <v>MMR_II</v>
      </c>
      <c r="C48" s="14" t="s">
        <v>619</v>
      </c>
      <c r="D48" s="14" t="s">
        <v>620</v>
      </c>
      <c r="E48" s="22">
        <v>44228.0</v>
      </c>
      <c r="F48" s="23">
        <v>6.0</v>
      </c>
      <c r="G48" s="23">
        <v>6.0</v>
      </c>
      <c r="H48" s="25" t="s">
        <v>621</v>
      </c>
      <c r="I48" s="22">
        <v>45124.0</v>
      </c>
      <c r="J48" s="10"/>
    </row>
    <row r="49">
      <c r="A49" s="5">
        <v>48.0</v>
      </c>
      <c r="B49" s="6" t="str">
        <f>VLOOKUP(A49,vaccines!A:B,2)</f>
        <v>MenA_Microgen</v>
      </c>
      <c r="C49" s="14" t="s">
        <v>622</v>
      </c>
      <c r="D49" s="14" t="s">
        <v>623</v>
      </c>
      <c r="E49" s="22">
        <v>45414.0</v>
      </c>
      <c r="H49" s="35" t="s">
        <v>155</v>
      </c>
      <c r="I49" s="22">
        <v>45124.0</v>
      </c>
      <c r="J49" s="22">
        <v>45460.0</v>
      </c>
    </row>
    <row r="50">
      <c r="A50" s="5">
        <v>49.0</v>
      </c>
      <c r="B50" s="6" t="str">
        <f>VLOOKUP(A50,vaccines!A:B,2)</f>
        <v>MeningoVac_A_C</v>
      </c>
      <c r="C50" s="14" t="s">
        <v>624</v>
      </c>
      <c r="D50" s="14" t="s">
        <v>625</v>
      </c>
      <c r="E50" s="19">
        <v>45414.0</v>
      </c>
      <c r="F50" s="6"/>
      <c r="G50" s="6"/>
      <c r="H50" s="17" t="s">
        <v>158</v>
      </c>
      <c r="I50" s="22">
        <v>45124.0</v>
      </c>
      <c r="J50" s="22">
        <v>45460.0</v>
      </c>
    </row>
    <row r="51">
      <c r="A51" s="5">
        <v>50.0</v>
      </c>
      <c r="B51" s="6" t="str">
        <f>VLOOKUP(A51,vaccines!A:B,2)</f>
        <v>Menactra</v>
      </c>
      <c r="C51" s="14" t="s">
        <v>626</v>
      </c>
      <c r="D51" s="14" t="s">
        <v>627</v>
      </c>
      <c r="E51" s="15">
        <v>45188.0</v>
      </c>
      <c r="F51" s="16"/>
      <c r="G51" s="16"/>
      <c r="H51" s="17" t="s">
        <v>161</v>
      </c>
      <c r="I51" s="19">
        <f t="shared" ref="I51:I52" si="6">I50</f>
        <v>45124</v>
      </c>
      <c r="J51" s="19">
        <v>45483.0</v>
      </c>
    </row>
    <row r="52">
      <c r="A52" s="5">
        <v>51.0</v>
      </c>
      <c r="B52" s="6" t="str">
        <f>VLOOKUP(A52,vaccines!A:B,2)</f>
        <v>mumps_Microgen</v>
      </c>
      <c r="C52" s="14" t="s">
        <v>615</v>
      </c>
      <c r="D52" s="14" t="s">
        <v>616</v>
      </c>
      <c r="E52" s="15">
        <v>45454.0</v>
      </c>
      <c r="F52" s="16"/>
      <c r="G52" s="16"/>
      <c r="H52" s="29" t="s">
        <v>164</v>
      </c>
      <c r="I52" s="15">
        <f t="shared" si="6"/>
        <v>45124</v>
      </c>
      <c r="J52" s="19">
        <v>45589.0</v>
      </c>
    </row>
    <row r="53">
      <c r="A53" s="5">
        <v>52.0</v>
      </c>
      <c r="B53" s="6" t="str">
        <f>VLOOKUP(A53,vaccines!A:B,2)</f>
        <v>Prevenar_13</v>
      </c>
      <c r="C53" s="14" t="s">
        <v>628</v>
      </c>
      <c r="D53" s="14" t="s">
        <v>629</v>
      </c>
      <c r="E53" s="15">
        <v>45267.0</v>
      </c>
      <c r="F53" s="16"/>
      <c r="G53" s="16"/>
      <c r="H53" s="17" t="s">
        <v>167</v>
      </c>
      <c r="I53" s="28">
        <v>45125.0</v>
      </c>
      <c r="J53" s="19">
        <v>45481.0</v>
      </c>
    </row>
    <row r="54">
      <c r="A54" s="5">
        <v>53.0</v>
      </c>
      <c r="B54" s="6" t="str">
        <f>VLOOKUP(A54,vaccines!A:B,2)</f>
        <v>Synflorix</v>
      </c>
      <c r="C54" s="14" t="s">
        <v>630</v>
      </c>
      <c r="D54" s="14" t="s">
        <v>631</v>
      </c>
      <c r="E54" s="22">
        <v>43605.0</v>
      </c>
      <c r="F54" s="23">
        <v>1.0</v>
      </c>
      <c r="G54" s="23">
        <v>0.0</v>
      </c>
      <c r="H54" s="24" t="s">
        <v>170</v>
      </c>
      <c r="I54" s="28">
        <v>45125.0</v>
      </c>
      <c r="J54" s="10"/>
      <c r="K54" s="20" t="s">
        <v>18</v>
      </c>
    </row>
    <row r="55">
      <c r="A55" s="5">
        <v>54.0</v>
      </c>
      <c r="B55" s="6" t="str">
        <f>VLOOKUP(A55,vaccines!A:B,2)</f>
        <v>Pneumovax_23</v>
      </c>
      <c r="C55" s="14" t="s">
        <v>632</v>
      </c>
      <c r="D55" s="14" t="s">
        <v>633</v>
      </c>
      <c r="E55" s="15">
        <v>45051.0</v>
      </c>
      <c r="F55" s="16"/>
      <c r="G55" s="16"/>
      <c r="H55" s="17" t="s">
        <v>173</v>
      </c>
      <c r="I55" s="15">
        <f>I54</f>
        <v>45125</v>
      </c>
      <c r="J55" s="19">
        <v>45489.0</v>
      </c>
    </row>
    <row r="56">
      <c r="A56" s="5">
        <v>55.0</v>
      </c>
      <c r="B56" s="6" t="str">
        <f>VLOOKUP(A56,vaccines!A:B,2)</f>
        <v>MonoVac_Polio</v>
      </c>
      <c r="C56" s="14" t="s">
        <v>634</v>
      </c>
      <c r="D56" s="14" t="s">
        <v>635</v>
      </c>
      <c r="E56" s="22">
        <v>44266.0</v>
      </c>
      <c r="F56" s="23">
        <v>1.0</v>
      </c>
      <c r="G56" s="23">
        <v>0.0</v>
      </c>
      <c r="H56" s="25" t="s">
        <v>636</v>
      </c>
      <c r="I56" s="22">
        <v>45125.0</v>
      </c>
      <c r="J56" s="10"/>
    </row>
    <row r="57">
      <c r="A57" s="5">
        <v>56.0</v>
      </c>
      <c r="B57" s="6" t="str">
        <f>VLOOKUP(A57,vaccines!A:B,2)</f>
        <v>BiVac_Polio</v>
      </c>
      <c r="C57" s="14" t="s">
        <v>637</v>
      </c>
      <c r="D57" s="14" t="s">
        <v>638</v>
      </c>
      <c r="E57" s="15">
        <v>45736.0</v>
      </c>
      <c r="F57" s="21">
        <v>1.0</v>
      </c>
      <c r="G57" s="21">
        <v>0.0</v>
      </c>
      <c r="H57" s="17" t="s">
        <v>179</v>
      </c>
      <c r="I57" s="15">
        <f t="shared" ref="I57:I59" si="7">I56</f>
        <v>45125</v>
      </c>
      <c r="J57" s="19">
        <v>45988.0</v>
      </c>
    </row>
    <row r="58">
      <c r="A58" s="5">
        <v>57.0</v>
      </c>
      <c r="B58" s="6" t="str">
        <f>VLOOKUP(A58,vaccines!A:B,2)</f>
        <v>Polymilex</v>
      </c>
      <c r="C58" s="14" t="s">
        <v>639</v>
      </c>
      <c r="D58" s="14" t="s">
        <v>640</v>
      </c>
      <c r="E58" s="15">
        <v>45623.0</v>
      </c>
      <c r="F58" s="21">
        <v>1.0</v>
      </c>
      <c r="G58" s="21">
        <v>0.0</v>
      </c>
      <c r="H58" s="17" t="s">
        <v>182</v>
      </c>
      <c r="I58" s="15">
        <f t="shared" si="7"/>
        <v>45125</v>
      </c>
      <c r="J58" s="19">
        <v>45715.0</v>
      </c>
    </row>
    <row r="59">
      <c r="A59" s="5">
        <v>58.0</v>
      </c>
      <c r="B59" s="6" t="str">
        <f>VLOOKUP(A59,vaccines!A:B,2)</f>
        <v>COCAV</v>
      </c>
      <c r="C59" s="14" t="s">
        <v>641</v>
      </c>
      <c r="D59" s="14" t="s">
        <v>642</v>
      </c>
      <c r="E59" s="15">
        <v>45631.0</v>
      </c>
      <c r="F59" s="16"/>
      <c r="G59" s="16"/>
      <c r="H59" s="17" t="s">
        <v>185</v>
      </c>
      <c r="I59" s="15">
        <f t="shared" si="7"/>
        <v>45125</v>
      </c>
      <c r="J59" s="19">
        <v>45678.0</v>
      </c>
    </row>
    <row r="60">
      <c r="A60" s="5">
        <v>59.0</v>
      </c>
      <c r="B60" s="6" t="str">
        <f>VLOOKUP(A60,vaccines!A:B,2)</f>
        <v>rabies_Chumakov</v>
      </c>
      <c r="C60" s="14" t="s">
        <v>643</v>
      </c>
      <c r="D60" s="14" t="s">
        <v>644</v>
      </c>
      <c r="E60" s="22">
        <v>44862.0</v>
      </c>
      <c r="F60" s="23">
        <v>1.0</v>
      </c>
      <c r="G60" s="23">
        <v>0.0</v>
      </c>
      <c r="H60" s="25" t="s">
        <v>188</v>
      </c>
      <c r="I60" s="28">
        <v>45125.0</v>
      </c>
      <c r="J60" s="10"/>
    </row>
    <row r="61">
      <c r="A61" s="5">
        <v>60.0</v>
      </c>
      <c r="B61" s="6" t="str">
        <f>VLOOKUP(A61,vaccines!A:B,2)</f>
        <v>Rabivac_Vnukovo_32</v>
      </c>
      <c r="C61" s="14" t="s">
        <v>645</v>
      </c>
      <c r="D61" s="14" t="s">
        <v>646</v>
      </c>
      <c r="E61" s="22">
        <v>40925.0</v>
      </c>
      <c r="F61" s="23">
        <v>1.0</v>
      </c>
      <c r="G61" s="23">
        <v>0.0</v>
      </c>
      <c r="H61" s="24" t="s">
        <v>191</v>
      </c>
      <c r="I61" s="28">
        <v>45125.0</v>
      </c>
      <c r="J61" s="10"/>
    </row>
    <row r="62">
      <c r="A62" s="5">
        <v>61.0</v>
      </c>
      <c r="B62" s="6" t="str">
        <f>VLOOKUP(A62,vaccines!A:B,2)</f>
        <v>RotaTeq</v>
      </c>
      <c r="C62" s="14" t="s">
        <v>647</v>
      </c>
      <c r="D62" s="14" t="s">
        <v>648</v>
      </c>
      <c r="E62" s="22">
        <v>43010.0</v>
      </c>
      <c r="F62" s="23">
        <v>1.0</v>
      </c>
      <c r="G62" s="23">
        <v>0.0</v>
      </c>
      <c r="H62" s="25" t="s">
        <v>649</v>
      </c>
      <c r="I62" s="22">
        <v>45127.0</v>
      </c>
      <c r="J62" s="10"/>
    </row>
    <row r="63">
      <c r="A63" s="5">
        <v>62.0</v>
      </c>
      <c r="B63" s="6" t="str">
        <f>VLOOKUP(A63,vaccines!A:B,2)</f>
        <v>rubella_Microgen</v>
      </c>
      <c r="C63" s="14" t="s">
        <v>650</v>
      </c>
      <c r="D63" s="14" t="s">
        <v>651</v>
      </c>
      <c r="E63" s="15">
        <v>45531.0</v>
      </c>
      <c r="F63" s="16"/>
      <c r="G63" s="16"/>
      <c r="H63" s="29" t="s">
        <v>197</v>
      </c>
      <c r="I63" s="15">
        <f>I62</f>
        <v>45127</v>
      </c>
      <c r="J63" s="19">
        <v>45589.0</v>
      </c>
    </row>
    <row r="64">
      <c r="A64" s="5">
        <v>63.0</v>
      </c>
      <c r="B64" s="6" t="str">
        <f>VLOOKUP(A64,vaccines!A:B,2)</f>
        <v>rubella_Serum</v>
      </c>
      <c r="C64" s="40" t="s">
        <v>613</v>
      </c>
      <c r="D64" s="14" t="s">
        <v>614</v>
      </c>
      <c r="E64" s="22">
        <v>40142.0</v>
      </c>
      <c r="F64" s="23">
        <v>1.0</v>
      </c>
      <c r="G64" s="23">
        <v>0.0</v>
      </c>
      <c r="H64" s="24" t="s">
        <v>200</v>
      </c>
      <c r="I64" s="22">
        <v>45127.0</v>
      </c>
      <c r="J64" s="22">
        <v>45156.0</v>
      </c>
      <c r="K64" s="20" t="s">
        <v>18</v>
      </c>
    </row>
    <row r="65">
      <c r="A65" s="5">
        <v>64.0</v>
      </c>
      <c r="B65" s="6" t="str">
        <f>VLOOKUP(A65,vaccines!A:B,2)</f>
        <v>AS_Microgen</v>
      </c>
      <c r="C65" s="14" t="s">
        <v>652</v>
      </c>
      <c r="D65" s="14" t="s">
        <v>653</v>
      </c>
      <c r="E65" s="15">
        <v>45607.0</v>
      </c>
      <c r="F65" s="21">
        <v>1.0</v>
      </c>
      <c r="G65" s="21">
        <v>0.0</v>
      </c>
      <c r="H65" s="17" t="s">
        <v>203</v>
      </c>
      <c r="I65" s="15">
        <f>I64</f>
        <v>45127</v>
      </c>
      <c r="J65" s="19">
        <v>46053.0</v>
      </c>
    </row>
    <row r="66">
      <c r="A66" s="5">
        <v>65.0</v>
      </c>
      <c r="B66" s="6" t="str">
        <f>VLOOKUP(A66,vaccines!A:B,2)</f>
        <v>AS_Biomed</v>
      </c>
      <c r="C66" s="14" t="s">
        <v>537</v>
      </c>
      <c r="D66" s="14" t="s">
        <v>538</v>
      </c>
      <c r="E66" s="22">
        <v>41047.0</v>
      </c>
      <c r="F66" s="23">
        <v>1.0</v>
      </c>
      <c r="G66" s="23">
        <v>0.0</v>
      </c>
      <c r="H66" s="24" t="s">
        <v>206</v>
      </c>
      <c r="I66" s="22">
        <v>45128.0</v>
      </c>
      <c r="J66" s="10"/>
    </row>
    <row r="67">
      <c r="A67" s="5">
        <v>66.0</v>
      </c>
      <c r="B67" s="6" t="str">
        <f>VLOOKUP(A67,vaccines!A:B,2)</f>
        <v>Vaqta_25</v>
      </c>
      <c r="C67" s="14" t="s">
        <v>654</v>
      </c>
      <c r="D67" s="14" t="s">
        <v>655</v>
      </c>
      <c r="E67" s="22">
        <v>41780.0</v>
      </c>
      <c r="F67" s="23">
        <v>1.0</v>
      </c>
      <c r="G67" s="23">
        <v>0.0</v>
      </c>
      <c r="H67" s="24" t="s">
        <v>209</v>
      </c>
      <c r="I67" s="22">
        <v>45128.0</v>
      </c>
      <c r="J67" s="10"/>
    </row>
    <row r="68">
      <c r="A68" s="5">
        <v>67.0</v>
      </c>
      <c r="B68" s="6" t="str">
        <f>VLOOKUP(A68,vaccines!A:B,2)</f>
        <v>Vaqta_50</v>
      </c>
      <c r="C68" s="14" t="s">
        <v>654</v>
      </c>
      <c r="D68" s="14" t="s">
        <v>655</v>
      </c>
      <c r="E68" s="22">
        <v>41780.0</v>
      </c>
      <c r="F68" s="23">
        <v>1.0</v>
      </c>
      <c r="G68" s="23">
        <v>0.0</v>
      </c>
      <c r="H68" s="24" t="s">
        <v>209</v>
      </c>
      <c r="I68" s="22">
        <v>45128.0</v>
      </c>
      <c r="J68" s="10"/>
    </row>
    <row r="69">
      <c r="A69" s="5">
        <v>68.0</v>
      </c>
      <c r="B69" s="6" t="str">
        <f>VLOOKUP(A69,vaccines!A:B,2)</f>
        <v>Klesh_E_Vac_0_5</v>
      </c>
      <c r="C69" s="14" t="s">
        <v>656</v>
      </c>
      <c r="D69" s="14" t="s">
        <v>657</v>
      </c>
      <c r="E69" s="15">
        <v>45904.0</v>
      </c>
      <c r="F69" s="21">
        <v>1.0</v>
      </c>
      <c r="G69" s="21">
        <v>0.0</v>
      </c>
      <c r="H69" s="17" t="s">
        <v>214</v>
      </c>
      <c r="I69" s="15">
        <f t="shared" ref="I69:I74" si="8">I68</f>
        <v>45128</v>
      </c>
      <c r="J69" s="19">
        <v>45988.0</v>
      </c>
    </row>
    <row r="70">
      <c r="A70" s="5">
        <v>69.0</v>
      </c>
      <c r="B70" s="6" t="str">
        <f>VLOOKUP(A70,vaccines!A:B,2)</f>
        <v>Klesh_E_Vac_0_25</v>
      </c>
      <c r="C70" s="14" t="s">
        <v>658</v>
      </c>
      <c r="D70" s="14" t="s">
        <v>657</v>
      </c>
      <c r="E70" s="15">
        <v>45904.0</v>
      </c>
      <c r="F70" s="21">
        <v>1.0</v>
      </c>
      <c r="G70" s="21">
        <v>0.0</v>
      </c>
      <c r="H70" s="17" t="s">
        <v>214</v>
      </c>
      <c r="I70" s="15">
        <f t="shared" si="8"/>
        <v>45128</v>
      </c>
      <c r="J70" s="19">
        <v>45988.0</v>
      </c>
    </row>
    <row r="71">
      <c r="A71" s="5">
        <v>70.0</v>
      </c>
      <c r="B71" s="6" t="str">
        <f>VLOOKUP(A71,vaccines!A:B,2)</f>
        <v>EnceVir_0_5</v>
      </c>
      <c r="C71" s="14" t="s">
        <v>659</v>
      </c>
      <c r="D71" s="14" t="s">
        <v>660</v>
      </c>
      <c r="E71" s="15">
        <v>45510.0</v>
      </c>
      <c r="F71" s="16"/>
      <c r="G71" s="16"/>
      <c r="H71" s="29" t="s">
        <v>219</v>
      </c>
      <c r="I71" s="15">
        <f t="shared" si="8"/>
        <v>45128</v>
      </c>
      <c r="J71" s="19">
        <v>45589.0</v>
      </c>
    </row>
    <row r="72">
      <c r="A72" s="5">
        <v>71.0</v>
      </c>
      <c r="B72" s="6" t="str">
        <f>VLOOKUP(A72,vaccines!A:B,2)</f>
        <v>EnceVir_Neo_kids</v>
      </c>
      <c r="C72" s="14" t="s">
        <v>661</v>
      </c>
      <c r="D72" s="14" t="s">
        <v>662</v>
      </c>
      <c r="E72" s="15">
        <v>45520.0</v>
      </c>
      <c r="F72" s="16"/>
      <c r="G72" s="16"/>
      <c r="H72" s="29" t="s">
        <v>222</v>
      </c>
      <c r="I72" s="15">
        <f t="shared" si="8"/>
        <v>45128</v>
      </c>
      <c r="J72" s="19">
        <v>45589.0</v>
      </c>
    </row>
    <row r="73">
      <c r="A73" s="5">
        <v>72.0</v>
      </c>
      <c r="B73" s="6" t="str">
        <f>VLOOKUP(A73,vaccines!A:B,2)</f>
        <v>TBE_Chumakov_lyo</v>
      </c>
      <c r="C73" s="14" t="s">
        <v>663</v>
      </c>
      <c r="D73" s="14" t="s">
        <v>664</v>
      </c>
      <c r="E73" s="15">
        <v>45727.0</v>
      </c>
      <c r="F73" s="21">
        <v>1.0</v>
      </c>
      <c r="G73" s="21">
        <v>0.0</v>
      </c>
      <c r="H73" s="17" t="s">
        <v>225</v>
      </c>
      <c r="I73" s="15">
        <f t="shared" si="8"/>
        <v>45128</v>
      </c>
      <c r="J73" s="19">
        <v>45750.0</v>
      </c>
    </row>
    <row r="74">
      <c r="A74" s="5">
        <v>73.0</v>
      </c>
      <c r="B74" s="6" t="str">
        <f>VLOOKUP(A74,vaccines!A:B,2)</f>
        <v>Varilrix</v>
      </c>
      <c r="C74" s="14" t="s">
        <v>665</v>
      </c>
      <c r="D74" s="14" t="s">
        <v>666</v>
      </c>
      <c r="E74" s="15">
        <v>45439.0</v>
      </c>
      <c r="F74" s="21">
        <v>1.0</v>
      </c>
      <c r="G74" s="21">
        <v>0.0</v>
      </c>
      <c r="H74" s="17" t="s">
        <v>228</v>
      </c>
      <c r="I74" s="15">
        <f t="shared" si="8"/>
        <v>45128</v>
      </c>
      <c r="J74" s="31">
        <v>45830.0</v>
      </c>
      <c r="K74" s="20" t="s">
        <v>18</v>
      </c>
    </row>
    <row r="75">
      <c r="A75" s="5">
        <v>74.0</v>
      </c>
      <c r="B75" s="6" t="str">
        <f>VLOOKUP(A75,vaccines!A:B,2)</f>
        <v>YF_Chumakov_lyo</v>
      </c>
      <c r="C75" s="14" t="s">
        <v>667</v>
      </c>
      <c r="D75" s="14" t="s">
        <v>668</v>
      </c>
      <c r="E75" s="22">
        <v>44540.0</v>
      </c>
      <c r="F75" s="23">
        <v>1.0</v>
      </c>
      <c r="G75" s="23">
        <v>0.0</v>
      </c>
      <c r="H75" s="25" t="s">
        <v>231</v>
      </c>
      <c r="I75" s="22">
        <v>45129.0</v>
      </c>
      <c r="J75" s="10"/>
    </row>
    <row r="76">
      <c r="A76" s="5">
        <v>75.0</v>
      </c>
      <c r="B76" s="6" t="str">
        <f>VLOOKUP(A76,vaccines!A:B,2)</f>
        <v>tularemia_Microgen</v>
      </c>
      <c r="C76" s="14" t="s">
        <v>669</v>
      </c>
      <c r="D76" s="14" t="s">
        <v>670</v>
      </c>
      <c r="E76" s="15">
        <v>45562.0</v>
      </c>
      <c r="F76" s="16"/>
      <c r="G76" s="16"/>
      <c r="H76" s="17" t="s">
        <v>234</v>
      </c>
      <c r="I76" s="15">
        <f>I75</f>
        <v>45129</v>
      </c>
      <c r="J76" s="19">
        <v>45589.0</v>
      </c>
    </row>
    <row r="77">
      <c r="A77" s="5">
        <v>76.0</v>
      </c>
      <c r="B77" s="6" t="str">
        <f>VLOOKUP(A77,vaccines!A:B,2)</f>
        <v>plague_molecular_lyo_RPN</v>
      </c>
      <c r="C77" s="14" t="s">
        <v>671</v>
      </c>
      <c r="D77" s="14" t="s">
        <v>672</v>
      </c>
      <c r="E77" s="22">
        <v>43209.0</v>
      </c>
      <c r="F77" s="23">
        <v>1.0</v>
      </c>
      <c r="G77" s="23">
        <v>0.0</v>
      </c>
      <c r="H77" s="25" t="s">
        <v>237</v>
      </c>
      <c r="I77" s="22">
        <v>45129.0</v>
      </c>
      <c r="J77" s="10"/>
    </row>
    <row r="78">
      <c r="A78" s="5">
        <v>77.0</v>
      </c>
      <c r="B78" s="6" t="str">
        <f>VLOOKUP(A78,vaccines!A:B,2)</f>
        <v>plague_live_lyo_48_NII_Minoborony</v>
      </c>
      <c r="C78" s="14" t="s">
        <v>673</v>
      </c>
      <c r="D78" s="14" t="s">
        <v>674</v>
      </c>
      <c r="E78" s="22">
        <v>40675.0</v>
      </c>
      <c r="F78" s="23">
        <v>1.0</v>
      </c>
      <c r="G78" s="23">
        <v>0.0</v>
      </c>
      <c r="H78" s="25" t="s">
        <v>675</v>
      </c>
      <c r="I78" s="22">
        <v>45129.0</v>
      </c>
      <c r="J78" s="10"/>
    </row>
    <row r="79">
      <c r="A79" s="5">
        <v>78.0</v>
      </c>
      <c r="B79" s="6" t="str">
        <f>VLOOKUP(A79,vaccines!A:B,2)</f>
        <v>plague_live_tablets_48_NII_Minoborony</v>
      </c>
      <c r="C79" s="14" t="s">
        <v>673</v>
      </c>
      <c r="D79" s="14" t="s">
        <v>674</v>
      </c>
      <c r="E79" s="22">
        <v>40126.0</v>
      </c>
      <c r="F79" s="23">
        <v>1.0</v>
      </c>
      <c r="G79" s="23">
        <v>0.0</v>
      </c>
      <c r="H79" s="25" t="s">
        <v>676</v>
      </c>
      <c r="I79" s="22">
        <v>45129.0</v>
      </c>
      <c r="J79" s="10"/>
    </row>
    <row r="80">
      <c r="A80" s="5">
        <v>79.0</v>
      </c>
      <c r="B80" s="6" t="str">
        <f>VLOOKUP(A80,vaccines!A:B,2)</f>
        <v>plague_live_lyo_RPN</v>
      </c>
      <c r="C80" s="14" t="s">
        <v>677</v>
      </c>
      <c r="D80" s="14" t="s">
        <v>678</v>
      </c>
      <c r="E80" s="22">
        <v>44158.0</v>
      </c>
      <c r="F80" s="23">
        <v>1.0</v>
      </c>
      <c r="G80" s="23">
        <v>0.0</v>
      </c>
      <c r="H80" s="24" t="s">
        <v>246</v>
      </c>
      <c r="I80" s="22">
        <v>45129.0</v>
      </c>
      <c r="J80" s="10"/>
    </row>
    <row r="81">
      <c r="A81" s="5">
        <v>80.0</v>
      </c>
      <c r="B81" s="6" t="str">
        <f>VLOOKUP(A81,vaccines!A:B,2)</f>
        <v>brucellosis_therapeutic_48_NII_Minoborony</v>
      </c>
      <c r="C81" s="40" t="s">
        <v>613</v>
      </c>
      <c r="D81" s="14" t="s">
        <v>614</v>
      </c>
      <c r="E81" s="22">
        <v>40263.0</v>
      </c>
      <c r="F81" s="23">
        <v>1.0</v>
      </c>
      <c r="G81" s="23">
        <v>0.0</v>
      </c>
      <c r="H81" s="25" t="s">
        <v>679</v>
      </c>
      <c r="I81" s="22">
        <v>45130.0</v>
      </c>
      <c r="J81" s="10"/>
    </row>
    <row r="82">
      <c r="A82" s="5">
        <v>81.0</v>
      </c>
      <c r="B82" s="6" t="str">
        <f>VLOOKUP(A82,vaccines!A:B,2)</f>
        <v>brucellosis_prophylactic_Microgen</v>
      </c>
      <c r="C82" s="14" t="s">
        <v>680</v>
      </c>
      <c r="D82" s="14" t="s">
        <v>681</v>
      </c>
      <c r="E82" s="15">
        <v>45743.0</v>
      </c>
      <c r="F82" s="21">
        <v>1.0</v>
      </c>
      <c r="G82" s="21">
        <v>0.0</v>
      </c>
      <c r="H82" s="17" t="s">
        <v>252</v>
      </c>
      <c r="I82" s="15">
        <f>I81</f>
        <v>45130</v>
      </c>
      <c r="J82" s="19">
        <v>45798.0</v>
      </c>
    </row>
    <row r="83">
      <c r="A83" s="5">
        <v>82.0</v>
      </c>
      <c r="B83" s="6" t="str">
        <f>VLOOKUP(A83,vaccines!A:B,2)</f>
        <v>anthrax_live_48_NII_Minoborony</v>
      </c>
      <c r="C83" s="14" t="s">
        <v>682</v>
      </c>
      <c r="D83" s="14" t="s">
        <v>683</v>
      </c>
      <c r="E83" s="22">
        <v>43754.0</v>
      </c>
      <c r="F83" s="23">
        <v>1.0</v>
      </c>
      <c r="G83" s="23">
        <v>0.0</v>
      </c>
      <c r="H83" s="24" t="s">
        <v>255</v>
      </c>
      <c r="I83" s="22">
        <v>45130.0</v>
      </c>
      <c r="J83" s="10"/>
    </row>
    <row r="84">
      <c r="A84" s="5">
        <v>83.0</v>
      </c>
      <c r="B84" s="6" t="str">
        <f>VLOOKUP(A84,vaccines!A:B,2)</f>
        <v>anthrax_combined_48_NII_Minoborony</v>
      </c>
      <c r="C84" s="14" t="s">
        <v>673</v>
      </c>
      <c r="D84" s="14" t="s">
        <v>674</v>
      </c>
      <c r="E84" s="22">
        <v>39773.0</v>
      </c>
      <c r="F84" s="23">
        <v>1.0</v>
      </c>
      <c r="G84" s="23">
        <v>0.0</v>
      </c>
      <c r="H84" s="24" t="s">
        <v>684</v>
      </c>
      <c r="I84" s="22">
        <v>45130.0</v>
      </c>
      <c r="J84" s="10"/>
      <c r="K84" s="20" t="s">
        <v>18</v>
      </c>
    </row>
    <row r="85">
      <c r="A85" s="5">
        <v>84.0</v>
      </c>
      <c r="B85" s="6" t="str">
        <f>VLOOKUP(A85,vaccines!A:B,2)</f>
        <v>Rabipur</v>
      </c>
      <c r="C85" s="14" t="s">
        <v>685</v>
      </c>
      <c r="D85" s="14" t="s">
        <v>686</v>
      </c>
      <c r="E85" s="22">
        <v>42996.0</v>
      </c>
      <c r="F85" s="23">
        <v>1.0</v>
      </c>
      <c r="G85" s="23">
        <v>0.0</v>
      </c>
      <c r="H85" s="25" t="s">
        <v>261</v>
      </c>
      <c r="I85" s="22">
        <v>45130.0</v>
      </c>
      <c r="J85" s="10"/>
    </row>
    <row r="86">
      <c r="A86" s="5">
        <v>85.0</v>
      </c>
      <c r="B86" s="6" t="str">
        <f>VLOOKUP(A86,vaccines!A:B,2)</f>
        <v>leptospirosis_Rostov_NII</v>
      </c>
      <c r="C86" s="14" t="s">
        <v>687</v>
      </c>
      <c r="D86" s="14" t="s">
        <v>688</v>
      </c>
      <c r="E86" s="22">
        <v>43881.0</v>
      </c>
      <c r="F86" s="23">
        <v>1.0</v>
      </c>
      <c r="G86" s="23">
        <v>0.0</v>
      </c>
      <c r="H86" s="24" t="s">
        <v>264</v>
      </c>
      <c r="I86" s="22">
        <v>45130.0</v>
      </c>
      <c r="J86" s="10"/>
    </row>
    <row r="87">
      <c r="A87" s="5">
        <v>86.0</v>
      </c>
      <c r="B87" s="6" t="str">
        <f>VLOOKUP(A87,vaccines!A:B,2)</f>
        <v>Q_fever_M_44_Microgen</v>
      </c>
      <c r="C87" s="14" t="s">
        <v>687</v>
      </c>
      <c r="D87" s="14" t="s">
        <v>689</v>
      </c>
      <c r="E87" s="15">
        <v>45691.0</v>
      </c>
      <c r="F87" s="21">
        <v>1.0</v>
      </c>
      <c r="G87" s="21">
        <v>0.0</v>
      </c>
      <c r="H87" s="17" t="s">
        <v>267</v>
      </c>
      <c r="I87" s="15">
        <f>I86</f>
        <v>45130</v>
      </c>
      <c r="J87" s="19">
        <v>45716.0</v>
      </c>
    </row>
    <row r="88">
      <c r="A88" s="5">
        <v>87.0</v>
      </c>
      <c r="B88" s="6" t="str">
        <f>VLOOKUP(A88,vaccines!A:B,2)</f>
        <v>cholera_NII_Microb</v>
      </c>
      <c r="C88" s="14" t="s">
        <v>690</v>
      </c>
      <c r="D88" s="14" t="s">
        <v>688</v>
      </c>
      <c r="E88" s="22">
        <v>44705.0</v>
      </c>
      <c r="F88" s="23">
        <v>1.0</v>
      </c>
      <c r="G88" s="23">
        <v>0.0</v>
      </c>
      <c r="H88" s="25" t="s">
        <v>270</v>
      </c>
      <c r="I88" s="22">
        <v>45130.0</v>
      </c>
      <c r="J88" s="10"/>
    </row>
    <row r="89">
      <c r="A89" s="5">
        <v>88.0</v>
      </c>
      <c r="B89" s="6" t="str">
        <f>VLOOKUP(A89,vaccines!A:B,2)</f>
        <v>Vianvac</v>
      </c>
      <c r="C89" s="14" t="s">
        <v>691</v>
      </c>
      <c r="D89" s="14" t="s">
        <v>692</v>
      </c>
      <c r="E89" s="15">
        <v>46036.0</v>
      </c>
      <c r="F89" s="21">
        <v>1.0</v>
      </c>
      <c r="G89" s="21">
        <v>0.0</v>
      </c>
      <c r="H89" s="17" t="s">
        <v>273</v>
      </c>
      <c r="I89" s="15">
        <f>I88</f>
        <v>45130</v>
      </c>
      <c r="J89" s="19">
        <v>46130.0</v>
      </c>
    </row>
    <row r="90">
      <c r="A90" s="5">
        <v>89.0</v>
      </c>
      <c r="B90" s="6" t="str">
        <f>VLOOKUP(A90,vaccines!A:B,2)</f>
        <v>Typhivac</v>
      </c>
      <c r="C90" s="14" t="s">
        <v>693</v>
      </c>
      <c r="D90" s="14" t="s">
        <v>694</v>
      </c>
      <c r="E90" s="22">
        <v>42762.0</v>
      </c>
      <c r="F90" s="23">
        <v>1.0</v>
      </c>
      <c r="G90" s="23">
        <v>0.0</v>
      </c>
      <c r="H90" s="24" t="s">
        <v>276</v>
      </c>
      <c r="I90" s="22">
        <v>45130.0</v>
      </c>
      <c r="J90" s="10"/>
    </row>
    <row r="91">
      <c r="A91" s="5">
        <v>90.0</v>
      </c>
      <c r="B91" s="6" t="str">
        <f>VLOOKUP(A91,vaccines!A:B,2)</f>
        <v>Shigellvac</v>
      </c>
      <c r="C91" s="14" t="s">
        <v>695</v>
      </c>
      <c r="D91" s="14" t="s">
        <v>696</v>
      </c>
      <c r="E91" s="15">
        <v>46015.0</v>
      </c>
      <c r="F91" s="21">
        <v>1.0</v>
      </c>
      <c r="G91" s="21">
        <v>0.0</v>
      </c>
      <c r="H91" s="17" t="s">
        <v>279</v>
      </c>
      <c r="I91" s="15">
        <f>I90</f>
        <v>45130</v>
      </c>
      <c r="J91" s="19">
        <v>46130.0</v>
      </c>
    </row>
    <row r="92">
      <c r="A92" s="5">
        <v>91.0</v>
      </c>
      <c r="B92" s="6" t="str">
        <f>VLOOKUP(A92,vaccines!A:B,2)</f>
        <v>CoviVac</v>
      </c>
      <c r="C92" s="14" t="s">
        <v>583</v>
      </c>
      <c r="D92" s="14" t="s">
        <v>584</v>
      </c>
      <c r="E92" s="22">
        <v>44246.0</v>
      </c>
      <c r="F92" s="23">
        <v>1.0</v>
      </c>
      <c r="G92" s="23">
        <v>0.0</v>
      </c>
      <c r="H92" s="25" t="s">
        <v>697</v>
      </c>
      <c r="I92" s="22">
        <v>45130.0</v>
      </c>
      <c r="J92" s="10"/>
    </row>
    <row r="93">
      <c r="A93" s="5">
        <v>92.0</v>
      </c>
      <c r="B93" s="6" t="str">
        <f>VLOOKUP(A93,vaccines!A:B,2)</f>
        <v>Sputnik_light</v>
      </c>
      <c r="C93" s="14" t="s">
        <v>698</v>
      </c>
      <c r="D93" s="14" t="s">
        <v>699</v>
      </c>
      <c r="E93" s="15">
        <v>45810.0</v>
      </c>
      <c r="F93" s="21">
        <v>1.0</v>
      </c>
      <c r="G93" s="21">
        <v>0.0</v>
      </c>
      <c r="H93" s="17" t="s">
        <v>285</v>
      </c>
      <c r="I93" s="15">
        <f>I92</f>
        <v>45130</v>
      </c>
      <c r="J93" s="19">
        <v>45830.0</v>
      </c>
    </row>
    <row r="94">
      <c r="A94" s="5">
        <v>93.0</v>
      </c>
      <c r="B94" s="6" t="str">
        <f>VLOOKUP(A94,vaccines!A:B,2)</f>
        <v>Sputnik_M</v>
      </c>
      <c r="C94" s="14" t="s">
        <v>700</v>
      </c>
      <c r="D94" s="14" t="s">
        <v>701</v>
      </c>
      <c r="E94" s="22">
        <v>44524.0</v>
      </c>
      <c r="F94" s="23">
        <v>1.0</v>
      </c>
      <c r="G94" s="23">
        <v>0.0</v>
      </c>
      <c r="H94" s="25" t="s">
        <v>288</v>
      </c>
      <c r="I94" s="22">
        <v>45130.0</v>
      </c>
      <c r="J94" s="10"/>
      <c r="K94" s="20" t="s">
        <v>18</v>
      </c>
    </row>
    <row r="95">
      <c r="A95" s="5">
        <v>94.0</v>
      </c>
      <c r="B95" s="6" t="str">
        <f>VLOOKUP(A95,vaccines!A:B,2)</f>
        <v>Convacel</v>
      </c>
      <c r="C95" s="14" t="s">
        <v>702</v>
      </c>
      <c r="D95" s="14" t="s">
        <v>703</v>
      </c>
      <c r="E95" s="15">
        <v>46009.0</v>
      </c>
      <c r="F95" s="21">
        <v>1.0</v>
      </c>
      <c r="G95" s="21">
        <v>0.0</v>
      </c>
      <c r="H95" s="17" t="s">
        <v>291</v>
      </c>
      <c r="I95" s="15">
        <f>I94</f>
        <v>45130</v>
      </c>
      <c r="J95" s="19">
        <v>46053.0</v>
      </c>
    </row>
    <row r="96">
      <c r="A96" s="5">
        <v>95.0</v>
      </c>
      <c r="B96" s="6" t="str">
        <f>VLOOKUP(A96,vaccines!A:B,2)</f>
        <v>Aurora</v>
      </c>
      <c r="C96" s="14" t="s">
        <v>586</v>
      </c>
      <c r="D96" s="14" t="s">
        <v>587</v>
      </c>
      <c r="E96" s="22">
        <v>44434.0</v>
      </c>
      <c r="F96" s="23">
        <v>1.0</v>
      </c>
      <c r="G96" s="23">
        <v>0.0</v>
      </c>
      <c r="H96" s="25" t="s">
        <v>294</v>
      </c>
      <c r="I96" s="22">
        <v>45130.0</v>
      </c>
      <c r="J96" s="10"/>
    </row>
    <row r="97">
      <c r="A97" s="5">
        <v>96.0</v>
      </c>
      <c r="B97" s="6" t="str">
        <f>VLOOKUP(A97,vaccines!A:B,2)</f>
        <v>Rota_V_Aid</v>
      </c>
      <c r="C97" s="14" t="s">
        <v>704</v>
      </c>
      <c r="D97" s="14" t="s">
        <v>705</v>
      </c>
      <c r="E97" s="15">
        <v>45594.0</v>
      </c>
      <c r="F97" s="16"/>
      <c r="G97" s="16"/>
      <c r="H97" s="17" t="s">
        <v>297</v>
      </c>
      <c r="I97" s="15">
        <f>I96</f>
        <v>45130</v>
      </c>
      <c r="J97" s="15">
        <v>45629.0</v>
      </c>
    </row>
    <row r="98">
      <c r="A98" s="5">
        <v>97.0</v>
      </c>
      <c r="B98" s="6" t="str">
        <f>VLOOKUP(A98,vaccines!A:B,2)</f>
        <v>Hib_Rostov</v>
      </c>
      <c r="C98" s="40" t="s">
        <v>539</v>
      </c>
      <c r="D98" s="14" t="s">
        <v>706</v>
      </c>
      <c r="E98" s="22">
        <v>42577.0</v>
      </c>
      <c r="F98" s="23">
        <v>1.0</v>
      </c>
      <c r="G98" s="23">
        <v>0.0</v>
      </c>
      <c r="H98" s="24" t="s">
        <v>300</v>
      </c>
      <c r="I98" s="22">
        <v>45130.0</v>
      </c>
      <c r="J98" s="10"/>
    </row>
    <row r="99">
      <c r="A99" s="5">
        <v>98.0</v>
      </c>
      <c r="B99" s="6" t="str">
        <f>VLOOKUP(A99,vaccines!A:B,2)</f>
        <v>HepB_Combiotech_1_0</v>
      </c>
      <c r="C99" s="14" t="s">
        <v>707</v>
      </c>
      <c r="D99" s="14" t="s">
        <v>708</v>
      </c>
      <c r="E99" s="15">
        <v>46056.0</v>
      </c>
      <c r="F99" s="21">
        <v>1.0</v>
      </c>
      <c r="G99" s="21">
        <v>0.0</v>
      </c>
      <c r="H99" s="17" t="s">
        <v>84</v>
      </c>
      <c r="I99" s="15">
        <f t="shared" ref="I99:I101" si="9">I98</f>
        <v>45130</v>
      </c>
      <c r="J99" s="19">
        <v>46130.0</v>
      </c>
    </row>
    <row r="100">
      <c r="A100" s="5">
        <v>99.0</v>
      </c>
      <c r="B100" s="6" t="str">
        <f>VLOOKUP(A100,vaccines!A:B,2)</f>
        <v>Regevac_1_0</v>
      </c>
      <c r="C100" s="14" t="s">
        <v>709</v>
      </c>
      <c r="D100" s="14" t="s">
        <v>710</v>
      </c>
      <c r="E100" s="15">
        <v>45216.0</v>
      </c>
      <c r="F100" s="21">
        <v>1.0</v>
      </c>
      <c r="G100" s="21">
        <v>0.0</v>
      </c>
      <c r="H100" s="17" t="s">
        <v>81</v>
      </c>
      <c r="I100" s="15">
        <f t="shared" si="9"/>
        <v>45130</v>
      </c>
      <c r="J100" s="19">
        <v>45988.0</v>
      </c>
    </row>
    <row r="101">
      <c r="A101" s="5">
        <v>100.0</v>
      </c>
      <c r="B101" s="6" t="str">
        <f>VLOOKUP(A101,vaccines!A:B,2)</f>
        <v>Priorix_Tetra</v>
      </c>
      <c r="C101" s="14" t="s">
        <v>711</v>
      </c>
      <c r="D101" s="14" t="s">
        <v>712</v>
      </c>
      <c r="E101" s="15">
        <v>45453.0</v>
      </c>
      <c r="F101" s="16"/>
      <c r="G101" s="16"/>
      <c r="H101" s="17" t="s">
        <v>307</v>
      </c>
      <c r="I101" s="15">
        <f t="shared" si="9"/>
        <v>45130</v>
      </c>
      <c r="J101" s="19">
        <v>45510.0</v>
      </c>
    </row>
    <row r="102">
      <c r="A102" s="5">
        <v>101.0</v>
      </c>
      <c r="B102" s="6" t="str">
        <f>VLOOKUP(A102,vaccines!A:B,2)</f>
        <v>Menveo</v>
      </c>
      <c r="C102" s="14" t="s">
        <v>713</v>
      </c>
      <c r="D102" s="14" t="s">
        <v>714</v>
      </c>
      <c r="E102" s="22">
        <v>42958.0</v>
      </c>
      <c r="F102" s="23">
        <v>1.0</v>
      </c>
      <c r="G102" s="23">
        <v>0.0</v>
      </c>
      <c r="H102" s="25" t="s">
        <v>715</v>
      </c>
      <c r="I102" s="22">
        <v>45130.0</v>
      </c>
      <c r="J102" s="10"/>
    </row>
    <row r="103">
      <c r="A103" s="5">
        <v>102.0</v>
      </c>
      <c r="B103" s="6" t="str">
        <f>VLOOKUP(A103,vaccines!A:B,2)</f>
        <v>Sputnik_intranasal</v>
      </c>
      <c r="C103" s="14" t="s">
        <v>716</v>
      </c>
      <c r="D103" s="14" t="s">
        <v>717</v>
      </c>
      <c r="E103" s="22">
        <v>44651.0</v>
      </c>
      <c r="F103" s="23">
        <v>1.0</v>
      </c>
      <c r="G103" s="23">
        <v>0.0</v>
      </c>
      <c r="H103" s="25" t="s">
        <v>313</v>
      </c>
      <c r="I103" s="22">
        <v>45130.0</v>
      </c>
      <c r="J103" s="10"/>
    </row>
    <row r="104">
      <c r="A104" s="5">
        <v>103.0</v>
      </c>
      <c r="B104" s="6" t="str">
        <f>VLOOKUP(A104,vaccines!A:B,2)</f>
        <v>Grippol_plus_0_25</v>
      </c>
      <c r="C104" s="14" t="s">
        <v>718</v>
      </c>
      <c r="D104" s="14" t="s">
        <v>719</v>
      </c>
      <c r="E104" s="15">
        <v>45182.0</v>
      </c>
      <c r="F104" s="16"/>
      <c r="G104" s="16"/>
      <c r="H104" s="17" t="s">
        <v>113</v>
      </c>
      <c r="I104" s="22">
        <v>45130.0</v>
      </c>
      <c r="J104" s="22">
        <v>45483.0</v>
      </c>
      <c r="K104" s="20" t="s">
        <v>18</v>
      </c>
    </row>
    <row r="105">
      <c r="A105" s="5">
        <v>104.0</v>
      </c>
      <c r="B105" s="6" t="str">
        <f>VLOOKUP(A105,vaccines!A:B,2)</f>
        <v>Flu_M_Tetra</v>
      </c>
      <c r="C105" s="14" t="s">
        <v>720</v>
      </c>
      <c r="D105" s="14" t="s">
        <v>721</v>
      </c>
      <c r="E105" s="15">
        <v>45741.0</v>
      </c>
      <c r="F105" s="21">
        <v>1.0</v>
      </c>
      <c r="G105" s="21">
        <v>0.0</v>
      </c>
      <c r="H105" s="17" t="s">
        <v>318</v>
      </c>
      <c r="I105" s="15">
        <f t="shared" ref="I105:I106" si="10">I104</f>
        <v>45130</v>
      </c>
      <c r="J105" s="19">
        <v>45798.0</v>
      </c>
    </row>
    <row r="106">
      <c r="A106" s="5">
        <v>105.0</v>
      </c>
      <c r="B106" s="6" t="str">
        <f>VLOOKUP(A106,vaccines!A:B,2)</f>
        <v>Vaxigrip_Tetra</v>
      </c>
      <c r="C106" s="14" t="s">
        <v>722</v>
      </c>
      <c r="D106" s="14" t="s">
        <v>723</v>
      </c>
      <c r="E106" s="15">
        <v>45300.0</v>
      </c>
      <c r="F106" s="16"/>
      <c r="G106" s="16"/>
      <c r="H106" s="17" t="s">
        <v>321</v>
      </c>
      <c r="I106" s="15">
        <f t="shared" si="10"/>
        <v>45130</v>
      </c>
      <c r="J106" s="19">
        <v>45489.0</v>
      </c>
    </row>
    <row r="107">
      <c r="A107" s="5">
        <v>106.0</v>
      </c>
      <c r="B107" s="6" t="str">
        <f>VLOOKUP(A107,vaccines!A:B,2)</f>
        <v>Ocavax</v>
      </c>
      <c r="C107" s="14" t="s">
        <v>724</v>
      </c>
      <c r="D107" s="14" t="s">
        <v>725</v>
      </c>
      <c r="E107" s="22">
        <v>40233.0</v>
      </c>
      <c r="F107" s="23">
        <v>1.0</v>
      </c>
      <c r="G107" s="23">
        <v>0.0</v>
      </c>
      <c r="H107" s="25" t="s">
        <v>324</v>
      </c>
      <c r="I107" s="22">
        <v>45130.0</v>
      </c>
      <c r="J107" s="10"/>
    </row>
    <row r="108">
      <c r="A108" s="5">
        <v>107.0</v>
      </c>
      <c r="B108" s="6" t="str">
        <f>VLOOKUP(A108,vaccines!A:B,2)</f>
        <v>Pneumo_23</v>
      </c>
      <c r="C108" s="14" t="s">
        <v>726</v>
      </c>
      <c r="D108" s="14" t="s">
        <v>727</v>
      </c>
      <c r="E108" s="22">
        <v>41688.0</v>
      </c>
      <c r="F108" s="23">
        <v>1.0</v>
      </c>
      <c r="G108" s="23">
        <v>0.0</v>
      </c>
      <c r="H108" s="25" t="s">
        <v>327</v>
      </c>
      <c r="I108" s="22">
        <v>45130.0</v>
      </c>
      <c r="J108" s="10"/>
    </row>
    <row r="109">
      <c r="A109" s="5">
        <v>108.0</v>
      </c>
      <c r="B109" s="6" t="str">
        <f>VLOOKUP(A109,vaccines!A:B,2)</f>
        <v>Varivax</v>
      </c>
      <c r="C109" s="14" t="s">
        <v>728</v>
      </c>
      <c r="D109" s="14" t="s">
        <v>729</v>
      </c>
      <c r="E109" s="15">
        <v>45126.0</v>
      </c>
      <c r="F109" s="16"/>
      <c r="G109" s="16"/>
      <c r="H109" s="17" t="s">
        <v>330</v>
      </c>
      <c r="I109" s="22">
        <v>45131.0</v>
      </c>
      <c r="J109" s="19">
        <v>45489.0</v>
      </c>
    </row>
    <row r="110">
      <c r="A110" s="5">
        <v>109.0</v>
      </c>
      <c r="B110" s="6" t="str">
        <f>VLOOKUP(A110,vaccines!A:B,2)</f>
        <v>Pneumotex</v>
      </c>
      <c r="C110" s="14" t="s">
        <v>730</v>
      </c>
      <c r="D110" s="14" t="s">
        <v>731</v>
      </c>
      <c r="E110" s="15">
        <v>45777.0</v>
      </c>
      <c r="F110" s="21">
        <v>1.0</v>
      </c>
      <c r="G110" s="21">
        <v>0.0</v>
      </c>
      <c r="H110" s="17" t="s">
        <v>333</v>
      </c>
      <c r="I110" s="22">
        <v>45131.0</v>
      </c>
      <c r="J110" s="19">
        <v>45818.0</v>
      </c>
    </row>
    <row r="111">
      <c r="A111" s="5">
        <v>110.0</v>
      </c>
      <c r="B111" s="6" t="str">
        <f>VLOOKUP(A111,vaccines!A:B,2)</f>
        <v>Priorix</v>
      </c>
      <c r="C111" s="14" t="s">
        <v>732</v>
      </c>
      <c r="D111" s="14" t="s">
        <v>733</v>
      </c>
      <c r="E111" s="22">
        <v>40242.0</v>
      </c>
      <c r="F111" s="23">
        <v>1.0</v>
      </c>
      <c r="G111" s="23">
        <v>0.0</v>
      </c>
      <c r="H111" s="25" t="s">
        <v>734</v>
      </c>
      <c r="I111" s="22">
        <v>45131.0</v>
      </c>
      <c r="J111" s="10"/>
    </row>
    <row r="112">
      <c r="A112" s="5">
        <v>111.0</v>
      </c>
      <c r="B112" s="6" t="str">
        <f>VLOOKUP(A112,vaccines!A:B,2)</f>
        <v>MenQuadfi</v>
      </c>
      <c r="C112" s="14" t="s">
        <v>735</v>
      </c>
      <c r="D112" s="14" t="s">
        <v>736</v>
      </c>
      <c r="E112" s="15">
        <v>45932.0</v>
      </c>
      <c r="F112" s="21">
        <v>1.0</v>
      </c>
      <c r="G112" s="21">
        <v>0.0</v>
      </c>
      <c r="H112" s="17" t="s">
        <v>339</v>
      </c>
      <c r="I112" s="22">
        <v>45131.0</v>
      </c>
      <c r="J112" s="19">
        <v>46072.0</v>
      </c>
    </row>
    <row r="113">
      <c r="A113" s="5">
        <v>112.0</v>
      </c>
      <c r="B113" s="6" t="str">
        <f>VLOOKUP(A113,vaccines!A:B,2)</f>
        <v>Bexsero</v>
      </c>
      <c r="C113" s="14" t="s">
        <v>737</v>
      </c>
      <c r="D113" s="14" t="s">
        <v>738</v>
      </c>
      <c r="E113" s="15">
        <v>45391.0</v>
      </c>
      <c r="F113" s="16"/>
      <c r="G113" s="16"/>
      <c r="H113" s="17" t="s">
        <v>342</v>
      </c>
      <c r="I113" s="22">
        <v>45131.0</v>
      </c>
      <c r="J113" s="19">
        <v>45489.0</v>
      </c>
    </row>
    <row r="114">
      <c r="A114" s="5">
        <v>113.0</v>
      </c>
      <c r="B114" s="6" t="str">
        <f>VLOOKUP(A114,vaccines!A:B,2)</f>
        <v>Sputnik_D</v>
      </c>
      <c r="C114" s="14" t="s">
        <v>739</v>
      </c>
      <c r="D114" s="14" t="s">
        <v>740</v>
      </c>
      <c r="E114" s="22">
        <v>45030.0</v>
      </c>
      <c r="F114" s="23">
        <v>1.0</v>
      </c>
      <c r="G114" s="23">
        <v>0.0</v>
      </c>
      <c r="H114" s="25" t="s">
        <v>345</v>
      </c>
      <c r="I114" s="22">
        <v>45131.0</v>
      </c>
      <c r="J114" s="10"/>
      <c r="K114" s="20" t="s">
        <v>18</v>
      </c>
    </row>
    <row r="115">
      <c r="A115" s="5">
        <v>114.0</v>
      </c>
      <c r="B115" s="6" t="str">
        <f>VLOOKUP(A115,vaccines!A:B,2)</f>
        <v>Encepur_0_25</v>
      </c>
      <c r="C115" s="40" t="s">
        <v>539</v>
      </c>
      <c r="D115" s="14" t="s">
        <v>741</v>
      </c>
      <c r="E115" s="22">
        <v>40252.0</v>
      </c>
      <c r="F115" s="23">
        <v>1.0</v>
      </c>
      <c r="G115" s="23">
        <v>0.0</v>
      </c>
      <c r="H115" s="24" t="s">
        <v>348</v>
      </c>
      <c r="I115" s="22">
        <v>45131.0</v>
      </c>
      <c r="J115" s="10"/>
    </row>
    <row r="116">
      <c r="A116" s="5">
        <v>115.0</v>
      </c>
      <c r="B116" s="6" t="str">
        <f>VLOOKUP(A116,vaccines!A:B,2)</f>
        <v>Encepur_0_5</v>
      </c>
      <c r="C116" s="14" t="s">
        <v>742</v>
      </c>
      <c r="D116" s="14" t="s">
        <v>743</v>
      </c>
      <c r="E116" s="22">
        <v>39878.0</v>
      </c>
      <c r="F116" s="23">
        <v>1.0</v>
      </c>
      <c r="G116" s="23">
        <v>0.0</v>
      </c>
      <c r="H116" s="24" t="s">
        <v>351</v>
      </c>
      <c r="I116" s="22">
        <v>45131.0</v>
      </c>
      <c r="J116" s="10"/>
    </row>
    <row r="117">
      <c r="A117" s="5">
        <v>116.0</v>
      </c>
      <c r="B117" s="6" t="str">
        <f>VLOOKUP(A117,vaccines!A:B,2)</f>
        <v>Poliovaccine</v>
      </c>
      <c r="C117" s="14" t="s">
        <v>744</v>
      </c>
      <c r="D117" s="14" t="s">
        <v>745</v>
      </c>
      <c r="E117" s="22">
        <v>44476.0</v>
      </c>
      <c r="F117" s="23">
        <v>1.0</v>
      </c>
      <c r="G117" s="23">
        <v>0.0</v>
      </c>
      <c r="H117" s="25" t="s">
        <v>354</v>
      </c>
      <c r="I117" s="22">
        <v>45131.0</v>
      </c>
      <c r="J117" s="10"/>
    </row>
    <row r="118">
      <c r="A118" s="5">
        <v>117.0</v>
      </c>
      <c r="B118" s="6" t="str">
        <f>VLOOKUP(A118,vaccines!A:B,2)</f>
        <v>Act_Hib</v>
      </c>
      <c r="C118" s="14" t="s">
        <v>746</v>
      </c>
      <c r="D118" s="14" t="s">
        <v>747</v>
      </c>
      <c r="E118" s="22">
        <v>41936.0</v>
      </c>
      <c r="F118" s="23">
        <v>1.0</v>
      </c>
      <c r="G118" s="23">
        <v>0.0</v>
      </c>
      <c r="H118" s="24" t="s">
        <v>748</v>
      </c>
      <c r="I118" s="22">
        <v>45131.0</v>
      </c>
      <c r="J118" s="10"/>
    </row>
    <row r="119">
      <c r="A119" s="5">
        <v>118.0</v>
      </c>
      <c r="B119" s="6" t="str">
        <f>VLOOKUP(A119,vaccines!A:B,2)</f>
        <v>Hiberix</v>
      </c>
      <c r="C119" s="14" t="s">
        <v>749</v>
      </c>
      <c r="D119" s="14" t="s">
        <v>750</v>
      </c>
      <c r="E119" s="22">
        <v>42632.0</v>
      </c>
      <c r="F119" s="23">
        <v>3.0</v>
      </c>
      <c r="G119" s="23">
        <v>5.0</v>
      </c>
      <c r="H119" s="24" t="s">
        <v>751</v>
      </c>
      <c r="I119" s="22">
        <v>45131.0</v>
      </c>
      <c r="J119" s="10"/>
    </row>
    <row r="120">
      <c r="A120" s="5">
        <v>119.0</v>
      </c>
      <c r="B120" s="6" t="str">
        <f>VLOOKUP(A120,vaccines!A:B,2)</f>
        <v>FSME_Immun_Junior</v>
      </c>
      <c r="C120" s="14" t="s">
        <v>752</v>
      </c>
      <c r="D120" s="14" t="s">
        <v>753</v>
      </c>
      <c r="E120" s="22">
        <v>43115.0</v>
      </c>
      <c r="F120" s="23">
        <v>1.0</v>
      </c>
      <c r="G120" s="23">
        <v>0.0</v>
      </c>
      <c r="H120" s="24" t="s">
        <v>363</v>
      </c>
      <c r="I120" s="22">
        <v>45131.0</v>
      </c>
      <c r="J120" s="10"/>
    </row>
    <row r="121">
      <c r="A121" s="5">
        <v>120.0</v>
      </c>
      <c r="B121" s="6" t="str">
        <f>VLOOKUP(A121,vaccines!A:B,2)</f>
        <v>FSME_Immun</v>
      </c>
      <c r="C121" s="14" t="s">
        <v>754</v>
      </c>
      <c r="D121" s="14" t="s">
        <v>755</v>
      </c>
      <c r="E121" s="22">
        <v>44169.0</v>
      </c>
      <c r="F121" s="23">
        <v>1.0</v>
      </c>
      <c r="G121" s="23">
        <v>0.0</v>
      </c>
      <c r="H121" s="24" t="s">
        <v>366</v>
      </c>
      <c r="I121" s="22">
        <v>45131.0</v>
      </c>
      <c r="J121" s="10"/>
    </row>
    <row r="122">
      <c r="A122" s="5">
        <v>121.0</v>
      </c>
      <c r="B122" s="6" t="str">
        <f>VLOOKUP(A122,vaccines!A:B,2)</f>
        <v>SciBiVac</v>
      </c>
      <c r="C122" s="14" t="s">
        <v>756</v>
      </c>
      <c r="D122" s="14" t="s">
        <v>757</v>
      </c>
      <c r="E122" s="22">
        <v>44762.0</v>
      </c>
      <c r="F122" s="23">
        <v>1.0</v>
      </c>
      <c r="G122" s="23">
        <v>0.0</v>
      </c>
      <c r="H122" s="25" t="s">
        <v>369</v>
      </c>
      <c r="I122" s="22">
        <v>45131.0</v>
      </c>
      <c r="J122" s="10"/>
      <c r="K122" s="20" t="s">
        <v>18</v>
      </c>
    </row>
    <row r="123">
      <c r="A123" s="5">
        <v>122.0</v>
      </c>
      <c r="B123" s="6" t="str">
        <f>VLOOKUP(A123,vaccines!A:B,2)</f>
        <v>Pentavaccina</v>
      </c>
      <c r="C123" s="14" t="s">
        <v>758</v>
      </c>
      <c r="D123" s="14" t="s">
        <v>759</v>
      </c>
      <c r="E123" s="19">
        <v>45320.0</v>
      </c>
      <c r="F123" s="16"/>
      <c r="G123" s="16"/>
      <c r="H123" s="17" t="s">
        <v>372</v>
      </c>
      <c r="I123" s="22">
        <v>45131.0</v>
      </c>
      <c r="J123" s="19">
        <v>45460.0</v>
      </c>
    </row>
    <row r="124">
      <c r="A124" s="5">
        <v>123.0</v>
      </c>
      <c r="B124" s="6" t="str">
        <f>VLOOKUP(A124,vaccines!A:B,2)</f>
        <v>Vitagerpavac</v>
      </c>
      <c r="C124" s="40" t="s">
        <v>613</v>
      </c>
      <c r="D124" s="14" t="s">
        <v>614</v>
      </c>
      <c r="E124" s="31">
        <v>40255.0</v>
      </c>
      <c r="F124" s="5">
        <v>1.0</v>
      </c>
      <c r="G124" s="5">
        <v>0.0</v>
      </c>
      <c r="H124" s="32" t="s">
        <v>375</v>
      </c>
      <c r="I124" s="22">
        <v>45169.0</v>
      </c>
      <c r="J124" s="10"/>
      <c r="K124" s="20" t="s">
        <v>14</v>
      </c>
    </row>
    <row r="125">
      <c r="A125" s="6">
        <v>124.0</v>
      </c>
      <c r="B125" s="6" t="str">
        <f>VLOOKUP(A125,vaccines!A:B,2)</f>
        <v>Shingrix</v>
      </c>
      <c r="C125" s="14" t="s">
        <v>760</v>
      </c>
      <c r="D125" s="14" t="s">
        <v>761</v>
      </c>
      <c r="E125" s="15">
        <v>45440.0</v>
      </c>
      <c r="F125" s="16"/>
      <c r="G125" s="16"/>
      <c r="H125" s="17" t="s">
        <v>379</v>
      </c>
      <c r="I125" s="18">
        <v>45447.0</v>
      </c>
      <c r="J125" s="15">
        <v>45589.0</v>
      </c>
    </row>
    <row r="126">
      <c r="A126" s="6">
        <v>125.0</v>
      </c>
      <c r="B126" s="6" t="str">
        <f>VLOOKUP(A126,vaccines!A:B,2)</f>
        <v>Trivaid</v>
      </c>
      <c r="C126" s="14" t="s">
        <v>762</v>
      </c>
      <c r="D126" s="14" t="s">
        <v>763</v>
      </c>
      <c r="E126" s="15">
        <v>45996.0</v>
      </c>
      <c r="F126" s="21">
        <v>1.0</v>
      </c>
      <c r="G126" s="21">
        <v>0.0</v>
      </c>
      <c r="H126" s="17" t="s">
        <v>382</v>
      </c>
      <c r="I126" s="15">
        <v>45436.0</v>
      </c>
      <c r="J126" s="15">
        <v>46053.0</v>
      </c>
    </row>
    <row r="127">
      <c r="A127" s="6">
        <v>126.0</v>
      </c>
      <c r="B127" s="6" t="str">
        <f>VLOOKUP(A127,vaccines!A:B,2)</f>
        <v>BabyHib</v>
      </c>
      <c r="C127" s="14" t="s">
        <v>764</v>
      </c>
      <c r="D127" s="14" t="s">
        <v>765</v>
      </c>
      <c r="E127" s="15">
        <v>45938.0</v>
      </c>
      <c r="F127" s="21">
        <v>1.0</v>
      </c>
      <c r="G127" s="21">
        <v>0.0</v>
      </c>
      <c r="H127" s="17" t="s">
        <v>385</v>
      </c>
      <c r="I127" s="15">
        <v>45436.0</v>
      </c>
      <c r="J127" s="15">
        <v>45988.0</v>
      </c>
    </row>
    <row r="128">
      <c r="A128" s="6">
        <v>127.0</v>
      </c>
      <c r="B128" s="6" t="str">
        <f>VLOOKUP(A128,vaccines!A:B,2)</f>
        <v>AD_M_Biomed</v>
      </c>
      <c r="C128" s="14" t="s">
        <v>537</v>
      </c>
      <c r="D128" s="14" t="s">
        <v>538</v>
      </c>
      <c r="E128" s="31">
        <v>41046.0</v>
      </c>
      <c r="F128" s="5">
        <v>1.0</v>
      </c>
      <c r="G128" s="5">
        <v>0.0</v>
      </c>
      <c r="H128" s="32" t="s">
        <v>388</v>
      </c>
      <c r="I128" s="18">
        <v>45461.0</v>
      </c>
      <c r="J128" s="10"/>
    </row>
    <row r="129">
      <c r="A129" s="6">
        <v>128.0</v>
      </c>
      <c r="B129" s="6" t="str">
        <f>VLOOKUP(A129,vaccines!A:B,2)</f>
        <v>AS_D_Microgen</v>
      </c>
      <c r="C129" s="14" t="s">
        <v>766</v>
      </c>
      <c r="D129" s="14" t="s">
        <v>767</v>
      </c>
      <c r="E129" s="15">
        <v>45266.0</v>
      </c>
      <c r="F129" s="6"/>
      <c r="G129" s="6"/>
      <c r="H129" s="32" t="s">
        <v>391</v>
      </c>
      <c r="I129" s="18">
        <v>45461.0</v>
      </c>
      <c r="J129" s="10"/>
    </row>
    <row r="130">
      <c r="A130" s="6">
        <v>129.0</v>
      </c>
      <c r="B130" s="6" t="str">
        <f>VLOOKUP(A130,vaccines!A:B,2)</f>
        <v>Variola</v>
      </c>
      <c r="C130" s="14" t="s">
        <v>768</v>
      </c>
      <c r="D130" s="14" t="s">
        <v>769</v>
      </c>
      <c r="E130" s="15">
        <v>45252.0</v>
      </c>
      <c r="F130" s="6"/>
      <c r="G130" s="6"/>
      <c r="H130" s="32" t="s">
        <v>394</v>
      </c>
      <c r="I130" s="18">
        <v>45461.0</v>
      </c>
      <c r="J130" s="10"/>
    </row>
    <row r="131">
      <c r="A131" s="6">
        <v>130.0</v>
      </c>
      <c r="B131" s="6" t="str">
        <f>VLOOKUP(A131,vaccines!A:B,2)</f>
        <v>AKDS_HepB_Microgen</v>
      </c>
      <c r="C131" s="14" t="s">
        <v>770</v>
      </c>
      <c r="D131" s="14" t="s">
        <v>771</v>
      </c>
      <c r="E131" s="15">
        <v>45135.0</v>
      </c>
      <c r="F131" s="6"/>
      <c r="G131" s="6"/>
      <c r="H131" s="32" t="s">
        <v>397</v>
      </c>
      <c r="I131" s="15">
        <v>45464.0</v>
      </c>
      <c r="J131" s="10"/>
    </row>
    <row r="132">
      <c r="A132" s="6">
        <v>131.0</v>
      </c>
      <c r="B132" s="6" t="str">
        <f>VLOOKUP(A132,vaccines!A:B,2)</f>
        <v>Rickettsia</v>
      </c>
      <c r="C132" s="14" t="s">
        <v>772</v>
      </c>
      <c r="D132" s="14" t="s">
        <v>773</v>
      </c>
      <c r="E132" s="15">
        <v>45107.0</v>
      </c>
      <c r="F132" s="6"/>
      <c r="G132" s="6"/>
      <c r="H132" s="32" t="s">
        <v>400</v>
      </c>
      <c r="I132" s="15">
        <v>45464.0</v>
      </c>
      <c r="J132" s="10"/>
    </row>
    <row r="133">
      <c r="A133" s="6">
        <v>132.0</v>
      </c>
      <c r="B133" s="6" t="str">
        <f>VLOOKUP(A133,vaccines!A:B,2)</f>
        <v>OspaVir</v>
      </c>
      <c r="C133" s="14" t="s">
        <v>774</v>
      </c>
      <c r="D133" s="14" t="s">
        <v>775</v>
      </c>
      <c r="E133" s="15">
        <v>45077.0</v>
      </c>
      <c r="F133" s="6"/>
      <c r="G133" s="6"/>
      <c r="H133" s="32" t="s">
        <v>403</v>
      </c>
      <c r="I133" s="15">
        <v>45464.0</v>
      </c>
      <c r="J133" s="10"/>
    </row>
    <row r="134">
      <c r="A134" s="6">
        <v>133.0</v>
      </c>
      <c r="B134" s="6" t="str">
        <f>VLOOKUP(A134,vaccines!A:B,2)</f>
        <v>Gonovaccina_therapeutic</v>
      </c>
      <c r="C134" s="14" t="s">
        <v>776</v>
      </c>
      <c r="D134" s="14" t="s">
        <v>777</v>
      </c>
      <c r="E134" s="15">
        <v>44942.0</v>
      </c>
      <c r="F134" s="6"/>
      <c r="G134" s="6"/>
      <c r="H134" s="32" t="s">
        <v>406</v>
      </c>
      <c r="I134" s="15">
        <v>45464.0</v>
      </c>
      <c r="J134" s="10"/>
    </row>
    <row r="135">
      <c r="A135" s="6">
        <v>134.0</v>
      </c>
      <c r="B135" s="6" t="str">
        <f>VLOOKUP(A135,vaccines!A:B,2)</f>
        <v>OrtopoxVac</v>
      </c>
      <c r="C135" s="14" t="s">
        <v>778</v>
      </c>
      <c r="D135" s="14" t="s">
        <v>779</v>
      </c>
      <c r="E135" s="22">
        <v>45147.0</v>
      </c>
      <c r="H135" s="24" t="s">
        <v>409</v>
      </c>
      <c r="I135" s="22">
        <v>45465.0</v>
      </c>
      <c r="J135" s="10"/>
    </row>
    <row r="136">
      <c r="A136" s="6">
        <v>135.0</v>
      </c>
      <c r="B136" s="6" t="str">
        <f>VLOOKUP(A136,vaccines!A:B,2)</f>
        <v>FlexVac</v>
      </c>
      <c r="C136" s="14" t="s">
        <v>780</v>
      </c>
      <c r="D136" s="14" t="s">
        <v>781</v>
      </c>
      <c r="E136" s="15">
        <v>46126.0</v>
      </c>
      <c r="F136" s="5">
        <v>1.0</v>
      </c>
      <c r="G136" s="5">
        <v>0.0</v>
      </c>
      <c r="H136" s="32" t="s">
        <v>412</v>
      </c>
      <c r="I136" s="15">
        <v>45465.0</v>
      </c>
      <c r="J136" s="15">
        <v>46188.0</v>
      </c>
    </row>
    <row r="137">
      <c r="A137" s="6">
        <v>136.0</v>
      </c>
      <c r="B137" s="6" t="str">
        <f>VLOOKUP(A137,vaccines!A:B,2)</f>
        <v>SinSaVac</v>
      </c>
      <c r="C137" s="14" t="s">
        <v>782</v>
      </c>
      <c r="D137" s="14" t="s">
        <v>783</v>
      </c>
      <c r="E137" s="15">
        <v>44537.0</v>
      </c>
      <c r="F137" s="5">
        <v>1.0</v>
      </c>
      <c r="G137" s="5">
        <v>0.0</v>
      </c>
      <c r="H137" s="32" t="s">
        <v>415</v>
      </c>
      <c r="I137" s="15">
        <v>45465.0</v>
      </c>
      <c r="J137" s="10"/>
    </row>
    <row r="138">
      <c r="A138" s="6">
        <v>138.0</v>
      </c>
      <c r="B138" s="6" t="str">
        <f>VLOOKUP(A138,vaccines!A:B,2)</f>
        <v>EpiVacEbola</v>
      </c>
      <c r="C138" s="14" t="s">
        <v>784</v>
      </c>
      <c r="D138" s="14" t="s">
        <v>785</v>
      </c>
      <c r="E138" s="15">
        <v>43185.0</v>
      </c>
      <c r="F138" s="5">
        <v>1.0</v>
      </c>
      <c r="G138" s="5">
        <v>0.0</v>
      </c>
      <c r="H138" s="32" t="s">
        <v>418</v>
      </c>
      <c r="I138" s="15">
        <v>45465.0</v>
      </c>
      <c r="J138" s="10"/>
    </row>
    <row r="139">
      <c r="A139" s="33">
        <v>139.0</v>
      </c>
      <c r="B139" s="6" t="str">
        <f>VLOOKUP(A139,vaccines!A:B,2)</f>
        <v>GamEvac_Combi</v>
      </c>
      <c r="C139" s="14" t="s">
        <v>786</v>
      </c>
      <c r="D139" s="14" t="s">
        <v>787</v>
      </c>
      <c r="E139" s="15">
        <v>46099.0</v>
      </c>
      <c r="F139" s="5">
        <v>1.0</v>
      </c>
      <c r="G139" s="5">
        <v>0.0</v>
      </c>
      <c r="H139" s="32" t="s">
        <v>421</v>
      </c>
      <c r="I139" s="15">
        <v>46131.0</v>
      </c>
      <c r="J139" s="10"/>
    </row>
    <row r="140">
      <c r="A140" s="6">
        <v>141.0</v>
      </c>
      <c r="B140" s="6" t="str">
        <f>VLOOKUP(A140,vaccines!A:B,2)</f>
        <v>Staphylococcus_therapeutic_Biomed</v>
      </c>
      <c r="C140" s="14" t="s">
        <v>788</v>
      </c>
      <c r="D140" s="14" t="s">
        <v>789</v>
      </c>
      <c r="E140" s="15">
        <v>43388.0</v>
      </c>
      <c r="F140" s="5">
        <v>1.0</v>
      </c>
      <c r="G140" s="5">
        <v>0.0</v>
      </c>
      <c r="H140" s="32" t="s">
        <v>424</v>
      </c>
      <c r="I140" s="15">
        <v>45465.0</v>
      </c>
      <c r="J140" s="10"/>
    </row>
    <row r="141">
      <c r="A141" s="6">
        <v>142.0</v>
      </c>
      <c r="B141" s="6" t="str">
        <f>VLOOKUP(A141,vaccines!A:B,2)</f>
        <v>Pseudovac</v>
      </c>
      <c r="C141" s="14" t="s">
        <v>790</v>
      </c>
      <c r="D141" s="14" t="s">
        <v>791</v>
      </c>
      <c r="E141" s="15">
        <v>42809.0</v>
      </c>
      <c r="F141" s="5">
        <v>1.0</v>
      </c>
      <c r="G141" s="5">
        <v>0.0</v>
      </c>
      <c r="H141" s="32" t="s">
        <v>427</v>
      </c>
      <c r="I141" s="15">
        <v>45466.0</v>
      </c>
      <c r="J141" s="10"/>
    </row>
    <row r="142">
      <c r="A142" s="6">
        <v>143.0</v>
      </c>
      <c r="B142" s="6" t="str">
        <f>VLOOKUP(A142,vaccines!A:B,2)</f>
        <v>SPSA_therapeutic</v>
      </c>
      <c r="C142" s="14" t="s">
        <v>792</v>
      </c>
      <c r="D142" s="14" t="s">
        <v>793</v>
      </c>
      <c r="E142" s="15">
        <v>40819.0</v>
      </c>
      <c r="F142" s="5">
        <v>1.0</v>
      </c>
      <c r="G142" s="5">
        <v>0.0</v>
      </c>
      <c r="H142" s="32" t="s">
        <v>430</v>
      </c>
      <c r="I142" s="15">
        <v>45466.0</v>
      </c>
      <c r="J142" s="10"/>
    </row>
    <row r="143">
      <c r="A143" s="6">
        <v>144.0</v>
      </c>
      <c r="B143" s="6" t="str">
        <f>VLOOKUP(A143,vaccines!A:B,2)</f>
        <v>HepB_Serum_India_0_5</v>
      </c>
      <c r="C143" s="14" t="s">
        <v>794</v>
      </c>
      <c r="D143" s="14" t="s">
        <v>795</v>
      </c>
      <c r="E143" s="15">
        <v>45981.0</v>
      </c>
      <c r="F143" s="5">
        <v>1.0</v>
      </c>
      <c r="G143" s="5">
        <v>0.0</v>
      </c>
      <c r="H143" s="32" t="s">
        <v>433</v>
      </c>
      <c r="I143" s="15">
        <v>45466.0</v>
      </c>
      <c r="J143" s="31">
        <v>46053.0</v>
      </c>
    </row>
    <row r="144">
      <c r="A144" s="6">
        <v>145.0</v>
      </c>
      <c r="B144" s="6" t="str">
        <f>VLOOKUP(A144,vaccines!A:B,2)</f>
        <v>Polio_1_2_3</v>
      </c>
      <c r="C144" s="14" t="s">
        <v>796</v>
      </c>
      <c r="D144" s="14" t="s">
        <v>797</v>
      </c>
      <c r="E144" s="15">
        <v>45275.0</v>
      </c>
      <c r="F144" s="5">
        <v>1.0</v>
      </c>
      <c r="G144" s="5">
        <v>0.0</v>
      </c>
      <c r="H144" s="32" t="s">
        <v>436</v>
      </c>
      <c r="I144" s="15">
        <v>45466.0</v>
      </c>
      <c r="J144" s="10"/>
    </row>
    <row r="145">
      <c r="A145" s="6">
        <v>146.0</v>
      </c>
      <c r="B145" s="6" t="str">
        <f>VLOOKUP(A145,vaccines!A:B,2)</f>
        <v>TEOVac_chew_tablets</v>
      </c>
      <c r="C145" s="14" t="s">
        <v>798</v>
      </c>
      <c r="D145" s="14" t="s">
        <v>799</v>
      </c>
      <c r="E145" s="15">
        <v>40396.0</v>
      </c>
      <c r="F145" s="5">
        <v>1.0</v>
      </c>
      <c r="G145" s="5">
        <v>0.0</v>
      </c>
      <c r="H145" s="32" t="s">
        <v>439</v>
      </c>
      <c r="I145" s="15">
        <v>45467.0</v>
      </c>
      <c r="J145" s="10"/>
    </row>
    <row r="146">
      <c r="A146" s="6">
        <v>147.0</v>
      </c>
      <c r="B146" s="6" t="str">
        <f>VLOOKUP(A146,vaccines!A:B,2)</f>
        <v>TEOVac_tablets</v>
      </c>
      <c r="C146" s="14" t="s">
        <v>798</v>
      </c>
      <c r="D146" s="14" t="s">
        <v>799</v>
      </c>
      <c r="E146" s="15">
        <v>40392.0</v>
      </c>
      <c r="F146" s="5">
        <v>1.0</v>
      </c>
      <c r="G146" s="5">
        <v>0.0</v>
      </c>
      <c r="H146" s="32" t="s">
        <v>442</v>
      </c>
      <c r="I146" s="15">
        <v>45467.0</v>
      </c>
      <c r="J146" s="10"/>
    </row>
    <row r="147">
      <c r="A147" s="23">
        <v>148.0</v>
      </c>
      <c r="B147" s="6" t="str">
        <f>VLOOKUP(A147,vaccines!A:B,2)</f>
        <v>Uro_BCG_therapeutic</v>
      </c>
      <c r="C147" s="14" t="s">
        <v>800</v>
      </c>
      <c r="D147" s="14" t="s">
        <v>801</v>
      </c>
      <c r="E147" s="15">
        <v>42947.0</v>
      </c>
      <c r="F147" s="5">
        <v>1.0</v>
      </c>
      <c r="G147" s="5">
        <v>0.0</v>
      </c>
      <c r="H147" s="32" t="s">
        <v>445</v>
      </c>
      <c r="I147" s="15">
        <v>45494.0</v>
      </c>
      <c r="J147" s="10"/>
    </row>
    <row r="148">
      <c r="A148" s="6">
        <v>149.0</v>
      </c>
      <c r="B148" s="6" t="str">
        <f>VLOOKUP(A148,vaccines!A:B,2)</f>
        <v>Flu_Microgen</v>
      </c>
      <c r="C148" s="14" t="s">
        <v>802</v>
      </c>
      <c r="D148" s="14" t="s">
        <v>803</v>
      </c>
      <c r="E148" s="15">
        <v>40940.0</v>
      </c>
      <c r="F148" s="5">
        <v>1.0</v>
      </c>
      <c r="G148" s="5">
        <v>0.0</v>
      </c>
      <c r="H148" s="32" t="s">
        <v>448</v>
      </c>
      <c r="I148" s="15">
        <v>45494.0</v>
      </c>
      <c r="J148" s="10"/>
    </row>
    <row r="149">
      <c r="A149" s="23">
        <v>150.0</v>
      </c>
      <c r="B149" s="6" t="str">
        <f>VLOOKUP(A149,vaccines!A:B,2)</f>
        <v>MonoGrippol_plus</v>
      </c>
      <c r="C149" s="14" t="s">
        <v>804</v>
      </c>
      <c r="D149" s="14" t="s">
        <v>805</v>
      </c>
      <c r="E149" s="15">
        <v>42719.0</v>
      </c>
      <c r="F149" s="5">
        <v>1.0</v>
      </c>
      <c r="G149" s="5">
        <v>0.0</v>
      </c>
      <c r="H149" s="32" t="s">
        <v>451</v>
      </c>
      <c r="I149" s="15">
        <v>45494.0</v>
      </c>
      <c r="J149" s="10"/>
    </row>
    <row r="150">
      <c r="A150" s="6">
        <v>151.0</v>
      </c>
      <c r="B150" s="6" t="str">
        <f>VLOOKUP(A150,vaccines!A:B,2)</f>
        <v>MonoGrippol_Neo</v>
      </c>
      <c r="C150" s="14" t="s">
        <v>804</v>
      </c>
      <c r="D150" s="14" t="s">
        <v>805</v>
      </c>
      <c r="E150" s="15">
        <v>40102.0</v>
      </c>
      <c r="F150" s="5">
        <v>1.0</v>
      </c>
      <c r="G150" s="5">
        <v>0.0</v>
      </c>
      <c r="H150" s="32" t="s">
        <v>806</v>
      </c>
      <c r="I150" s="15">
        <v>45494.0</v>
      </c>
      <c r="J150" s="10"/>
    </row>
    <row r="151">
      <c r="A151" s="23">
        <v>152.0</v>
      </c>
      <c r="B151" s="6" t="str">
        <f>VLOOKUP(A151,vaccines!A:B,2)</f>
        <v>MonoGrippol</v>
      </c>
      <c r="C151" s="14" t="s">
        <v>804</v>
      </c>
      <c r="D151" s="14" t="s">
        <v>805</v>
      </c>
      <c r="E151" s="15">
        <v>40102.0</v>
      </c>
      <c r="F151" s="5">
        <v>1.0</v>
      </c>
      <c r="G151" s="5">
        <v>0.0</v>
      </c>
      <c r="H151" s="32" t="s">
        <v>455</v>
      </c>
      <c r="I151" s="15">
        <v>45494.0</v>
      </c>
      <c r="J151" s="10"/>
    </row>
    <row r="152">
      <c r="A152" s="6">
        <v>153.0</v>
      </c>
      <c r="B152" s="6" t="str">
        <f>VLOOKUP(A152,vaccines!A:B,2)</f>
        <v>Influvir</v>
      </c>
      <c r="C152" s="14" t="s">
        <v>807</v>
      </c>
      <c r="D152" s="14" t="s">
        <v>808</v>
      </c>
      <c r="E152" s="15">
        <v>45681.0</v>
      </c>
      <c r="F152" s="5">
        <v>1.0</v>
      </c>
      <c r="G152" s="5">
        <v>0.0</v>
      </c>
      <c r="H152" s="32" t="s">
        <v>458</v>
      </c>
      <c r="I152" s="15">
        <v>45494.0</v>
      </c>
      <c r="J152" s="15">
        <v>45717.0</v>
      </c>
    </row>
    <row r="153">
      <c r="A153" s="23">
        <v>154.0</v>
      </c>
      <c r="B153" s="6" t="str">
        <f>VLOOKUP(A153,vaccines!A:B,2)</f>
        <v>Pandeflu</v>
      </c>
      <c r="C153" s="14" t="s">
        <v>809</v>
      </c>
      <c r="D153" s="14" t="s">
        <v>810</v>
      </c>
      <c r="E153" s="15">
        <v>45719.0</v>
      </c>
      <c r="F153" s="5">
        <v>1.0</v>
      </c>
      <c r="G153" s="5">
        <v>0.0</v>
      </c>
      <c r="H153" s="32" t="s">
        <v>461</v>
      </c>
      <c r="I153" s="15">
        <v>45494.0</v>
      </c>
      <c r="J153" s="15">
        <v>45750.0</v>
      </c>
    </row>
    <row r="154">
      <c r="A154" s="6">
        <v>155.0</v>
      </c>
      <c r="B154" s="6" t="str">
        <f>VLOOKUP(A154,vaccines!A:B,2)</f>
        <v>Grippol_Neo</v>
      </c>
      <c r="C154" s="14" t="s">
        <v>811</v>
      </c>
      <c r="D154" s="14" t="s">
        <v>812</v>
      </c>
      <c r="E154" s="15">
        <v>40274.0</v>
      </c>
      <c r="F154" s="5">
        <v>1.0</v>
      </c>
      <c r="G154" s="5">
        <v>0.0</v>
      </c>
      <c r="H154" s="32" t="s">
        <v>813</v>
      </c>
      <c r="I154" s="15">
        <v>45494.0</v>
      </c>
      <c r="J154" s="10"/>
    </row>
    <row r="155">
      <c r="A155" s="23">
        <v>156.0</v>
      </c>
      <c r="B155" s="6" t="str">
        <f>VLOOKUP(A155,vaccines!A:B,2)</f>
        <v>Ultravac</v>
      </c>
      <c r="C155" s="14" t="s">
        <v>814</v>
      </c>
      <c r="D155" s="14" t="s">
        <v>815</v>
      </c>
      <c r="E155" s="15">
        <v>45569.0</v>
      </c>
      <c r="F155" s="16"/>
      <c r="G155" s="16"/>
      <c r="H155" s="29" t="s">
        <v>467</v>
      </c>
      <c r="I155" s="15">
        <v>45494.0</v>
      </c>
      <c r="J155" s="15">
        <v>45622.0</v>
      </c>
    </row>
    <row r="156">
      <c r="A156" s="23">
        <v>158.0</v>
      </c>
      <c r="B156" s="6" t="str">
        <f>VLOOKUP(A156,vaccines!A:B,2)</f>
        <v>Gerpovax_therapeutic</v>
      </c>
      <c r="C156" s="14" t="s">
        <v>816</v>
      </c>
      <c r="D156" s="14" t="s">
        <v>817</v>
      </c>
      <c r="E156" s="15">
        <v>43808.0</v>
      </c>
      <c r="F156" s="5">
        <v>1.0</v>
      </c>
      <c r="G156" s="5">
        <v>0.0</v>
      </c>
      <c r="H156" s="32" t="s">
        <v>470</v>
      </c>
      <c r="I156" s="15">
        <v>45496.0</v>
      </c>
      <c r="J156" s="10"/>
    </row>
    <row r="157">
      <c r="A157" s="23">
        <v>159.0</v>
      </c>
      <c r="B157" s="6" t="str">
        <f>VLOOKUP(A157,vaccines!A:B,2)</f>
        <v>Ultragrivac</v>
      </c>
      <c r="C157" s="14" t="s">
        <v>818</v>
      </c>
      <c r="D157" s="14" t="s">
        <v>819</v>
      </c>
      <c r="E157" s="15">
        <v>45775.0</v>
      </c>
      <c r="F157" s="5">
        <v>1.0</v>
      </c>
      <c r="G157" s="5">
        <v>0.0</v>
      </c>
      <c r="H157" s="32" t="s">
        <v>473</v>
      </c>
      <c r="I157" s="15">
        <v>45496.0</v>
      </c>
      <c r="J157" s="15">
        <v>45818.0</v>
      </c>
    </row>
    <row r="158">
      <c r="A158" s="23">
        <v>160.0</v>
      </c>
      <c r="B158" s="6" t="str">
        <f>VLOOKUP(A158,vaccines!A:B,2)</f>
        <v>OrniFlu</v>
      </c>
      <c r="C158" s="14" t="s">
        <v>820</v>
      </c>
      <c r="D158" s="14" t="s">
        <v>821</v>
      </c>
      <c r="E158" s="15">
        <v>45720.0</v>
      </c>
      <c r="F158" s="5">
        <v>1.0</v>
      </c>
      <c r="G158" s="5">
        <v>0.0</v>
      </c>
      <c r="H158" s="32" t="s">
        <v>476</v>
      </c>
      <c r="I158" s="15">
        <v>45496.0</v>
      </c>
      <c r="J158" s="15">
        <v>45750.0</v>
      </c>
    </row>
    <row r="159">
      <c r="A159" s="23">
        <v>161.0</v>
      </c>
      <c r="B159" s="6" t="str">
        <f>VLOOKUP(A159,vaccines!A:B,2)</f>
        <v>rubella_Croatia</v>
      </c>
      <c r="C159" s="14" t="s">
        <v>822</v>
      </c>
      <c r="D159" s="14" t="s">
        <v>823</v>
      </c>
      <c r="E159" s="15">
        <v>37712.0</v>
      </c>
      <c r="F159" s="5">
        <v>1.0</v>
      </c>
      <c r="G159" s="5">
        <v>0.0</v>
      </c>
      <c r="H159" s="32" t="s">
        <v>479</v>
      </c>
      <c r="I159" s="15">
        <v>45496.0</v>
      </c>
      <c r="J159" s="10"/>
    </row>
    <row r="160">
      <c r="A160" s="23">
        <v>162.0</v>
      </c>
      <c r="B160" s="6" t="str">
        <f>VLOOKUP(A160,vaccines!A:B,2)</f>
        <v>Tetraanatoxin</v>
      </c>
      <c r="C160" s="14" t="s">
        <v>824</v>
      </c>
      <c r="D160" s="14" t="s">
        <v>825</v>
      </c>
      <c r="E160" s="15">
        <v>45546.0</v>
      </c>
      <c r="F160" s="6"/>
      <c r="G160" s="6"/>
      <c r="H160" s="36" t="s">
        <v>482</v>
      </c>
      <c r="I160" s="15">
        <v>45497.0</v>
      </c>
      <c r="J160" s="15">
        <v>45581.0</v>
      </c>
    </row>
    <row r="161">
      <c r="A161" s="23">
        <v>163.0</v>
      </c>
      <c r="B161" s="6" t="str">
        <f>VLOOKUP(A161,vaccines!A:B,2)</f>
        <v>Staphylococcus_Gamaleya</v>
      </c>
      <c r="C161" s="14" t="s">
        <v>826</v>
      </c>
      <c r="D161" s="14" t="s">
        <v>827</v>
      </c>
      <c r="E161" s="15">
        <v>45799.0</v>
      </c>
      <c r="F161" s="5">
        <v>1.0</v>
      </c>
      <c r="G161" s="5">
        <v>0.0</v>
      </c>
      <c r="H161" s="32" t="s">
        <v>485</v>
      </c>
      <c r="I161" s="15">
        <v>45497.0</v>
      </c>
      <c r="J161" s="31">
        <v>45830.0</v>
      </c>
    </row>
    <row r="162">
      <c r="A162" s="23">
        <v>164.0</v>
      </c>
      <c r="B162" s="6" t="str">
        <f>VLOOKUP(A162,vaccines!A:B,2)</f>
        <v>Staphylococcus_therapeutic_Gamaleya</v>
      </c>
      <c r="C162" s="14" t="s">
        <v>828</v>
      </c>
      <c r="D162" s="14" t="s">
        <v>829</v>
      </c>
      <c r="E162" s="15">
        <v>45799.0</v>
      </c>
      <c r="F162" s="5">
        <v>1.0</v>
      </c>
      <c r="G162" s="5">
        <v>0.0</v>
      </c>
      <c r="H162" s="32" t="s">
        <v>488</v>
      </c>
      <c r="I162" s="15">
        <v>45497.0</v>
      </c>
      <c r="J162" s="15">
        <v>45830.0</v>
      </c>
    </row>
    <row r="163">
      <c r="A163" s="23">
        <v>165.0</v>
      </c>
      <c r="B163" s="6" t="str">
        <f>VLOOKUP(A163,vaccines!A:B,2)</f>
        <v>Imuron_vac_therapeutic</v>
      </c>
      <c r="C163" s="14" t="s">
        <v>830</v>
      </c>
      <c r="D163" s="14" t="s">
        <v>831</v>
      </c>
      <c r="E163" s="15">
        <v>45811.0</v>
      </c>
      <c r="F163" s="5">
        <v>1.0</v>
      </c>
      <c r="G163" s="5">
        <v>0.0</v>
      </c>
      <c r="H163" s="32" t="s">
        <v>491</v>
      </c>
      <c r="I163" s="15">
        <v>45497.0</v>
      </c>
      <c r="J163" s="15">
        <v>45861.0</v>
      </c>
    </row>
    <row r="164">
      <c r="A164" s="23">
        <v>166.0</v>
      </c>
      <c r="B164" s="6" t="str">
        <f>VLOOKUP(A164,vaccines!A:B,2)</f>
        <v>HepB_Serum_India_1_0</v>
      </c>
      <c r="C164" s="14" t="s">
        <v>832</v>
      </c>
      <c r="D164" s="14" t="s">
        <v>833</v>
      </c>
      <c r="E164" s="15">
        <v>45981.0</v>
      </c>
      <c r="F164" s="5">
        <v>1.0</v>
      </c>
      <c r="G164" s="5">
        <v>0.0</v>
      </c>
      <c r="H164" s="32" t="s">
        <v>433</v>
      </c>
      <c r="I164" s="15">
        <v>45466.0</v>
      </c>
      <c r="J164" s="31">
        <v>46053.0</v>
      </c>
    </row>
    <row r="165">
      <c r="A165" s="23">
        <v>167.0</v>
      </c>
      <c r="B165" s="6" t="str">
        <f>VLOOKUP(A165,vaccines!A:B,2)</f>
        <v>Hexaxim</v>
      </c>
      <c r="C165" s="14" t="s">
        <v>834</v>
      </c>
      <c r="D165" s="14" t="s">
        <v>835</v>
      </c>
      <c r="E165" s="15">
        <v>45504.0</v>
      </c>
      <c r="F165" s="6"/>
      <c r="G165" s="6"/>
      <c r="H165" s="36" t="s">
        <v>496</v>
      </c>
      <c r="I165" s="15">
        <v>45558.0</v>
      </c>
      <c r="J165" s="10"/>
    </row>
    <row r="166">
      <c r="A166" s="23">
        <v>168.0</v>
      </c>
      <c r="B166" s="6" t="str">
        <f>VLOOKUP(A166,vaccines!A:B,2)</f>
        <v>Gam_VLP_multivac</v>
      </c>
      <c r="C166" s="14" t="s">
        <v>836</v>
      </c>
      <c r="D166" s="14" t="s">
        <v>837</v>
      </c>
      <c r="E166" s="15">
        <v>45632.0</v>
      </c>
      <c r="F166" s="5">
        <v>1.0</v>
      </c>
      <c r="G166" s="5">
        <v>0.0</v>
      </c>
      <c r="H166" s="36" t="s">
        <v>499</v>
      </c>
      <c r="I166" s="15">
        <v>45678.0</v>
      </c>
      <c r="J166" s="10"/>
    </row>
    <row r="167">
      <c r="A167" s="23">
        <v>169.0</v>
      </c>
      <c r="B167" s="6" t="str">
        <f>VLOOKUP(A167,vaccines!A:B,2)</f>
        <v>Gam_VLP_multivac_nasal</v>
      </c>
      <c r="C167" s="14" t="s">
        <v>838</v>
      </c>
      <c r="D167" s="14" t="s">
        <v>839</v>
      </c>
      <c r="E167" s="15">
        <v>45737.0</v>
      </c>
      <c r="F167" s="5">
        <v>1.0</v>
      </c>
      <c r="G167" s="5">
        <v>0.0</v>
      </c>
      <c r="H167" s="32" t="s">
        <v>502</v>
      </c>
      <c r="I167" s="15">
        <v>45742.0</v>
      </c>
      <c r="J167" s="10"/>
    </row>
    <row r="168">
      <c r="A168" s="23">
        <v>170.0</v>
      </c>
      <c r="B168" s="6" t="str">
        <f>VLOOKUP(A168,vaccines!A:B,2)</f>
        <v>Cegardex</v>
      </c>
      <c r="C168" s="14" t="s">
        <v>840</v>
      </c>
      <c r="D168" s="14" t="s">
        <v>841</v>
      </c>
      <c r="E168" s="15">
        <v>45721.0</v>
      </c>
      <c r="F168" s="5">
        <v>1.0</v>
      </c>
      <c r="G168" s="5">
        <v>0.0</v>
      </c>
      <c r="H168" s="32" t="s">
        <v>505</v>
      </c>
      <c r="I168" s="15">
        <v>45742.0</v>
      </c>
      <c r="J168" s="10"/>
    </row>
    <row r="169">
      <c r="A169" s="23">
        <v>171.0</v>
      </c>
      <c r="B169" s="6" t="str">
        <f>VLOOKUP(A169,vaccines!A:B,2)</f>
        <v>Menvaid</v>
      </c>
      <c r="C169" s="14" t="s">
        <v>842</v>
      </c>
      <c r="D169" s="14" t="s">
        <v>843</v>
      </c>
      <c r="E169" s="15">
        <v>45740.0</v>
      </c>
      <c r="F169" s="5">
        <v>1.0</v>
      </c>
      <c r="G169" s="5">
        <v>0.0</v>
      </c>
      <c r="H169" s="32" t="s">
        <v>508</v>
      </c>
      <c r="I169" s="15">
        <v>45755.0</v>
      </c>
      <c r="J169" s="10"/>
    </row>
    <row r="170">
      <c r="A170" s="23">
        <v>172.0</v>
      </c>
      <c r="B170" s="6" t="str">
        <f>VLOOKUP(A170,vaccines!A:B,2)</f>
        <v>ChiroRab</v>
      </c>
      <c r="C170" s="14" t="s">
        <v>844</v>
      </c>
      <c r="D170" s="14" t="s">
        <v>845</v>
      </c>
      <c r="E170" s="22">
        <v>42996.0</v>
      </c>
      <c r="F170" s="23">
        <v>1.0</v>
      </c>
      <c r="G170" s="23">
        <v>0.0</v>
      </c>
      <c r="H170" s="25" t="s">
        <v>261</v>
      </c>
      <c r="I170" s="22">
        <v>45818.0</v>
      </c>
      <c r="J170" s="10"/>
      <c r="K170" s="37" t="s">
        <v>511</v>
      </c>
    </row>
    <row r="171">
      <c r="A171" s="23">
        <v>173.0</v>
      </c>
      <c r="B171" s="6" t="str">
        <f>VLOOKUP(A171,vaccines!A:B,2)</f>
        <v>Prevenar_20</v>
      </c>
      <c r="C171" s="14" t="s">
        <v>846</v>
      </c>
      <c r="D171" s="14" t="s">
        <v>847</v>
      </c>
      <c r="E171" s="15">
        <v>45835.0</v>
      </c>
      <c r="F171" s="5">
        <v>1.0</v>
      </c>
      <c r="G171" s="5">
        <v>0.0</v>
      </c>
      <c r="H171" s="32" t="s">
        <v>514</v>
      </c>
      <c r="I171" s="15">
        <v>45861.0</v>
      </c>
      <c r="J171" s="10"/>
    </row>
    <row r="172">
      <c r="A172" s="23">
        <v>174.0</v>
      </c>
      <c r="B172" s="6" t="str">
        <f>VLOOKUP(A172,vaccines!A:B,2)</f>
        <v>aAKDS_M</v>
      </c>
      <c r="C172" s="14" t="s">
        <v>848</v>
      </c>
      <c r="D172" s="14" t="s">
        <v>849</v>
      </c>
      <c r="E172" s="15">
        <v>46104.0</v>
      </c>
      <c r="F172" s="5">
        <v>1.0</v>
      </c>
      <c r="G172" s="5">
        <v>0.0</v>
      </c>
      <c r="H172" s="32" t="s">
        <v>517</v>
      </c>
      <c r="I172" s="15">
        <v>46131.0</v>
      </c>
      <c r="J172" s="10"/>
    </row>
    <row r="173">
      <c r="A173" s="23">
        <v>175.0</v>
      </c>
      <c r="B173" s="6" t="str">
        <f>VLOOKUP(A173,vaccines!A:B,2)</f>
        <v>Nimenrix</v>
      </c>
      <c r="C173" s="14" t="s">
        <v>850</v>
      </c>
      <c r="D173" s="14" t="s">
        <v>851</v>
      </c>
      <c r="E173" s="15">
        <v>46111.0</v>
      </c>
      <c r="F173" s="5">
        <v>1.0</v>
      </c>
      <c r="G173" s="5">
        <v>0.0</v>
      </c>
      <c r="H173" s="32" t="s">
        <v>520</v>
      </c>
      <c r="I173" s="15">
        <v>46131.0</v>
      </c>
      <c r="J173" s="10"/>
    </row>
    <row r="174">
      <c r="C174" s="38"/>
      <c r="D174" s="38"/>
      <c r="E174" s="10"/>
      <c r="I174" s="10"/>
      <c r="J174" s="10"/>
    </row>
    <row r="175">
      <c r="C175" s="38"/>
      <c r="D175" s="38"/>
      <c r="E175" s="10"/>
      <c r="I175" s="10"/>
      <c r="J175" s="10"/>
    </row>
    <row r="176">
      <c r="C176" s="38"/>
      <c r="D176" s="38"/>
      <c r="E176" s="10"/>
      <c r="I176" s="10"/>
      <c r="J176" s="10"/>
    </row>
    <row r="177">
      <c r="C177" s="38"/>
      <c r="D177" s="38"/>
      <c r="E177" s="10"/>
      <c r="I177" s="10"/>
      <c r="J177" s="10"/>
    </row>
    <row r="178">
      <c r="C178" s="38"/>
      <c r="D178" s="38"/>
      <c r="E178" s="10"/>
      <c r="I178" s="10"/>
      <c r="J178" s="10"/>
    </row>
    <row r="179">
      <c r="C179" s="38"/>
      <c r="D179" s="38"/>
      <c r="E179" s="10"/>
      <c r="I179" s="10"/>
      <c r="J179" s="10"/>
    </row>
    <row r="180">
      <c r="C180" s="38"/>
      <c r="D180" s="38"/>
      <c r="E180" s="10"/>
      <c r="I180" s="10"/>
      <c r="J180" s="10"/>
    </row>
    <row r="181">
      <c r="C181" s="38"/>
      <c r="D181" s="38"/>
      <c r="E181" s="10"/>
      <c r="I181" s="10"/>
      <c r="J181" s="10"/>
    </row>
    <row r="182">
      <c r="C182" s="38"/>
      <c r="D182" s="38"/>
      <c r="E182" s="10"/>
      <c r="I182" s="10"/>
      <c r="J182" s="10"/>
    </row>
    <row r="183">
      <c r="C183" s="38"/>
      <c r="D183" s="38"/>
      <c r="E183" s="10"/>
      <c r="I183" s="10"/>
      <c r="J183" s="10"/>
    </row>
    <row r="184">
      <c r="C184" s="38"/>
      <c r="D184" s="38"/>
      <c r="E184" s="10"/>
      <c r="I184" s="10"/>
      <c r="J184" s="10"/>
    </row>
    <row r="185">
      <c r="C185" s="38"/>
      <c r="D185" s="38"/>
      <c r="E185" s="10"/>
      <c r="I185" s="10"/>
      <c r="J185" s="10"/>
    </row>
    <row r="186">
      <c r="C186" s="38"/>
      <c r="D186" s="38"/>
      <c r="E186" s="10"/>
      <c r="I186" s="10"/>
      <c r="J186" s="10"/>
    </row>
    <row r="187">
      <c r="C187" s="38"/>
      <c r="D187" s="38"/>
      <c r="E187" s="10"/>
      <c r="I187" s="10"/>
      <c r="J187" s="10"/>
    </row>
    <row r="188">
      <c r="C188" s="38"/>
      <c r="D188" s="38"/>
      <c r="E188" s="10"/>
      <c r="I188" s="10"/>
      <c r="J188" s="10"/>
    </row>
    <row r="189">
      <c r="C189" s="38"/>
      <c r="D189" s="38"/>
      <c r="E189" s="10"/>
      <c r="I189" s="10"/>
      <c r="J189" s="10"/>
    </row>
    <row r="190">
      <c r="C190" s="38"/>
      <c r="D190" s="38"/>
      <c r="E190" s="10"/>
      <c r="I190" s="10"/>
      <c r="J190" s="10"/>
    </row>
    <row r="191">
      <c r="C191" s="38"/>
      <c r="D191" s="38"/>
      <c r="E191" s="10"/>
      <c r="I191" s="10"/>
      <c r="J191" s="10"/>
    </row>
    <row r="192">
      <c r="C192" s="38"/>
      <c r="D192" s="38"/>
      <c r="E192" s="10"/>
      <c r="I192" s="10"/>
      <c r="J192" s="10"/>
    </row>
    <row r="193">
      <c r="C193" s="38"/>
      <c r="D193" s="38"/>
      <c r="E193" s="10"/>
      <c r="I193" s="10"/>
      <c r="J193" s="10"/>
    </row>
    <row r="194">
      <c r="C194" s="38"/>
      <c r="D194" s="38"/>
      <c r="E194" s="10"/>
      <c r="I194" s="10"/>
      <c r="J194" s="10"/>
    </row>
    <row r="195">
      <c r="C195" s="38"/>
      <c r="D195" s="38"/>
      <c r="E195" s="10"/>
      <c r="I195" s="10"/>
      <c r="J195" s="10"/>
    </row>
    <row r="196">
      <c r="C196" s="38"/>
      <c r="D196" s="38"/>
      <c r="E196" s="10"/>
      <c r="I196" s="10"/>
      <c r="J196" s="10"/>
    </row>
    <row r="197">
      <c r="C197" s="38"/>
      <c r="D197" s="38"/>
      <c r="E197" s="10"/>
      <c r="I197" s="10"/>
      <c r="J197" s="10"/>
    </row>
    <row r="198">
      <c r="C198" s="38"/>
      <c r="D198" s="38"/>
      <c r="E198" s="10"/>
      <c r="I198" s="10"/>
      <c r="J198" s="10"/>
    </row>
    <row r="199">
      <c r="C199" s="38"/>
      <c r="D199" s="38"/>
      <c r="E199" s="10"/>
      <c r="I199" s="10"/>
      <c r="J199" s="10"/>
    </row>
    <row r="200">
      <c r="C200" s="38"/>
      <c r="D200" s="38"/>
      <c r="E200" s="10"/>
      <c r="I200" s="10"/>
      <c r="J200" s="10"/>
    </row>
    <row r="201">
      <c r="C201" s="38"/>
      <c r="D201" s="38"/>
      <c r="E201" s="10"/>
      <c r="I201" s="10"/>
      <c r="J201" s="10"/>
    </row>
    <row r="202">
      <c r="C202" s="38"/>
      <c r="D202" s="38"/>
      <c r="E202" s="10"/>
      <c r="I202" s="10"/>
      <c r="J202" s="10"/>
    </row>
    <row r="203">
      <c r="C203" s="38"/>
      <c r="D203" s="38"/>
      <c r="E203" s="10"/>
      <c r="I203" s="10"/>
      <c r="J203" s="10"/>
    </row>
    <row r="204">
      <c r="C204" s="38"/>
      <c r="D204" s="38"/>
      <c r="E204" s="10"/>
      <c r="I204" s="10"/>
      <c r="J204" s="10"/>
    </row>
    <row r="205">
      <c r="C205" s="38"/>
      <c r="D205" s="38"/>
      <c r="E205" s="10"/>
      <c r="I205" s="10"/>
      <c r="J205" s="10"/>
    </row>
    <row r="206">
      <c r="C206" s="38"/>
      <c r="D206" s="38"/>
      <c r="E206" s="10"/>
      <c r="I206" s="10"/>
      <c r="J206" s="10"/>
    </row>
    <row r="207">
      <c r="C207" s="38"/>
      <c r="D207" s="38"/>
      <c r="E207" s="10"/>
      <c r="I207" s="10"/>
      <c r="J207" s="10"/>
    </row>
    <row r="208">
      <c r="C208" s="38"/>
      <c r="D208" s="38"/>
      <c r="E208" s="10"/>
      <c r="I208" s="10"/>
      <c r="J208" s="10"/>
    </row>
    <row r="209">
      <c r="C209" s="38"/>
      <c r="D209" s="38"/>
      <c r="E209" s="10"/>
      <c r="I209" s="10"/>
      <c r="J209" s="10"/>
    </row>
    <row r="210">
      <c r="C210" s="38"/>
      <c r="D210" s="38"/>
      <c r="E210" s="10"/>
      <c r="I210" s="10"/>
      <c r="J210" s="10"/>
    </row>
    <row r="211">
      <c r="C211" s="38"/>
      <c r="D211" s="38"/>
      <c r="E211" s="10"/>
      <c r="I211" s="10"/>
      <c r="J211" s="10"/>
    </row>
    <row r="212">
      <c r="C212" s="38"/>
      <c r="D212" s="38"/>
      <c r="E212" s="10"/>
      <c r="I212" s="10"/>
      <c r="J212" s="10"/>
    </row>
    <row r="213">
      <c r="C213" s="38"/>
      <c r="D213" s="38"/>
      <c r="E213" s="10"/>
      <c r="I213" s="10"/>
      <c r="J213" s="10"/>
    </row>
    <row r="214">
      <c r="C214" s="38"/>
      <c r="D214" s="38"/>
      <c r="E214" s="10"/>
      <c r="I214" s="10"/>
      <c r="J214" s="10"/>
    </row>
    <row r="215">
      <c r="C215" s="38"/>
      <c r="D215" s="38"/>
      <c r="E215" s="10"/>
      <c r="I215" s="10"/>
      <c r="J215" s="10"/>
    </row>
    <row r="216">
      <c r="C216" s="38"/>
      <c r="D216" s="38"/>
      <c r="E216" s="10"/>
      <c r="I216" s="10"/>
      <c r="J216" s="10"/>
    </row>
    <row r="217">
      <c r="C217" s="38"/>
      <c r="D217" s="38"/>
      <c r="E217" s="10"/>
      <c r="I217" s="10"/>
      <c r="J217" s="10"/>
    </row>
    <row r="218">
      <c r="C218" s="38"/>
      <c r="D218" s="38"/>
      <c r="E218" s="10"/>
      <c r="I218" s="10"/>
      <c r="J218" s="10"/>
    </row>
    <row r="219">
      <c r="C219" s="38"/>
      <c r="D219" s="38"/>
      <c r="E219" s="10"/>
      <c r="I219" s="10"/>
      <c r="J219" s="10"/>
    </row>
    <row r="220">
      <c r="C220" s="38"/>
      <c r="D220" s="38"/>
      <c r="E220" s="10"/>
      <c r="I220" s="10"/>
      <c r="J220" s="10"/>
    </row>
    <row r="221">
      <c r="C221" s="38"/>
      <c r="D221" s="38"/>
      <c r="E221" s="10"/>
      <c r="I221" s="10"/>
      <c r="J221" s="10"/>
    </row>
    <row r="222">
      <c r="C222" s="38"/>
      <c r="D222" s="38"/>
      <c r="E222" s="10"/>
      <c r="I222" s="10"/>
      <c r="J222" s="10"/>
    </row>
    <row r="223">
      <c r="C223" s="38"/>
      <c r="D223" s="38"/>
      <c r="E223" s="10"/>
      <c r="I223" s="10"/>
      <c r="J223" s="10"/>
    </row>
    <row r="224">
      <c r="C224" s="38"/>
      <c r="D224" s="38"/>
      <c r="E224" s="10"/>
      <c r="I224" s="10"/>
      <c r="J224" s="10"/>
    </row>
    <row r="225">
      <c r="C225" s="38"/>
      <c r="D225" s="38"/>
      <c r="E225" s="10"/>
      <c r="I225" s="10"/>
      <c r="J225" s="10"/>
    </row>
    <row r="226">
      <c r="C226" s="38"/>
      <c r="D226" s="38"/>
      <c r="E226" s="10"/>
      <c r="I226" s="10"/>
      <c r="J226" s="10"/>
    </row>
    <row r="227">
      <c r="C227" s="38"/>
      <c r="D227" s="38"/>
      <c r="E227" s="10"/>
      <c r="I227" s="10"/>
      <c r="J227" s="10"/>
    </row>
    <row r="228">
      <c r="C228" s="38"/>
      <c r="D228" s="38"/>
      <c r="E228" s="10"/>
      <c r="I228" s="10"/>
      <c r="J228" s="10"/>
    </row>
    <row r="229">
      <c r="C229" s="38"/>
      <c r="D229" s="38"/>
      <c r="E229" s="10"/>
      <c r="I229" s="10"/>
      <c r="J229" s="10"/>
    </row>
    <row r="230">
      <c r="C230" s="38"/>
      <c r="D230" s="38"/>
      <c r="E230" s="10"/>
      <c r="I230" s="10"/>
      <c r="J230" s="10"/>
    </row>
    <row r="231">
      <c r="C231" s="38"/>
      <c r="D231" s="38"/>
      <c r="E231" s="10"/>
      <c r="I231" s="10"/>
      <c r="J231" s="10"/>
    </row>
    <row r="232">
      <c r="C232" s="38"/>
      <c r="D232" s="38"/>
      <c r="E232" s="10"/>
      <c r="I232" s="10"/>
      <c r="J232" s="10"/>
    </row>
    <row r="233">
      <c r="C233" s="38"/>
      <c r="D233" s="38"/>
      <c r="E233" s="10"/>
      <c r="I233" s="10"/>
      <c r="J233" s="10"/>
    </row>
    <row r="234">
      <c r="C234" s="38"/>
      <c r="D234" s="38"/>
      <c r="E234" s="10"/>
      <c r="I234" s="10"/>
      <c r="J234" s="10"/>
    </row>
    <row r="235">
      <c r="C235" s="38"/>
      <c r="D235" s="38"/>
      <c r="E235" s="10"/>
      <c r="I235" s="10"/>
      <c r="J235" s="10"/>
    </row>
    <row r="236">
      <c r="C236" s="38"/>
      <c r="D236" s="38"/>
      <c r="E236" s="10"/>
      <c r="I236" s="10"/>
      <c r="J236" s="10"/>
    </row>
    <row r="237">
      <c r="C237" s="38"/>
      <c r="D237" s="38"/>
      <c r="E237" s="10"/>
      <c r="I237" s="10"/>
      <c r="J237" s="10"/>
    </row>
    <row r="238">
      <c r="C238" s="38"/>
      <c r="D238" s="38"/>
      <c r="E238" s="10"/>
      <c r="I238" s="10"/>
      <c r="J238" s="10"/>
    </row>
    <row r="239">
      <c r="C239" s="38"/>
      <c r="D239" s="38"/>
      <c r="E239" s="10"/>
      <c r="I239" s="10"/>
      <c r="J239" s="10"/>
    </row>
    <row r="240">
      <c r="C240" s="38"/>
      <c r="D240" s="38"/>
      <c r="E240" s="10"/>
      <c r="I240" s="10"/>
      <c r="J240" s="10"/>
    </row>
    <row r="241">
      <c r="C241" s="38"/>
      <c r="D241" s="38"/>
      <c r="E241" s="10"/>
      <c r="I241" s="10"/>
      <c r="J241" s="10"/>
    </row>
    <row r="242">
      <c r="C242" s="38"/>
      <c r="D242" s="38"/>
      <c r="E242" s="10"/>
      <c r="I242" s="10"/>
      <c r="J242" s="10"/>
    </row>
    <row r="243">
      <c r="C243" s="38"/>
      <c r="D243" s="38"/>
      <c r="E243" s="10"/>
      <c r="I243" s="10"/>
      <c r="J243" s="10"/>
    </row>
    <row r="244">
      <c r="C244" s="38"/>
      <c r="D244" s="38"/>
      <c r="E244" s="10"/>
      <c r="I244" s="10"/>
      <c r="J244" s="10"/>
    </row>
    <row r="245">
      <c r="C245" s="38"/>
      <c r="D245" s="38"/>
      <c r="E245" s="10"/>
      <c r="I245" s="10"/>
      <c r="J245" s="10"/>
    </row>
    <row r="246">
      <c r="C246" s="38"/>
      <c r="D246" s="38"/>
      <c r="E246" s="10"/>
      <c r="I246" s="10"/>
      <c r="J246" s="10"/>
    </row>
    <row r="247">
      <c r="C247" s="38"/>
      <c r="D247" s="38"/>
      <c r="E247" s="10"/>
      <c r="I247" s="10"/>
      <c r="J247" s="10"/>
    </row>
    <row r="248">
      <c r="C248" s="38"/>
      <c r="D248" s="38"/>
      <c r="E248" s="10"/>
      <c r="I248" s="10"/>
      <c r="J248" s="10"/>
    </row>
    <row r="249">
      <c r="C249" s="38"/>
      <c r="D249" s="38"/>
      <c r="E249" s="10"/>
      <c r="I249" s="10"/>
      <c r="J249" s="10"/>
    </row>
    <row r="250">
      <c r="C250" s="38"/>
      <c r="D250" s="38"/>
      <c r="E250" s="10"/>
      <c r="I250" s="10"/>
      <c r="J250" s="10"/>
    </row>
    <row r="251">
      <c r="C251" s="38"/>
      <c r="D251" s="38"/>
      <c r="E251" s="10"/>
      <c r="I251" s="10"/>
      <c r="J251" s="10"/>
    </row>
    <row r="252">
      <c r="C252" s="38"/>
      <c r="D252" s="38"/>
      <c r="E252" s="10"/>
      <c r="I252" s="10"/>
      <c r="J252" s="10"/>
    </row>
    <row r="253">
      <c r="C253" s="38"/>
      <c r="D253" s="38"/>
      <c r="E253" s="10"/>
      <c r="I253" s="10"/>
      <c r="J253" s="10"/>
    </row>
    <row r="254">
      <c r="C254" s="38"/>
      <c r="D254" s="38"/>
      <c r="E254" s="10"/>
      <c r="I254" s="10"/>
      <c r="J254" s="10"/>
    </row>
    <row r="255">
      <c r="C255" s="38"/>
      <c r="D255" s="38"/>
      <c r="E255" s="10"/>
      <c r="I255" s="10"/>
      <c r="J255" s="10"/>
    </row>
    <row r="256">
      <c r="C256" s="38"/>
      <c r="D256" s="38"/>
      <c r="E256" s="10"/>
      <c r="I256" s="10"/>
      <c r="J256" s="10"/>
    </row>
    <row r="257">
      <c r="C257" s="38"/>
      <c r="D257" s="38"/>
      <c r="E257" s="10"/>
      <c r="I257" s="10"/>
      <c r="J257" s="10"/>
    </row>
    <row r="258">
      <c r="C258" s="38"/>
      <c r="D258" s="38"/>
      <c r="E258" s="10"/>
      <c r="I258" s="10"/>
      <c r="J258" s="10"/>
    </row>
    <row r="259">
      <c r="C259" s="38"/>
      <c r="D259" s="38"/>
      <c r="E259" s="10"/>
      <c r="I259" s="10"/>
      <c r="J259" s="10"/>
    </row>
    <row r="260">
      <c r="C260" s="38"/>
      <c r="D260" s="38"/>
      <c r="E260" s="10"/>
      <c r="I260" s="10"/>
      <c r="J260" s="10"/>
    </row>
    <row r="261">
      <c r="C261" s="38"/>
      <c r="D261" s="38"/>
      <c r="E261" s="10"/>
      <c r="I261" s="10"/>
      <c r="J261" s="10"/>
    </row>
    <row r="262">
      <c r="C262" s="38"/>
      <c r="D262" s="38"/>
      <c r="E262" s="10"/>
      <c r="I262" s="10"/>
      <c r="J262" s="10"/>
    </row>
    <row r="263">
      <c r="C263" s="38"/>
      <c r="D263" s="38"/>
      <c r="E263" s="10"/>
      <c r="I263" s="10"/>
      <c r="J263" s="10"/>
    </row>
    <row r="264">
      <c r="C264" s="38"/>
      <c r="D264" s="38"/>
      <c r="E264" s="10"/>
      <c r="I264" s="10"/>
      <c r="J264" s="10"/>
    </row>
    <row r="265">
      <c r="C265" s="38"/>
      <c r="D265" s="38"/>
      <c r="E265" s="10"/>
      <c r="I265" s="10"/>
      <c r="J265" s="10"/>
    </row>
    <row r="266">
      <c r="C266" s="38"/>
      <c r="D266" s="38"/>
      <c r="E266" s="10"/>
      <c r="I266" s="10"/>
      <c r="J266" s="10"/>
    </row>
    <row r="267">
      <c r="C267" s="38"/>
      <c r="D267" s="38"/>
      <c r="E267" s="10"/>
      <c r="I267" s="10"/>
      <c r="J267" s="10"/>
    </row>
    <row r="268">
      <c r="C268" s="38"/>
      <c r="D268" s="38"/>
      <c r="E268" s="10"/>
      <c r="I268" s="10"/>
      <c r="J268" s="10"/>
    </row>
    <row r="269">
      <c r="C269" s="38"/>
      <c r="D269" s="38"/>
      <c r="E269" s="10"/>
      <c r="I269" s="10"/>
      <c r="J269" s="10"/>
    </row>
    <row r="270">
      <c r="C270" s="38"/>
      <c r="D270" s="38"/>
      <c r="E270" s="10"/>
      <c r="I270" s="10"/>
      <c r="J270" s="10"/>
    </row>
    <row r="271">
      <c r="C271" s="38"/>
      <c r="D271" s="38"/>
      <c r="E271" s="10"/>
      <c r="I271" s="10"/>
      <c r="J271" s="10"/>
    </row>
    <row r="272">
      <c r="C272" s="38"/>
      <c r="D272" s="38"/>
      <c r="E272" s="10"/>
      <c r="I272" s="10"/>
      <c r="J272" s="10"/>
    </row>
    <row r="273">
      <c r="C273" s="38"/>
      <c r="D273" s="38"/>
      <c r="E273" s="10"/>
      <c r="I273" s="10"/>
      <c r="J273" s="10"/>
    </row>
    <row r="274">
      <c r="C274" s="38"/>
      <c r="D274" s="38"/>
      <c r="E274" s="10"/>
      <c r="I274" s="10"/>
      <c r="J274" s="10"/>
    </row>
    <row r="275">
      <c r="C275" s="38"/>
      <c r="D275" s="38"/>
      <c r="E275" s="10"/>
      <c r="I275" s="10"/>
      <c r="J275" s="10"/>
    </row>
    <row r="276">
      <c r="C276" s="38"/>
      <c r="D276" s="38"/>
      <c r="E276" s="10"/>
      <c r="I276" s="10"/>
      <c r="J276" s="10"/>
    </row>
    <row r="277">
      <c r="C277" s="38"/>
      <c r="D277" s="38"/>
      <c r="E277" s="10"/>
      <c r="I277" s="10"/>
      <c r="J277" s="10"/>
    </row>
    <row r="278">
      <c r="C278" s="38"/>
      <c r="D278" s="38"/>
      <c r="E278" s="10"/>
      <c r="I278" s="10"/>
      <c r="J278" s="10"/>
    </row>
    <row r="279">
      <c r="C279" s="38"/>
      <c r="D279" s="38"/>
      <c r="E279" s="10"/>
      <c r="I279" s="10"/>
      <c r="J279" s="10"/>
    </row>
    <row r="280">
      <c r="C280" s="38"/>
      <c r="D280" s="38"/>
      <c r="E280" s="10"/>
      <c r="I280" s="10"/>
      <c r="J280" s="10"/>
    </row>
    <row r="281">
      <c r="C281" s="38"/>
      <c r="D281" s="38"/>
      <c r="E281" s="10"/>
      <c r="I281" s="10"/>
      <c r="J281" s="10"/>
    </row>
    <row r="282">
      <c r="C282" s="38"/>
      <c r="D282" s="38"/>
      <c r="E282" s="10"/>
      <c r="I282" s="10"/>
      <c r="J282" s="10"/>
    </row>
    <row r="283">
      <c r="C283" s="38"/>
      <c r="D283" s="38"/>
      <c r="E283" s="10"/>
      <c r="I283" s="10"/>
      <c r="J283" s="10"/>
    </row>
    <row r="284">
      <c r="C284" s="38"/>
      <c r="D284" s="38"/>
      <c r="E284" s="10"/>
      <c r="I284" s="10"/>
      <c r="J284" s="10"/>
    </row>
    <row r="285">
      <c r="C285" s="38"/>
      <c r="D285" s="38"/>
      <c r="E285" s="10"/>
      <c r="I285" s="10"/>
      <c r="J285" s="10"/>
    </row>
    <row r="286">
      <c r="C286" s="38"/>
      <c r="D286" s="38"/>
      <c r="E286" s="10"/>
      <c r="I286" s="10"/>
      <c r="J286" s="10"/>
    </row>
    <row r="287">
      <c r="C287" s="38"/>
      <c r="D287" s="38"/>
      <c r="E287" s="10"/>
      <c r="I287" s="10"/>
      <c r="J287" s="10"/>
    </row>
    <row r="288">
      <c r="C288" s="38"/>
      <c r="D288" s="38"/>
      <c r="E288" s="10"/>
      <c r="I288" s="10"/>
      <c r="J288" s="10"/>
    </row>
    <row r="289">
      <c r="C289" s="38"/>
      <c r="D289" s="38"/>
      <c r="E289" s="10"/>
      <c r="I289" s="10"/>
      <c r="J289" s="10"/>
    </row>
    <row r="290">
      <c r="C290" s="38"/>
      <c r="D290" s="38"/>
      <c r="E290" s="10"/>
      <c r="I290" s="10"/>
      <c r="J290" s="10"/>
    </row>
    <row r="291">
      <c r="C291" s="38"/>
      <c r="D291" s="38"/>
      <c r="E291" s="10"/>
      <c r="I291" s="10"/>
      <c r="J291" s="10"/>
    </row>
    <row r="292">
      <c r="C292" s="38"/>
      <c r="D292" s="38"/>
      <c r="E292" s="10"/>
      <c r="I292" s="10"/>
      <c r="J292" s="10"/>
    </row>
    <row r="293">
      <c r="C293" s="38"/>
      <c r="D293" s="38"/>
      <c r="E293" s="10"/>
      <c r="I293" s="10"/>
      <c r="J293" s="10"/>
    </row>
    <row r="294">
      <c r="C294" s="38"/>
      <c r="D294" s="38"/>
      <c r="E294" s="10"/>
      <c r="I294" s="10"/>
      <c r="J294" s="10"/>
    </row>
    <row r="295">
      <c r="C295" s="38"/>
      <c r="D295" s="38"/>
      <c r="E295" s="10"/>
      <c r="I295" s="10"/>
      <c r="J295" s="10"/>
    </row>
    <row r="296">
      <c r="C296" s="38"/>
      <c r="D296" s="38"/>
      <c r="E296" s="10"/>
      <c r="I296" s="10"/>
      <c r="J296" s="10"/>
    </row>
    <row r="297">
      <c r="C297" s="38"/>
      <c r="D297" s="38"/>
      <c r="E297" s="10"/>
      <c r="I297" s="10"/>
      <c r="J297" s="10"/>
    </row>
    <row r="298">
      <c r="C298" s="38"/>
      <c r="D298" s="38"/>
      <c r="E298" s="10"/>
      <c r="I298" s="10"/>
      <c r="J298" s="10"/>
    </row>
    <row r="299">
      <c r="C299" s="38"/>
      <c r="D299" s="38"/>
      <c r="E299" s="10"/>
      <c r="I299" s="10"/>
      <c r="J299" s="10"/>
    </row>
    <row r="300">
      <c r="C300" s="38"/>
      <c r="D300" s="38"/>
      <c r="E300" s="10"/>
      <c r="I300" s="10"/>
      <c r="J300" s="10"/>
    </row>
    <row r="301">
      <c r="C301" s="38"/>
      <c r="D301" s="38"/>
      <c r="E301" s="10"/>
      <c r="I301" s="10"/>
      <c r="J301" s="10"/>
    </row>
    <row r="302">
      <c r="C302" s="38"/>
      <c r="D302" s="38"/>
      <c r="E302" s="10"/>
      <c r="I302" s="10"/>
      <c r="J302" s="10"/>
    </row>
    <row r="303">
      <c r="C303" s="38"/>
      <c r="D303" s="38"/>
      <c r="E303" s="10"/>
      <c r="I303" s="10"/>
      <c r="J303" s="10"/>
    </row>
    <row r="304">
      <c r="C304" s="38"/>
      <c r="D304" s="38"/>
      <c r="E304" s="10"/>
      <c r="I304" s="10"/>
      <c r="J304" s="10"/>
    </row>
    <row r="305">
      <c r="C305" s="38"/>
      <c r="D305" s="38"/>
      <c r="E305" s="10"/>
      <c r="I305" s="10"/>
      <c r="J305" s="10"/>
    </row>
    <row r="306">
      <c r="C306" s="38"/>
      <c r="D306" s="38"/>
      <c r="E306" s="10"/>
      <c r="I306" s="10"/>
      <c r="J306" s="10"/>
    </row>
    <row r="307">
      <c r="C307" s="38"/>
      <c r="D307" s="38"/>
      <c r="E307" s="10"/>
      <c r="I307" s="10"/>
      <c r="J307" s="10"/>
    </row>
    <row r="308">
      <c r="C308" s="38"/>
      <c r="D308" s="38"/>
      <c r="E308" s="10"/>
      <c r="I308" s="10"/>
      <c r="J308" s="10"/>
    </row>
    <row r="309">
      <c r="C309" s="38"/>
      <c r="D309" s="38"/>
      <c r="E309" s="10"/>
      <c r="I309" s="10"/>
      <c r="J309" s="10"/>
    </row>
    <row r="310">
      <c r="C310" s="38"/>
      <c r="D310" s="38"/>
      <c r="E310" s="10"/>
      <c r="I310" s="10"/>
      <c r="J310" s="10"/>
    </row>
    <row r="311">
      <c r="C311" s="38"/>
      <c r="D311" s="38"/>
      <c r="E311" s="10"/>
      <c r="I311" s="10"/>
      <c r="J311" s="10"/>
    </row>
    <row r="312">
      <c r="C312" s="38"/>
      <c r="D312" s="38"/>
      <c r="E312" s="10"/>
      <c r="I312" s="10"/>
      <c r="J312" s="10"/>
    </row>
    <row r="313">
      <c r="C313" s="38"/>
      <c r="D313" s="38"/>
      <c r="E313" s="10"/>
      <c r="I313" s="10"/>
      <c r="J313" s="10"/>
    </row>
    <row r="314">
      <c r="C314" s="38"/>
      <c r="D314" s="38"/>
      <c r="E314" s="10"/>
      <c r="I314" s="10"/>
      <c r="J314" s="10"/>
    </row>
    <row r="315">
      <c r="C315" s="38"/>
      <c r="D315" s="38"/>
      <c r="E315" s="10"/>
      <c r="I315" s="10"/>
      <c r="J315" s="10"/>
    </row>
    <row r="316">
      <c r="C316" s="38"/>
      <c r="D316" s="38"/>
      <c r="E316" s="10"/>
      <c r="I316" s="10"/>
      <c r="J316" s="10"/>
    </row>
    <row r="317">
      <c r="C317" s="38"/>
      <c r="D317" s="38"/>
      <c r="E317" s="10"/>
      <c r="I317" s="10"/>
      <c r="J317" s="10"/>
    </row>
    <row r="318">
      <c r="C318" s="38"/>
      <c r="D318" s="38"/>
      <c r="E318" s="10"/>
      <c r="I318" s="10"/>
      <c r="J318" s="10"/>
    </row>
    <row r="319">
      <c r="C319" s="38"/>
      <c r="D319" s="38"/>
      <c r="E319" s="10"/>
      <c r="I319" s="10"/>
      <c r="J319" s="10"/>
    </row>
    <row r="320">
      <c r="C320" s="38"/>
      <c r="D320" s="38"/>
      <c r="E320" s="10"/>
      <c r="I320" s="10"/>
      <c r="J320" s="10"/>
    </row>
    <row r="321">
      <c r="C321" s="38"/>
      <c r="D321" s="38"/>
      <c r="E321" s="10"/>
      <c r="I321" s="10"/>
      <c r="J321" s="10"/>
    </row>
    <row r="322">
      <c r="C322" s="38"/>
      <c r="D322" s="38"/>
      <c r="E322" s="10"/>
      <c r="I322" s="10"/>
      <c r="J322" s="10"/>
    </row>
    <row r="323">
      <c r="C323" s="38"/>
      <c r="D323" s="38"/>
      <c r="E323" s="10"/>
      <c r="I323" s="10"/>
      <c r="J323" s="10"/>
    </row>
    <row r="324">
      <c r="C324" s="38"/>
      <c r="D324" s="38"/>
      <c r="E324" s="10"/>
      <c r="I324" s="10"/>
      <c r="J324" s="10"/>
    </row>
    <row r="325">
      <c r="C325" s="38"/>
      <c r="D325" s="38"/>
      <c r="E325" s="10"/>
      <c r="I325" s="10"/>
      <c r="J325" s="10"/>
    </row>
    <row r="326">
      <c r="C326" s="38"/>
      <c r="D326" s="38"/>
      <c r="E326" s="10"/>
      <c r="I326" s="10"/>
      <c r="J326" s="10"/>
    </row>
    <row r="327">
      <c r="C327" s="38"/>
      <c r="D327" s="38"/>
      <c r="E327" s="10"/>
      <c r="I327" s="10"/>
      <c r="J327" s="10"/>
    </row>
    <row r="328">
      <c r="C328" s="38"/>
      <c r="D328" s="38"/>
      <c r="E328" s="10"/>
      <c r="I328" s="10"/>
      <c r="J328" s="10"/>
    </row>
    <row r="329">
      <c r="C329" s="38"/>
      <c r="D329" s="38"/>
      <c r="E329" s="10"/>
      <c r="I329" s="10"/>
      <c r="J329" s="10"/>
    </row>
    <row r="330">
      <c r="C330" s="38"/>
      <c r="D330" s="38"/>
      <c r="E330" s="10"/>
      <c r="I330" s="10"/>
      <c r="J330" s="10"/>
    </row>
    <row r="331">
      <c r="C331" s="38"/>
      <c r="D331" s="38"/>
      <c r="E331" s="10"/>
      <c r="I331" s="10"/>
      <c r="J331" s="10"/>
    </row>
    <row r="332">
      <c r="C332" s="38"/>
      <c r="D332" s="38"/>
      <c r="E332" s="10"/>
      <c r="I332" s="10"/>
      <c r="J332" s="10"/>
    </row>
    <row r="333">
      <c r="C333" s="38"/>
      <c r="D333" s="38"/>
      <c r="E333" s="10"/>
      <c r="I333" s="10"/>
      <c r="J333" s="10"/>
    </row>
    <row r="334">
      <c r="C334" s="38"/>
      <c r="D334" s="38"/>
      <c r="E334" s="10"/>
      <c r="I334" s="10"/>
      <c r="J334" s="10"/>
    </row>
    <row r="335">
      <c r="C335" s="38"/>
      <c r="D335" s="38"/>
      <c r="E335" s="10"/>
      <c r="I335" s="10"/>
      <c r="J335" s="10"/>
    </row>
    <row r="336">
      <c r="C336" s="38"/>
      <c r="D336" s="38"/>
      <c r="E336" s="10"/>
      <c r="I336" s="10"/>
      <c r="J336" s="10"/>
    </row>
    <row r="337">
      <c r="C337" s="38"/>
      <c r="D337" s="38"/>
      <c r="E337" s="10"/>
      <c r="I337" s="10"/>
      <c r="J337" s="10"/>
    </row>
    <row r="338">
      <c r="C338" s="38"/>
      <c r="D338" s="38"/>
      <c r="E338" s="10"/>
      <c r="I338" s="10"/>
      <c r="J338" s="10"/>
    </row>
    <row r="339">
      <c r="C339" s="38"/>
      <c r="D339" s="38"/>
      <c r="E339" s="10"/>
      <c r="I339" s="10"/>
      <c r="J339" s="10"/>
    </row>
    <row r="340">
      <c r="C340" s="38"/>
      <c r="D340" s="38"/>
      <c r="E340" s="10"/>
      <c r="I340" s="10"/>
      <c r="J340" s="10"/>
    </row>
    <row r="341">
      <c r="C341" s="38"/>
      <c r="D341" s="38"/>
      <c r="E341" s="10"/>
      <c r="I341" s="10"/>
      <c r="J341" s="10"/>
    </row>
    <row r="342">
      <c r="C342" s="38"/>
      <c r="D342" s="38"/>
      <c r="E342" s="10"/>
      <c r="I342" s="10"/>
      <c r="J342" s="10"/>
    </row>
    <row r="343">
      <c r="C343" s="38"/>
      <c r="D343" s="38"/>
      <c r="E343" s="10"/>
      <c r="I343" s="10"/>
      <c r="J343" s="10"/>
    </row>
    <row r="344">
      <c r="C344" s="38"/>
      <c r="D344" s="38"/>
      <c r="E344" s="10"/>
      <c r="I344" s="10"/>
      <c r="J344" s="10"/>
    </row>
    <row r="345">
      <c r="C345" s="38"/>
      <c r="D345" s="38"/>
      <c r="E345" s="10"/>
      <c r="I345" s="10"/>
      <c r="J345" s="10"/>
    </row>
    <row r="346">
      <c r="C346" s="38"/>
      <c r="D346" s="38"/>
      <c r="E346" s="10"/>
      <c r="I346" s="10"/>
      <c r="J346" s="10"/>
    </row>
    <row r="347">
      <c r="C347" s="38"/>
      <c r="D347" s="38"/>
      <c r="E347" s="10"/>
      <c r="I347" s="10"/>
      <c r="J347" s="10"/>
    </row>
    <row r="348">
      <c r="C348" s="38"/>
      <c r="D348" s="38"/>
      <c r="E348" s="10"/>
      <c r="I348" s="10"/>
      <c r="J348" s="10"/>
    </row>
    <row r="349">
      <c r="C349" s="38"/>
      <c r="D349" s="38"/>
      <c r="E349" s="10"/>
      <c r="I349" s="10"/>
      <c r="J349" s="10"/>
    </row>
    <row r="350">
      <c r="C350" s="38"/>
      <c r="D350" s="38"/>
      <c r="E350" s="10"/>
      <c r="I350" s="10"/>
      <c r="J350" s="10"/>
    </row>
    <row r="351">
      <c r="C351" s="38"/>
      <c r="D351" s="38"/>
      <c r="E351" s="10"/>
      <c r="I351" s="10"/>
      <c r="J351" s="10"/>
    </row>
    <row r="352">
      <c r="C352" s="38"/>
      <c r="D352" s="38"/>
      <c r="E352" s="10"/>
      <c r="I352" s="10"/>
      <c r="J352" s="10"/>
    </row>
    <row r="353">
      <c r="C353" s="38"/>
      <c r="D353" s="38"/>
      <c r="E353" s="10"/>
      <c r="I353" s="10"/>
      <c r="J353" s="10"/>
    </row>
    <row r="354">
      <c r="C354" s="38"/>
      <c r="D354" s="38"/>
      <c r="E354" s="10"/>
      <c r="I354" s="10"/>
      <c r="J354" s="10"/>
    </row>
    <row r="355">
      <c r="C355" s="38"/>
      <c r="D355" s="38"/>
      <c r="E355" s="10"/>
      <c r="I355" s="10"/>
      <c r="J355" s="10"/>
    </row>
    <row r="356">
      <c r="C356" s="38"/>
      <c r="D356" s="38"/>
      <c r="E356" s="10"/>
      <c r="I356" s="10"/>
      <c r="J356" s="10"/>
    </row>
    <row r="357">
      <c r="C357" s="38"/>
      <c r="D357" s="38"/>
      <c r="E357" s="10"/>
      <c r="I357" s="10"/>
      <c r="J357" s="10"/>
    </row>
    <row r="358">
      <c r="C358" s="38"/>
      <c r="D358" s="38"/>
      <c r="E358" s="10"/>
      <c r="I358" s="10"/>
      <c r="J358" s="10"/>
    </row>
    <row r="359">
      <c r="C359" s="38"/>
      <c r="D359" s="38"/>
      <c r="E359" s="10"/>
      <c r="I359" s="10"/>
      <c r="J359" s="10"/>
    </row>
    <row r="360">
      <c r="C360" s="38"/>
      <c r="D360" s="38"/>
      <c r="E360" s="10"/>
      <c r="I360" s="10"/>
      <c r="J360" s="10"/>
    </row>
    <row r="361">
      <c r="C361" s="38"/>
      <c r="D361" s="38"/>
      <c r="E361" s="10"/>
      <c r="I361" s="10"/>
      <c r="J361" s="10"/>
    </row>
    <row r="362">
      <c r="C362" s="38"/>
      <c r="D362" s="38"/>
      <c r="E362" s="10"/>
      <c r="I362" s="10"/>
      <c r="J362" s="10"/>
    </row>
    <row r="363">
      <c r="C363" s="38"/>
      <c r="D363" s="38"/>
      <c r="E363" s="10"/>
      <c r="I363" s="10"/>
      <c r="J363" s="10"/>
    </row>
    <row r="364">
      <c r="C364" s="38"/>
      <c r="D364" s="38"/>
      <c r="E364" s="10"/>
      <c r="I364" s="10"/>
      <c r="J364" s="10"/>
    </row>
    <row r="365">
      <c r="C365" s="38"/>
      <c r="D365" s="38"/>
      <c r="E365" s="10"/>
      <c r="I365" s="10"/>
      <c r="J365" s="10"/>
    </row>
    <row r="366">
      <c r="C366" s="38"/>
      <c r="D366" s="38"/>
      <c r="E366" s="10"/>
      <c r="I366" s="10"/>
      <c r="J366" s="10"/>
    </row>
    <row r="367">
      <c r="C367" s="38"/>
      <c r="D367" s="38"/>
      <c r="E367" s="10"/>
      <c r="I367" s="10"/>
      <c r="J367" s="10"/>
    </row>
    <row r="368">
      <c r="C368" s="38"/>
      <c r="D368" s="38"/>
      <c r="E368" s="10"/>
      <c r="I368" s="10"/>
      <c r="J368" s="10"/>
    </row>
    <row r="369">
      <c r="C369" s="38"/>
      <c r="D369" s="38"/>
      <c r="E369" s="10"/>
      <c r="I369" s="10"/>
      <c r="J369" s="10"/>
    </row>
    <row r="370">
      <c r="C370" s="38"/>
      <c r="D370" s="38"/>
      <c r="E370" s="10"/>
      <c r="I370" s="10"/>
      <c r="J370" s="10"/>
    </row>
    <row r="371">
      <c r="C371" s="38"/>
      <c r="D371" s="38"/>
      <c r="E371" s="10"/>
      <c r="I371" s="10"/>
      <c r="J371" s="10"/>
    </row>
    <row r="372">
      <c r="C372" s="38"/>
      <c r="D372" s="38"/>
      <c r="E372" s="10"/>
      <c r="I372" s="10"/>
      <c r="J372" s="10"/>
    </row>
    <row r="373">
      <c r="C373" s="38"/>
      <c r="D373" s="38"/>
      <c r="E373" s="10"/>
      <c r="I373" s="10"/>
      <c r="J373" s="10"/>
    </row>
    <row r="374">
      <c r="C374" s="38"/>
      <c r="D374" s="38"/>
      <c r="E374" s="10"/>
      <c r="I374" s="10"/>
      <c r="J374" s="10"/>
    </row>
    <row r="375">
      <c r="C375" s="38"/>
      <c r="D375" s="38"/>
      <c r="E375" s="10"/>
      <c r="I375" s="10"/>
      <c r="J375" s="10"/>
    </row>
    <row r="376">
      <c r="C376" s="38"/>
      <c r="D376" s="38"/>
      <c r="E376" s="10"/>
      <c r="I376" s="10"/>
      <c r="J376" s="10"/>
    </row>
    <row r="377">
      <c r="C377" s="38"/>
      <c r="D377" s="38"/>
      <c r="E377" s="10"/>
      <c r="I377" s="10"/>
      <c r="J377" s="10"/>
    </row>
    <row r="378">
      <c r="C378" s="38"/>
      <c r="D378" s="38"/>
      <c r="E378" s="10"/>
      <c r="I378" s="10"/>
      <c r="J378" s="10"/>
    </row>
    <row r="379">
      <c r="C379" s="38"/>
      <c r="D379" s="38"/>
      <c r="E379" s="10"/>
      <c r="I379" s="10"/>
      <c r="J379" s="10"/>
    </row>
    <row r="380">
      <c r="C380" s="38"/>
      <c r="D380" s="38"/>
      <c r="E380" s="10"/>
      <c r="I380" s="10"/>
      <c r="J380" s="10"/>
    </row>
    <row r="381">
      <c r="C381" s="38"/>
      <c r="D381" s="38"/>
      <c r="E381" s="10"/>
      <c r="I381" s="10"/>
      <c r="J381" s="10"/>
    </row>
    <row r="382">
      <c r="C382" s="38"/>
      <c r="D382" s="38"/>
      <c r="E382" s="10"/>
      <c r="I382" s="10"/>
      <c r="J382" s="10"/>
    </row>
    <row r="383">
      <c r="C383" s="38"/>
      <c r="D383" s="38"/>
      <c r="E383" s="10"/>
      <c r="I383" s="10"/>
      <c r="J383" s="10"/>
    </row>
    <row r="384">
      <c r="C384" s="38"/>
      <c r="D384" s="38"/>
      <c r="E384" s="10"/>
      <c r="I384" s="10"/>
      <c r="J384" s="10"/>
    </row>
    <row r="385">
      <c r="C385" s="38"/>
      <c r="D385" s="38"/>
      <c r="E385" s="10"/>
      <c r="I385" s="10"/>
      <c r="J385" s="10"/>
    </row>
    <row r="386">
      <c r="C386" s="38"/>
      <c r="D386" s="38"/>
      <c r="E386" s="10"/>
      <c r="I386" s="10"/>
      <c r="J386" s="10"/>
    </row>
    <row r="387">
      <c r="C387" s="38"/>
      <c r="D387" s="38"/>
      <c r="E387" s="10"/>
      <c r="I387" s="10"/>
      <c r="J387" s="10"/>
    </row>
    <row r="388">
      <c r="C388" s="38"/>
      <c r="D388" s="38"/>
      <c r="E388" s="10"/>
      <c r="I388" s="10"/>
      <c r="J388" s="10"/>
    </row>
    <row r="389">
      <c r="C389" s="38"/>
      <c r="D389" s="38"/>
      <c r="E389" s="10"/>
      <c r="I389" s="10"/>
      <c r="J389" s="10"/>
    </row>
    <row r="390">
      <c r="C390" s="38"/>
      <c r="D390" s="38"/>
      <c r="E390" s="10"/>
      <c r="I390" s="10"/>
      <c r="J390" s="10"/>
    </row>
    <row r="391">
      <c r="C391" s="38"/>
      <c r="D391" s="38"/>
      <c r="E391" s="10"/>
      <c r="I391" s="10"/>
      <c r="J391" s="10"/>
    </row>
    <row r="392">
      <c r="C392" s="38"/>
      <c r="D392" s="38"/>
      <c r="E392" s="10"/>
      <c r="I392" s="10"/>
      <c r="J392" s="10"/>
    </row>
    <row r="393">
      <c r="C393" s="38"/>
      <c r="D393" s="38"/>
      <c r="E393" s="10"/>
      <c r="I393" s="10"/>
      <c r="J393" s="10"/>
    </row>
    <row r="394">
      <c r="C394" s="38"/>
      <c r="D394" s="38"/>
      <c r="E394" s="10"/>
      <c r="I394" s="10"/>
      <c r="J394" s="10"/>
    </row>
    <row r="395">
      <c r="C395" s="38"/>
      <c r="D395" s="38"/>
      <c r="E395" s="10"/>
      <c r="I395" s="10"/>
      <c r="J395" s="10"/>
    </row>
    <row r="396">
      <c r="C396" s="38"/>
      <c r="D396" s="38"/>
      <c r="E396" s="10"/>
      <c r="I396" s="10"/>
      <c r="J396" s="10"/>
    </row>
    <row r="397">
      <c r="C397" s="38"/>
      <c r="D397" s="38"/>
      <c r="E397" s="10"/>
      <c r="I397" s="10"/>
      <c r="J397" s="10"/>
    </row>
    <row r="398">
      <c r="C398" s="38"/>
      <c r="D398" s="38"/>
      <c r="E398" s="10"/>
      <c r="I398" s="10"/>
      <c r="J398" s="10"/>
    </row>
    <row r="399">
      <c r="C399" s="38"/>
      <c r="D399" s="38"/>
      <c r="E399" s="10"/>
      <c r="I399" s="10"/>
      <c r="J399" s="10"/>
    </row>
    <row r="400">
      <c r="C400" s="38"/>
      <c r="D400" s="38"/>
      <c r="E400" s="10"/>
      <c r="I400" s="10"/>
      <c r="J400" s="10"/>
    </row>
    <row r="401">
      <c r="C401" s="38"/>
      <c r="D401" s="38"/>
      <c r="E401" s="10"/>
      <c r="I401" s="10"/>
      <c r="J401" s="10"/>
    </row>
    <row r="402">
      <c r="C402" s="38"/>
      <c r="D402" s="38"/>
      <c r="E402" s="10"/>
      <c r="I402" s="10"/>
      <c r="J402" s="10"/>
    </row>
    <row r="403">
      <c r="C403" s="38"/>
      <c r="D403" s="38"/>
      <c r="E403" s="10"/>
      <c r="I403" s="10"/>
      <c r="J403" s="10"/>
    </row>
    <row r="404">
      <c r="C404" s="38"/>
      <c r="D404" s="38"/>
      <c r="E404" s="10"/>
      <c r="I404" s="10"/>
      <c r="J404" s="10"/>
    </row>
    <row r="405">
      <c r="C405" s="38"/>
      <c r="D405" s="38"/>
      <c r="E405" s="10"/>
      <c r="I405" s="10"/>
      <c r="J405" s="10"/>
    </row>
    <row r="406">
      <c r="C406" s="38"/>
      <c r="D406" s="38"/>
      <c r="E406" s="10"/>
      <c r="I406" s="10"/>
      <c r="J406" s="10"/>
    </row>
    <row r="407">
      <c r="C407" s="38"/>
      <c r="D407" s="38"/>
      <c r="E407" s="10"/>
      <c r="I407" s="10"/>
      <c r="J407" s="10"/>
    </row>
    <row r="408">
      <c r="C408" s="38"/>
      <c r="D408" s="38"/>
      <c r="E408" s="10"/>
      <c r="I408" s="10"/>
      <c r="J408" s="10"/>
    </row>
    <row r="409">
      <c r="C409" s="38"/>
      <c r="D409" s="38"/>
      <c r="E409" s="10"/>
      <c r="I409" s="10"/>
      <c r="J409" s="10"/>
    </row>
    <row r="410">
      <c r="C410" s="38"/>
      <c r="D410" s="38"/>
      <c r="E410" s="10"/>
      <c r="I410" s="10"/>
      <c r="J410" s="10"/>
    </row>
    <row r="411">
      <c r="C411" s="38"/>
      <c r="D411" s="38"/>
      <c r="E411" s="10"/>
      <c r="I411" s="10"/>
      <c r="J411" s="10"/>
    </row>
    <row r="412">
      <c r="C412" s="38"/>
      <c r="D412" s="38"/>
      <c r="E412" s="10"/>
      <c r="I412" s="10"/>
      <c r="J412" s="10"/>
    </row>
    <row r="413">
      <c r="C413" s="38"/>
      <c r="D413" s="38"/>
      <c r="E413" s="10"/>
      <c r="I413" s="10"/>
      <c r="J413" s="10"/>
    </row>
    <row r="414">
      <c r="C414" s="38"/>
      <c r="D414" s="38"/>
      <c r="E414" s="10"/>
      <c r="I414" s="10"/>
      <c r="J414" s="10"/>
    </row>
    <row r="415">
      <c r="C415" s="38"/>
      <c r="D415" s="38"/>
      <c r="E415" s="10"/>
      <c r="I415" s="10"/>
      <c r="J415" s="10"/>
    </row>
    <row r="416">
      <c r="C416" s="38"/>
      <c r="D416" s="38"/>
      <c r="E416" s="10"/>
      <c r="I416" s="10"/>
      <c r="J416" s="10"/>
    </row>
    <row r="417">
      <c r="C417" s="38"/>
      <c r="D417" s="38"/>
      <c r="E417" s="10"/>
      <c r="I417" s="10"/>
      <c r="J417" s="10"/>
    </row>
    <row r="418">
      <c r="C418" s="38"/>
      <c r="D418" s="38"/>
      <c r="E418" s="10"/>
      <c r="I418" s="10"/>
      <c r="J418" s="10"/>
    </row>
    <row r="419">
      <c r="C419" s="38"/>
      <c r="D419" s="38"/>
      <c r="E419" s="10"/>
      <c r="I419" s="10"/>
      <c r="J419" s="10"/>
    </row>
    <row r="420">
      <c r="C420" s="38"/>
      <c r="D420" s="38"/>
      <c r="E420" s="10"/>
      <c r="I420" s="10"/>
      <c r="J420" s="10"/>
    </row>
    <row r="421">
      <c r="C421" s="38"/>
      <c r="D421" s="38"/>
      <c r="E421" s="10"/>
      <c r="I421" s="10"/>
      <c r="J421" s="10"/>
    </row>
    <row r="422">
      <c r="C422" s="38"/>
      <c r="D422" s="38"/>
      <c r="E422" s="10"/>
      <c r="I422" s="10"/>
      <c r="J422" s="10"/>
    </row>
    <row r="423">
      <c r="C423" s="38"/>
      <c r="D423" s="38"/>
      <c r="E423" s="10"/>
      <c r="I423" s="10"/>
      <c r="J423" s="10"/>
    </row>
    <row r="424">
      <c r="C424" s="38"/>
      <c r="D424" s="38"/>
      <c r="E424" s="10"/>
      <c r="I424" s="10"/>
      <c r="J424" s="10"/>
    </row>
    <row r="425">
      <c r="C425" s="38"/>
      <c r="D425" s="38"/>
      <c r="E425" s="10"/>
      <c r="I425" s="10"/>
      <c r="J425" s="10"/>
    </row>
    <row r="426">
      <c r="C426" s="38"/>
      <c r="D426" s="38"/>
      <c r="E426" s="10"/>
      <c r="I426" s="10"/>
      <c r="J426" s="10"/>
    </row>
    <row r="427">
      <c r="C427" s="38"/>
      <c r="D427" s="38"/>
      <c r="E427" s="10"/>
      <c r="I427" s="10"/>
      <c r="J427" s="10"/>
    </row>
    <row r="428">
      <c r="C428" s="38"/>
      <c r="D428" s="38"/>
      <c r="E428" s="10"/>
      <c r="I428" s="10"/>
      <c r="J428" s="10"/>
    </row>
    <row r="429">
      <c r="C429" s="38"/>
      <c r="D429" s="38"/>
      <c r="E429" s="10"/>
      <c r="I429" s="10"/>
      <c r="J429" s="10"/>
    </row>
    <row r="430">
      <c r="C430" s="38"/>
      <c r="D430" s="38"/>
      <c r="E430" s="10"/>
      <c r="I430" s="10"/>
      <c r="J430" s="10"/>
    </row>
    <row r="431">
      <c r="C431" s="38"/>
      <c r="D431" s="38"/>
      <c r="E431" s="10"/>
      <c r="I431" s="10"/>
      <c r="J431" s="10"/>
    </row>
    <row r="432">
      <c r="C432" s="38"/>
      <c r="D432" s="38"/>
      <c r="E432" s="10"/>
      <c r="I432" s="10"/>
      <c r="J432" s="10"/>
    </row>
    <row r="433">
      <c r="C433" s="38"/>
      <c r="D433" s="38"/>
      <c r="E433" s="10"/>
      <c r="I433" s="10"/>
      <c r="J433" s="10"/>
    </row>
    <row r="434">
      <c r="C434" s="38"/>
      <c r="D434" s="38"/>
      <c r="E434" s="10"/>
      <c r="I434" s="10"/>
      <c r="J434" s="10"/>
    </row>
    <row r="435">
      <c r="C435" s="38"/>
      <c r="D435" s="38"/>
      <c r="E435" s="10"/>
      <c r="I435" s="10"/>
      <c r="J435" s="10"/>
    </row>
    <row r="436">
      <c r="C436" s="38"/>
      <c r="D436" s="38"/>
      <c r="E436" s="10"/>
      <c r="I436" s="10"/>
      <c r="J436" s="10"/>
    </row>
    <row r="437">
      <c r="C437" s="38"/>
      <c r="D437" s="38"/>
      <c r="E437" s="10"/>
      <c r="I437" s="10"/>
      <c r="J437" s="10"/>
    </row>
    <row r="438">
      <c r="C438" s="38"/>
      <c r="D438" s="38"/>
      <c r="E438" s="10"/>
      <c r="I438" s="10"/>
      <c r="J438" s="10"/>
    </row>
    <row r="439">
      <c r="C439" s="38"/>
      <c r="D439" s="38"/>
      <c r="E439" s="10"/>
      <c r="I439" s="10"/>
      <c r="J439" s="10"/>
    </row>
    <row r="440">
      <c r="C440" s="38"/>
      <c r="D440" s="38"/>
      <c r="E440" s="10"/>
      <c r="I440" s="10"/>
      <c r="J440" s="10"/>
    </row>
    <row r="441">
      <c r="C441" s="38"/>
      <c r="D441" s="38"/>
      <c r="E441" s="10"/>
      <c r="I441" s="10"/>
      <c r="J441" s="10"/>
    </row>
    <row r="442">
      <c r="C442" s="38"/>
      <c r="D442" s="38"/>
      <c r="E442" s="10"/>
      <c r="I442" s="10"/>
      <c r="J442" s="10"/>
    </row>
    <row r="443">
      <c r="C443" s="38"/>
      <c r="D443" s="38"/>
      <c r="E443" s="10"/>
      <c r="I443" s="10"/>
      <c r="J443" s="10"/>
    </row>
    <row r="444">
      <c r="C444" s="38"/>
      <c r="D444" s="38"/>
      <c r="E444" s="10"/>
      <c r="I444" s="10"/>
      <c r="J444" s="10"/>
    </row>
    <row r="445">
      <c r="C445" s="38"/>
      <c r="D445" s="38"/>
      <c r="E445" s="10"/>
      <c r="I445" s="10"/>
      <c r="J445" s="10"/>
    </row>
    <row r="446">
      <c r="C446" s="38"/>
      <c r="D446" s="38"/>
      <c r="E446" s="10"/>
      <c r="I446" s="10"/>
      <c r="J446" s="10"/>
    </row>
    <row r="447">
      <c r="C447" s="38"/>
      <c r="D447" s="38"/>
      <c r="E447" s="10"/>
      <c r="I447" s="10"/>
      <c r="J447" s="10"/>
    </row>
    <row r="448">
      <c r="C448" s="38"/>
      <c r="D448" s="38"/>
      <c r="E448" s="10"/>
      <c r="I448" s="10"/>
      <c r="J448" s="10"/>
    </row>
    <row r="449">
      <c r="C449" s="38"/>
      <c r="D449" s="38"/>
      <c r="E449" s="10"/>
      <c r="I449" s="10"/>
      <c r="J449" s="10"/>
    </row>
    <row r="450">
      <c r="C450" s="38"/>
      <c r="D450" s="38"/>
      <c r="E450" s="10"/>
      <c r="I450" s="10"/>
      <c r="J450" s="10"/>
    </row>
    <row r="451">
      <c r="C451" s="38"/>
      <c r="D451" s="38"/>
      <c r="E451" s="10"/>
      <c r="I451" s="10"/>
      <c r="J451" s="10"/>
    </row>
    <row r="452">
      <c r="C452" s="38"/>
      <c r="D452" s="38"/>
      <c r="E452" s="10"/>
      <c r="I452" s="10"/>
      <c r="J452" s="10"/>
    </row>
    <row r="453">
      <c r="C453" s="38"/>
      <c r="D453" s="38"/>
      <c r="E453" s="10"/>
      <c r="I453" s="10"/>
      <c r="J453" s="10"/>
    </row>
    <row r="454">
      <c r="C454" s="38"/>
      <c r="D454" s="38"/>
      <c r="E454" s="10"/>
      <c r="I454" s="10"/>
      <c r="J454" s="10"/>
    </row>
    <row r="455">
      <c r="C455" s="38"/>
      <c r="D455" s="38"/>
      <c r="E455" s="10"/>
      <c r="I455" s="10"/>
      <c r="J455" s="10"/>
    </row>
    <row r="456">
      <c r="C456" s="38"/>
      <c r="D456" s="38"/>
      <c r="E456" s="10"/>
      <c r="I456" s="10"/>
      <c r="J456" s="10"/>
    </row>
    <row r="457">
      <c r="C457" s="38"/>
      <c r="D457" s="38"/>
      <c r="E457" s="10"/>
      <c r="I457" s="10"/>
      <c r="J457" s="10"/>
    </row>
    <row r="458">
      <c r="C458" s="38"/>
      <c r="D458" s="38"/>
      <c r="E458" s="10"/>
      <c r="I458" s="10"/>
      <c r="J458" s="10"/>
    </row>
    <row r="459">
      <c r="C459" s="38"/>
      <c r="D459" s="38"/>
      <c r="E459" s="10"/>
      <c r="I459" s="10"/>
      <c r="J459" s="10"/>
    </row>
    <row r="460">
      <c r="C460" s="38"/>
      <c r="D460" s="38"/>
      <c r="E460" s="10"/>
      <c r="I460" s="10"/>
      <c r="J460" s="10"/>
    </row>
    <row r="461">
      <c r="C461" s="38"/>
      <c r="D461" s="38"/>
      <c r="E461" s="10"/>
      <c r="I461" s="10"/>
      <c r="J461" s="10"/>
    </row>
    <row r="462">
      <c r="C462" s="38"/>
      <c r="D462" s="38"/>
      <c r="E462" s="10"/>
      <c r="I462" s="10"/>
      <c r="J462" s="10"/>
    </row>
    <row r="463">
      <c r="C463" s="38"/>
      <c r="D463" s="38"/>
      <c r="E463" s="10"/>
      <c r="I463" s="10"/>
      <c r="J463" s="10"/>
    </row>
    <row r="464">
      <c r="C464" s="38"/>
      <c r="D464" s="38"/>
      <c r="E464" s="10"/>
      <c r="I464" s="10"/>
      <c r="J464" s="10"/>
    </row>
    <row r="465">
      <c r="C465" s="38"/>
      <c r="D465" s="38"/>
      <c r="E465" s="10"/>
      <c r="I465" s="10"/>
      <c r="J465" s="10"/>
    </row>
    <row r="466">
      <c r="C466" s="38"/>
      <c r="D466" s="38"/>
      <c r="E466" s="10"/>
      <c r="I466" s="10"/>
      <c r="J466" s="10"/>
    </row>
    <row r="467">
      <c r="C467" s="38"/>
      <c r="D467" s="38"/>
      <c r="E467" s="10"/>
      <c r="I467" s="10"/>
      <c r="J467" s="10"/>
    </row>
    <row r="468">
      <c r="C468" s="38"/>
      <c r="D468" s="38"/>
      <c r="E468" s="10"/>
      <c r="I468" s="10"/>
      <c r="J468" s="10"/>
    </row>
    <row r="469">
      <c r="C469" s="38"/>
      <c r="D469" s="38"/>
      <c r="E469" s="10"/>
      <c r="I469" s="10"/>
      <c r="J469" s="10"/>
    </row>
    <row r="470">
      <c r="C470" s="38"/>
      <c r="D470" s="38"/>
      <c r="E470" s="10"/>
      <c r="I470" s="10"/>
      <c r="J470" s="10"/>
    </row>
    <row r="471">
      <c r="C471" s="38"/>
      <c r="D471" s="38"/>
      <c r="E471" s="10"/>
      <c r="I471" s="10"/>
      <c r="J471" s="10"/>
    </row>
    <row r="472">
      <c r="C472" s="38"/>
      <c r="D472" s="38"/>
      <c r="E472" s="10"/>
      <c r="I472" s="10"/>
      <c r="J472" s="10"/>
    </row>
    <row r="473">
      <c r="C473" s="38"/>
      <c r="D473" s="38"/>
      <c r="E473" s="10"/>
      <c r="I473" s="10"/>
      <c r="J473" s="10"/>
    </row>
    <row r="474">
      <c r="C474" s="38"/>
      <c r="D474" s="38"/>
      <c r="E474" s="10"/>
      <c r="I474" s="10"/>
      <c r="J474" s="10"/>
    </row>
    <row r="475">
      <c r="C475" s="38"/>
      <c r="D475" s="38"/>
      <c r="E475" s="10"/>
      <c r="I475" s="10"/>
      <c r="J475" s="10"/>
    </row>
    <row r="476">
      <c r="C476" s="38"/>
      <c r="D476" s="38"/>
      <c r="E476" s="10"/>
      <c r="I476" s="10"/>
      <c r="J476" s="10"/>
    </row>
    <row r="477">
      <c r="C477" s="38"/>
      <c r="D477" s="38"/>
      <c r="E477" s="10"/>
      <c r="I477" s="10"/>
      <c r="J477" s="10"/>
    </row>
    <row r="478">
      <c r="C478" s="38"/>
      <c r="D478" s="38"/>
      <c r="E478" s="10"/>
      <c r="I478" s="10"/>
      <c r="J478" s="10"/>
    </row>
    <row r="479">
      <c r="C479" s="38"/>
      <c r="D479" s="38"/>
      <c r="E479" s="10"/>
      <c r="I479" s="10"/>
      <c r="J479" s="10"/>
    </row>
    <row r="480">
      <c r="C480" s="38"/>
      <c r="D480" s="38"/>
      <c r="E480" s="10"/>
      <c r="I480" s="10"/>
      <c r="J480" s="10"/>
    </row>
    <row r="481">
      <c r="C481" s="38"/>
      <c r="D481" s="38"/>
      <c r="E481" s="10"/>
      <c r="I481" s="10"/>
      <c r="J481" s="10"/>
    </row>
    <row r="482">
      <c r="C482" s="38"/>
      <c r="D482" s="38"/>
      <c r="E482" s="10"/>
      <c r="I482" s="10"/>
      <c r="J482" s="10"/>
    </row>
    <row r="483">
      <c r="C483" s="38"/>
      <c r="D483" s="38"/>
      <c r="E483" s="10"/>
      <c r="I483" s="10"/>
      <c r="J483" s="10"/>
    </row>
    <row r="484">
      <c r="C484" s="38"/>
      <c r="D484" s="38"/>
      <c r="E484" s="10"/>
      <c r="I484" s="10"/>
      <c r="J484" s="10"/>
    </row>
    <row r="485">
      <c r="C485" s="38"/>
      <c r="D485" s="38"/>
      <c r="E485" s="10"/>
      <c r="I485" s="10"/>
      <c r="J485" s="10"/>
    </row>
    <row r="486">
      <c r="C486" s="38"/>
      <c r="D486" s="38"/>
      <c r="E486" s="10"/>
      <c r="I486" s="10"/>
      <c r="J486" s="10"/>
    </row>
    <row r="487">
      <c r="C487" s="38"/>
      <c r="D487" s="38"/>
      <c r="E487" s="10"/>
      <c r="I487" s="10"/>
      <c r="J487" s="10"/>
    </row>
    <row r="488">
      <c r="C488" s="38"/>
      <c r="D488" s="38"/>
      <c r="E488" s="10"/>
      <c r="I488" s="10"/>
      <c r="J488" s="10"/>
    </row>
    <row r="489">
      <c r="C489" s="38"/>
      <c r="D489" s="38"/>
      <c r="E489" s="10"/>
      <c r="I489" s="10"/>
      <c r="J489" s="10"/>
    </row>
    <row r="490">
      <c r="C490" s="38"/>
      <c r="D490" s="38"/>
      <c r="E490" s="10"/>
      <c r="I490" s="10"/>
      <c r="J490" s="10"/>
    </row>
    <row r="491">
      <c r="C491" s="38"/>
      <c r="D491" s="38"/>
      <c r="E491" s="10"/>
      <c r="I491" s="10"/>
      <c r="J491" s="10"/>
    </row>
    <row r="492">
      <c r="C492" s="38"/>
      <c r="D492" s="38"/>
      <c r="E492" s="10"/>
      <c r="I492" s="10"/>
      <c r="J492" s="10"/>
    </row>
    <row r="493">
      <c r="C493" s="38"/>
      <c r="D493" s="38"/>
      <c r="E493" s="10"/>
      <c r="I493" s="10"/>
      <c r="J493" s="10"/>
    </row>
    <row r="494">
      <c r="C494" s="38"/>
      <c r="D494" s="38"/>
      <c r="E494" s="10"/>
      <c r="I494" s="10"/>
      <c r="J494" s="10"/>
    </row>
    <row r="495">
      <c r="C495" s="38"/>
      <c r="D495" s="38"/>
      <c r="E495" s="10"/>
      <c r="I495" s="10"/>
      <c r="J495" s="10"/>
    </row>
    <row r="496">
      <c r="C496" s="38"/>
      <c r="D496" s="38"/>
      <c r="E496" s="10"/>
      <c r="I496" s="10"/>
      <c r="J496" s="10"/>
    </row>
    <row r="497">
      <c r="C497" s="38"/>
      <c r="D497" s="38"/>
      <c r="E497" s="10"/>
      <c r="I497" s="10"/>
      <c r="J497" s="10"/>
    </row>
    <row r="498">
      <c r="C498" s="38"/>
      <c r="D498" s="38"/>
      <c r="E498" s="10"/>
      <c r="I498" s="10"/>
      <c r="J498" s="10"/>
    </row>
    <row r="499">
      <c r="C499" s="38"/>
      <c r="D499" s="38"/>
      <c r="E499" s="10"/>
      <c r="I499" s="10"/>
      <c r="J499" s="10"/>
    </row>
    <row r="500">
      <c r="C500" s="38"/>
      <c r="D500" s="38"/>
      <c r="E500" s="10"/>
      <c r="I500" s="10"/>
      <c r="J500" s="10"/>
    </row>
    <row r="501">
      <c r="C501" s="38"/>
      <c r="D501" s="38"/>
      <c r="E501" s="10"/>
      <c r="I501" s="10"/>
      <c r="J501" s="10"/>
    </row>
    <row r="502">
      <c r="C502" s="38"/>
      <c r="D502" s="38"/>
      <c r="E502" s="10"/>
      <c r="I502" s="10"/>
      <c r="J502" s="10"/>
    </row>
    <row r="503">
      <c r="C503" s="38"/>
      <c r="D503" s="38"/>
      <c r="E503" s="10"/>
      <c r="I503" s="10"/>
      <c r="J503" s="10"/>
    </row>
    <row r="504">
      <c r="C504" s="38"/>
      <c r="D504" s="38"/>
      <c r="E504" s="10"/>
      <c r="I504" s="10"/>
      <c r="J504" s="10"/>
    </row>
    <row r="505">
      <c r="C505" s="38"/>
      <c r="D505" s="38"/>
      <c r="E505" s="10"/>
      <c r="I505" s="10"/>
      <c r="J505" s="10"/>
    </row>
    <row r="506">
      <c r="C506" s="38"/>
      <c r="D506" s="38"/>
      <c r="E506" s="10"/>
      <c r="I506" s="10"/>
      <c r="J506" s="10"/>
    </row>
    <row r="507">
      <c r="C507" s="38"/>
      <c r="D507" s="38"/>
      <c r="E507" s="10"/>
      <c r="I507" s="10"/>
      <c r="J507" s="10"/>
    </row>
    <row r="508">
      <c r="C508" s="38"/>
      <c r="D508" s="38"/>
      <c r="E508" s="10"/>
      <c r="I508" s="10"/>
      <c r="J508" s="10"/>
    </row>
    <row r="509">
      <c r="C509" s="38"/>
      <c r="D509" s="38"/>
      <c r="E509" s="10"/>
      <c r="I509" s="10"/>
      <c r="J509" s="10"/>
    </row>
    <row r="510">
      <c r="C510" s="38"/>
      <c r="D510" s="38"/>
      <c r="E510" s="10"/>
      <c r="I510" s="10"/>
      <c r="J510" s="10"/>
    </row>
    <row r="511">
      <c r="C511" s="38"/>
      <c r="D511" s="38"/>
      <c r="E511" s="10"/>
      <c r="I511" s="10"/>
      <c r="J511" s="10"/>
    </row>
    <row r="512">
      <c r="C512" s="38"/>
      <c r="D512" s="38"/>
      <c r="E512" s="10"/>
      <c r="I512" s="10"/>
      <c r="J512" s="10"/>
    </row>
    <row r="513">
      <c r="C513" s="38"/>
      <c r="D513" s="38"/>
      <c r="E513" s="10"/>
      <c r="I513" s="10"/>
      <c r="J513" s="10"/>
    </row>
    <row r="514">
      <c r="C514" s="38"/>
      <c r="D514" s="38"/>
      <c r="E514" s="10"/>
      <c r="I514" s="10"/>
      <c r="J514" s="10"/>
    </row>
    <row r="515">
      <c r="C515" s="38"/>
      <c r="D515" s="38"/>
      <c r="E515" s="10"/>
      <c r="I515" s="10"/>
      <c r="J515" s="10"/>
    </row>
    <row r="516">
      <c r="C516" s="38"/>
      <c r="D516" s="38"/>
      <c r="E516" s="10"/>
      <c r="I516" s="10"/>
      <c r="J516" s="10"/>
    </row>
    <row r="517">
      <c r="C517" s="38"/>
      <c r="D517" s="38"/>
      <c r="E517" s="10"/>
      <c r="I517" s="10"/>
      <c r="J517" s="10"/>
    </row>
    <row r="518">
      <c r="C518" s="38"/>
      <c r="D518" s="38"/>
      <c r="E518" s="10"/>
      <c r="I518" s="10"/>
      <c r="J518" s="10"/>
    </row>
    <row r="519">
      <c r="C519" s="38"/>
      <c r="D519" s="38"/>
      <c r="E519" s="10"/>
      <c r="I519" s="10"/>
      <c r="J519" s="10"/>
    </row>
    <row r="520">
      <c r="C520" s="38"/>
      <c r="D520" s="38"/>
      <c r="E520" s="10"/>
      <c r="I520" s="10"/>
      <c r="J520" s="10"/>
    </row>
    <row r="521">
      <c r="C521" s="38"/>
      <c r="D521" s="38"/>
      <c r="E521" s="10"/>
      <c r="I521" s="10"/>
      <c r="J521" s="10"/>
    </row>
    <row r="522">
      <c r="C522" s="38"/>
      <c r="D522" s="38"/>
      <c r="E522" s="10"/>
      <c r="I522" s="10"/>
      <c r="J522" s="10"/>
    </row>
    <row r="523">
      <c r="C523" s="38"/>
      <c r="D523" s="38"/>
      <c r="E523" s="10"/>
      <c r="I523" s="10"/>
      <c r="J523" s="10"/>
    </row>
    <row r="524">
      <c r="C524" s="38"/>
      <c r="D524" s="38"/>
      <c r="E524" s="10"/>
      <c r="I524" s="10"/>
      <c r="J524" s="10"/>
    </row>
    <row r="525">
      <c r="C525" s="38"/>
      <c r="D525" s="38"/>
      <c r="E525" s="10"/>
      <c r="I525" s="10"/>
      <c r="J525" s="10"/>
    </row>
    <row r="526">
      <c r="C526" s="38"/>
      <c r="D526" s="38"/>
      <c r="E526" s="10"/>
      <c r="I526" s="10"/>
      <c r="J526" s="10"/>
    </row>
    <row r="527">
      <c r="C527" s="38"/>
      <c r="D527" s="38"/>
      <c r="E527" s="10"/>
      <c r="I527" s="10"/>
      <c r="J527" s="10"/>
    </row>
    <row r="528">
      <c r="C528" s="38"/>
      <c r="D528" s="38"/>
      <c r="E528" s="10"/>
      <c r="I528" s="10"/>
      <c r="J528" s="10"/>
    </row>
    <row r="529">
      <c r="C529" s="38"/>
      <c r="D529" s="38"/>
      <c r="E529" s="10"/>
      <c r="I529" s="10"/>
      <c r="J529" s="10"/>
    </row>
    <row r="530">
      <c r="C530" s="38"/>
      <c r="D530" s="38"/>
      <c r="E530" s="10"/>
      <c r="I530" s="10"/>
      <c r="J530" s="10"/>
    </row>
    <row r="531">
      <c r="C531" s="38"/>
      <c r="D531" s="38"/>
      <c r="E531" s="10"/>
      <c r="I531" s="10"/>
      <c r="J531" s="10"/>
    </row>
    <row r="532">
      <c r="C532" s="38"/>
      <c r="D532" s="38"/>
      <c r="E532" s="10"/>
      <c r="I532" s="10"/>
      <c r="J532" s="10"/>
    </row>
    <row r="533">
      <c r="C533" s="38"/>
      <c r="D533" s="38"/>
      <c r="E533" s="10"/>
      <c r="I533" s="10"/>
      <c r="J533" s="10"/>
    </row>
    <row r="534">
      <c r="C534" s="38"/>
      <c r="D534" s="38"/>
      <c r="E534" s="10"/>
      <c r="I534" s="10"/>
      <c r="J534" s="10"/>
    </row>
    <row r="535">
      <c r="C535" s="38"/>
      <c r="D535" s="38"/>
      <c r="E535" s="10"/>
      <c r="I535" s="10"/>
      <c r="J535" s="10"/>
    </row>
    <row r="536">
      <c r="C536" s="38"/>
      <c r="D536" s="38"/>
      <c r="E536" s="10"/>
      <c r="I536" s="10"/>
      <c r="J536" s="10"/>
    </row>
    <row r="537">
      <c r="C537" s="38"/>
      <c r="D537" s="38"/>
      <c r="E537" s="10"/>
      <c r="I537" s="10"/>
      <c r="J537" s="10"/>
    </row>
    <row r="538">
      <c r="C538" s="38"/>
      <c r="D538" s="38"/>
      <c r="E538" s="10"/>
      <c r="I538" s="10"/>
      <c r="J538" s="10"/>
    </row>
    <row r="539">
      <c r="C539" s="38"/>
      <c r="D539" s="38"/>
      <c r="E539" s="10"/>
      <c r="I539" s="10"/>
      <c r="J539" s="10"/>
    </row>
    <row r="540">
      <c r="C540" s="38"/>
      <c r="D540" s="38"/>
      <c r="E540" s="10"/>
      <c r="I540" s="10"/>
      <c r="J540" s="10"/>
    </row>
    <row r="541">
      <c r="C541" s="38"/>
      <c r="D541" s="38"/>
      <c r="E541" s="10"/>
      <c r="I541" s="10"/>
      <c r="J541" s="10"/>
    </row>
    <row r="542">
      <c r="C542" s="38"/>
      <c r="D542" s="38"/>
      <c r="E542" s="10"/>
      <c r="I542" s="10"/>
      <c r="J542" s="10"/>
    </row>
    <row r="543">
      <c r="C543" s="38"/>
      <c r="D543" s="38"/>
      <c r="E543" s="10"/>
      <c r="I543" s="10"/>
      <c r="J543" s="10"/>
    </row>
    <row r="544">
      <c r="C544" s="38"/>
      <c r="D544" s="38"/>
      <c r="E544" s="10"/>
      <c r="I544" s="10"/>
      <c r="J544" s="10"/>
    </row>
    <row r="545">
      <c r="C545" s="38"/>
      <c r="D545" s="38"/>
      <c r="E545" s="10"/>
      <c r="I545" s="10"/>
      <c r="J545" s="10"/>
    </row>
    <row r="546">
      <c r="C546" s="38"/>
      <c r="D546" s="38"/>
      <c r="E546" s="10"/>
      <c r="I546" s="10"/>
      <c r="J546" s="10"/>
    </row>
    <row r="547">
      <c r="C547" s="38"/>
      <c r="D547" s="38"/>
      <c r="E547" s="10"/>
      <c r="I547" s="10"/>
      <c r="J547" s="10"/>
    </row>
    <row r="548">
      <c r="C548" s="38"/>
      <c r="D548" s="38"/>
      <c r="E548" s="10"/>
      <c r="I548" s="10"/>
      <c r="J548" s="10"/>
    </row>
    <row r="549">
      <c r="C549" s="38"/>
      <c r="D549" s="38"/>
      <c r="E549" s="10"/>
      <c r="I549" s="10"/>
      <c r="J549" s="10"/>
    </row>
    <row r="550">
      <c r="C550" s="38"/>
      <c r="D550" s="38"/>
      <c r="E550" s="10"/>
      <c r="I550" s="10"/>
      <c r="J550" s="10"/>
    </row>
    <row r="551">
      <c r="C551" s="38"/>
      <c r="D551" s="38"/>
      <c r="E551" s="10"/>
      <c r="I551" s="10"/>
      <c r="J551" s="10"/>
    </row>
    <row r="552">
      <c r="C552" s="38"/>
      <c r="D552" s="38"/>
      <c r="E552" s="10"/>
      <c r="I552" s="10"/>
      <c r="J552" s="10"/>
    </row>
    <row r="553">
      <c r="C553" s="38"/>
      <c r="D553" s="38"/>
      <c r="E553" s="10"/>
      <c r="I553" s="10"/>
      <c r="J553" s="10"/>
    </row>
    <row r="554">
      <c r="C554" s="38"/>
      <c r="D554" s="38"/>
      <c r="E554" s="10"/>
      <c r="I554" s="10"/>
      <c r="J554" s="10"/>
    </row>
    <row r="555">
      <c r="C555" s="38"/>
      <c r="D555" s="38"/>
      <c r="E555" s="10"/>
      <c r="I555" s="10"/>
      <c r="J555" s="10"/>
    </row>
    <row r="556">
      <c r="C556" s="38"/>
      <c r="D556" s="38"/>
      <c r="E556" s="10"/>
      <c r="I556" s="10"/>
      <c r="J556" s="10"/>
    </row>
    <row r="557">
      <c r="C557" s="38"/>
      <c r="D557" s="38"/>
      <c r="E557" s="10"/>
      <c r="I557" s="10"/>
      <c r="J557" s="10"/>
    </row>
    <row r="558">
      <c r="C558" s="38"/>
      <c r="D558" s="38"/>
      <c r="E558" s="10"/>
      <c r="I558" s="10"/>
      <c r="J558" s="10"/>
    </row>
    <row r="559">
      <c r="C559" s="38"/>
      <c r="D559" s="38"/>
      <c r="E559" s="10"/>
      <c r="I559" s="10"/>
      <c r="J559" s="10"/>
    </row>
    <row r="560">
      <c r="C560" s="38"/>
      <c r="D560" s="38"/>
      <c r="E560" s="10"/>
      <c r="I560" s="10"/>
      <c r="J560" s="10"/>
    </row>
    <row r="561">
      <c r="C561" s="38"/>
      <c r="D561" s="38"/>
      <c r="E561" s="10"/>
      <c r="I561" s="10"/>
      <c r="J561" s="10"/>
    </row>
    <row r="562">
      <c r="C562" s="38"/>
      <c r="D562" s="38"/>
      <c r="E562" s="10"/>
      <c r="I562" s="10"/>
      <c r="J562" s="10"/>
    </row>
    <row r="563">
      <c r="C563" s="38"/>
      <c r="D563" s="38"/>
      <c r="E563" s="10"/>
      <c r="I563" s="10"/>
      <c r="J563" s="10"/>
    </row>
    <row r="564">
      <c r="C564" s="38"/>
      <c r="D564" s="38"/>
      <c r="E564" s="10"/>
      <c r="I564" s="10"/>
      <c r="J564" s="10"/>
    </row>
    <row r="565">
      <c r="C565" s="38"/>
      <c r="D565" s="38"/>
      <c r="E565" s="10"/>
      <c r="I565" s="10"/>
      <c r="J565" s="10"/>
    </row>
    <row r="566">
      <c r="C566" s="38"/>
      <c r="D566" s="38"/>
      <c r="E566" s="10"/>
      <c r="I566" s="10"/>
      <c r="J566" s="10"/>
    </row>
    <row r="567">
      <c r="C567" s="38"/>
      <c r="D567" s="38"/>
      <c r="E567" s="10"/>
      <c r="I567" s="10"/>
      <c r="J567" s="10"/>
    </row>
    <row r="568">
      <c r="C568" s="38"/>
      <c r="D568" s="38"/>
      <c r="E568" s="10"/>
      <c r="I568" s="10"/>
      <c r="J568" s="10"/>
    </row>
    <row r="569">
      <c r="C569" s="38"/>
      <c r="D569" s="38"/>
      <c r="E569" s="10"/>
      <c r="I569" s="10"/>
      <c r="J569" s="10"/>
    </row>
    <row r="570">
      <c r="C570" s="38"/>
      <c r="D570" s="38"/>
      <c r="E570" s="10"/>
      <c r="I570" s="10"/>
      <c r="J570" s="10"/>
    </row>
    <row r="571">
      <c r="C571" s="38"/>
      <c r="D571" s="38"/>
      <c r="E571" s="10"/>
      <c r="I571" s="10"/>
      <c r="J571" s="10"/>
    </row>
    <row r="572">
      <c r="C572" s="38"/>
      <c r="D572" s="38"/>
      <c r="E572" s="10"/>
      <c r="I572" s="10"/>
      <c r="J572" s="10"/>
    </row>
    <row r="573">
      <c r="C573" s="38"/>
      <c r="D573" s="38"/>
      <c r="E573" s="10"/>
      <c r="I573" s="10"/>
      <c r="J573" s="10"/>
    </row>
    <row r="574">
      <c r="C574" s="38"/>
      <c r="D574" s="38"/>
      <c r="E574" s="10"/>
      <c r="I574" s="10"/>
      <c r="J574" s="10"/>
    </row>
    <row r="575">
      <c r="C575" s="38"/>
      <c r="D575" s="38"/>
      <c r="E575" s="10"/>
      <c r="I575" s="10"/>
      <c r="J575" s="10"/>
    </row>
    <row r="576">
      <c r="C576" s="38"/>
      <c r="D576" s="38"/>
      <c r="E576" s="10"/>
      <c r="I576" s="10"/>
      <c r="J576" s="10"/>
    </row>
    <row r="577">
      <c r="C577" s="38"/>
      <c r="D577" s="38"/>
      <c r="E577" s="10"/>
      <c r="I577" s="10"/>
      <c r="J577" s="10"/>
    </row>
    <row r="578">
      <c r="C578" s="38"/>
      <c r="D578" s="38"/>
      <c r="E578" s="10"/>
      <c r="I578" s="10"/>
      <c r="J578" s="10"/>
    </row>
    <row r="579">
      <c r="C579" s="38"/>
      <c r="D579" s="38"/>
      <c r="E579" s="10"/>
      <c r="I579" s="10"/>
      <c r="J579" s="10"/>
    </row>
    <row r="580">
      <c r="C580" s="38"/>
      <c r="D580" s="38"/>
      <c r="E580" s="10"/>
      <c r="I580" s="10"/>
      <c r="J580" s="10"/>
    </row>
    <row r="581">
      <c r="C581" s="38"/>
      <c r="D581" s="38"/>
      <c r="E581" s="10"/>
      <c r="I581" s="10"/>
      <c r="J581" s="10"/>
    </row>
    <row r="582">
      <c r="C582" s="38"/>
      <c r="D582" s="38"/>
      <c r="E582" s="10"/>
      <c r="I582" s="10"/>
      <c r="J582" s="10"/>
    </row>
    <row r="583">
      <c r="C583" s="38"/>
      <c r="D583" s="38"/>
      <c r="E583" s="10"/>
      <c r="I583" s="10"/>
      <c r="J583" s="10"/>
    </row>
    <row r="584">
      <c r="C584" s="38"/>
      <c r="D584" s="38"/>
      <c r="E584" s="10"/>
      <c r="I584" s="10"/>
      <c r="J584" s="10"/>
    </row>
    <row r="585">
      <c r="C585" s="38"/>
      <c r="D585" s="38"/>
      <c r="E585" s="10"/>
      <c r="I585" s="10"/>
      <c r="J585" s="10"/>
    </row>
    <row r="586">
      <c r="C586" s="38"/>
      <c r="D586" s="38"/>
      <c r="E586" s="10"/>
      <c r="I586" s="10"/>
      <c r="J586" s="10"/>
    </row>
    <row r="587">
      <c r="C587" s="38"/>
      <c r="D587" s="38"/>
      <c r="E587" s="10"/>
      <c r="I587" s="10"/>
      <c r="J587" s="10"/>
    </row>
    <row r="588">
      <c r="C588" s="38"/>
      <c r="D588" s="38"/>
      <c r="E588" s="10"/>
      <c r="I588" s="10"/>
      <c r="J588" s="10"/>
    </row>
    <row r="589">
      <c r="C589" s="38"/>
      <c r="D589" s="38"/>
      <c r="E589" s="10"/>
      <c r="I589" s="10"/>
      <c r="J589" s="10"/>
    </row>
    <row r="590">
      <c r="C590" s="38"/>
      <c r="D590" s="38"/>
      <c r="E590" s="10"/>
      <c r="I590" s="10"/>
      <c r="J590" s="10"/>
    </row>
    <row r="591">
      <c r="C591" s="38"/>
      <c r="D591" s="38"/>
      <c r="E591" s="10"/>
      <c r="I591" s="10"/>
      <c r="J591" s="10"/>
    </row>
    <row r="592">
      <c r="C592" s="38"/>
      <c r="D592" s="38"/>
      <c r="E592" s="10"/>
      <c r="I592" s="10"/>
      <c r="J592" s="10"/>
    </row>
    <row r="593">
      <c r="C593" s="38"/>
      <c r="D593" s="38"/>
      <c r="E593" s="10"/>
      <c r="I593" s="10"/>
      <c r="J593" s="10"/>
    </row>
    <row r="594">
      <c r="C594" s="38"/>
      <c r="D594" s="38"/>
      <c r="E594" s="10"/>
      <c r="I594" s="10"/>
      <c r="J594" s="10"/>
    </row>
    <row r="595">
      <c r="C595" s="38"/>
      <c r="D595" s="38"/>
      <c r="E595" s="10"/>
      <c r="I595" s="10"/>
      <c r="J595" s="10"/>
    </row>
    <row r="596">
      <c r="C596" s="38"/>
      <c r="D596" s="38"/>
      <c r="E596" s="10"/>
      <c r="I596" s="10"/>
      <c r="J596" s="10"/>
    </row>
    <row r="597">
      <c r="C597" s="38"/>
      <c r="D597" s="38"/>
      <c r="E597" s="10"/>
      <c r="I597" s="10"/>
      <c r="J597" s="10"/>
    </row>
    <row r="598">
      <c r="C598" s="38"/>
      <c r="D598" s="38"/>
      <c r="E598" s="10"/>
      <c r="I598" s="10"/>
      <c r="J598" s="10"/>
    </row>
    <row r="599">
      <c r="C599" s="38"/>
      <c r="D599" s="38"/>
      <c r="E599" s="10"/>
      <c r="I599" s="10"/>
      <c r="J599" s="10"/>
    </row>
    <row r="600">
      <c r="C600" s="38"/>
      <c r="D600" s="38"/>
      <c r="E600" s="10"/>
      <c r="I600" s="10"/>
      <c r="J600" s="10"/>
    </row>
    <row r="601">
      <c r="C601" s="38"/>
      <c r="D601" s="38"/>
      <c r="E601" s="10"/>
      <c r="I601" s="10"/>
      <c r="J601" s="10"/>
    </row>
    <row r="602">
      <c r="C602" s="38"/>
      <c r="D602" s="38"/>
      <c r="E602" s="10"/>
      <c r="I602" s="10"/>
      <c r="J602" s="10"/>
    </row>
    <row r="603">
      <c r="C603" s="38"/>
      <c r="D603" s="38"/>
      <c r="E603" s="10"/>
      <c r="I603" s="10"/>
      <c r="J603" s="10"/>
    </row>
    <row r="604">
      <c r="C604" s="38"/>
      <c r="D604" s="38"/>
      <c r="E604" s="10"/>
      <c r="I604" s="10"/>
      <c r="J604" s="10"/>
    </row>
    <row r="605">
      <c r="C605" s="38"/>
      <c r="D605" s="38"/>
      <c r="E605" s="10"/>
      <c r="I605" s="10"/>
      <c r="J605" s="10"/>
    </row>
    <row r="606">
      <c r="C606" s="38"/>
      <c r="D606" s="38"/>
      <c r="E606" s="10"/>
      <c r="I606" s="10"/>
      <c r="J606" s="10"/>
    </row>
    <row r="607">
      <c r="C607" s="38"/>
      <c r="D607" s="38"/>
      <c r="E607" s="10"/>
      <c r="I607" s="10"/>
      <c r="J607" s="10"/>
    </row>
    <row r="608">
      <c r="C608" s="38"/>
      <c r="D608" s="38"/>
      <c r="E608" s="10"/>
      <c r="I608" s="10"/>
      <c r="J608" s="10"/>
    </row>
    <row r="609">
      <c r="C609" s="38"/>
      <c r="D609" s="38"/>
      <c r="E609" s="10"/>
      <c r="I609" s="10"/>
      <c r="J609" s="10"/>
    </row>
    <row r="610">
      <c r="C610" s="38"/>
      <c r="D610" s="38"/>
      <c r="E610" s="10"/>
      <c r="I610" s="10"/>
      <c r="J610" s="10"/>
    </row>
    <row r="611">
      <c r="C611" s="38"/>
      <c r="D611" s="38"/>
      <c r="E611" s="10"/>
      <c r="I611" s="10"/>
      <c r="J611" s="10"/>
    </row>
    <row r="612">
      <c r="C612" s="38"/>
      <c r="D612" s="38"/>
      <c r="E612" s="10"/>
      <c r="I612" s="10"/>
      <c r="J612" s="10"/>
    </row>
    <row r="613">
      <c r="C613" s="38"/>
      <c r="D613" s="38"/>
      <c r="E613" s="10"/>
      <c r="I613" s="10"/>
      <c r="J613" s="10"/>
    </row>
    <row r="614">
      <c r="C614" s="38"/>
      <c r="D614" s="38"/>
      <c r="E614" s="10"/>
      <c r="I614" s="10"/>
      <c r="J614" s="10"/>
    </row>
    <row r="615">
      <c r="C615" s="38"/>
      <c r="D615" s="38"/>
      <c r="E615" s="10"/>
      <c r="I615" s="10"/>
      <c r="J615" s="10"/>
    </row>
    <row r="616">
      <c r="C616" s="38"/>
      <c r="D616" s="38"/>
      <c r="E616" s="10"/>
      <c r="I616" s="10"/>
      <c r="J616" s="10"/>
    </row>
    <row r="617">
      <c r="C617" s="38"/>
      <c r="D617" s="38"/>
      <c r="E617" s="10"/>
      <c r="I617" s="10"/>
      <c r="J617" s="10"/>
    </row>
    <row r="618">
      <c r="C618" s="38"/>
      <c r="D618" s="38"/>
      <c r="E618" s="10"/>
      <c r="I618" s="10"/>
      <c r="J618" s="10"/>
    </row>
    <row r="619">
      <c r="C619" s="38"/>
      <c r="D619" s="38"/>
      <c r="E619" s="10"/>
      <c r="I619" s="10"/>
      <c r="J619" s="10"/>
    </row>
    <row r="620">
      <c r="C620" s="38"/>
      <c r="D620" s="38"/>
      <c r="E620" s="10"/>
      <c r="I620" s="10"/>
      <c r="J620" s="10"/>
    </row>
    <row r="621">
      <c r="C621" s="38"/>
      <c r="D621" s="38"/>
      <c r="E621" s="10"/>
      <c r="I621" s="10"/>
      <c r="J621" s="10"/>
    </row>
    <row r="622">
      <c r="C622" s="38"/>
      <c r="D622" s="38"/>
      <c r="E622" s="10"/>
      <c r="I622" s="10"/>
      <c r="J622" s="10"/>
    </row>
    <row r="623">
      <c r="C623" s="38"/>
      <c r="D623" s="38"/>
      <c r="E623" s="10"/>
      <c r="I623" s="10"/>
      <c r="J623" s="10"/>
    </row>
    <row r="624">
      <c r="C624" s="38"/>
      <c r="D624" s="38"/>
      <c r="E624" s="10"/>
      <c r="I624" s="10"/>
      <c r="J624" s="10"/>
    </row>
    <row r="625">
      <c r="C625" s="38"/>
      <c r="D625" s="38"/>
      <c r="E625" s="10"/>
      <c r="I625" s="10"/>
      <c r="J625" s="10"/>
    </row>
    <row r="626">
      <c r="C626" s="38"/>
      <c r="D626" s="38"/>
      <c r="E626" s="10"/>
      <c r="I626" s="10"/>
      <c r="J626" s="10"/>
    </row>
    <row r="627">
      <c r="C627" s="38"/>
      <c r="D627" s="38"/>
      <c r="E627" s="10"/>
      <c r="I627" s="10"/>
      <c r="J627" s="10"/>
    </row>
    <row r="628">
      <c r="C628" s="38"/>
      <c r="D628" s="38"/>
      <c r="E628" s="10"/>
      <c r="I628" s="10"/>
      <c r="J628" s="10"/>
    </row>
    <row r="629">
      <c r="C629" s="38"/>
      <c r="D629" s="38"/>
      <c r="E629" s="10"/>
      <c r="I629" s="10"/>
      <c r="J629" s="10"/>
    </row>
    <row r="630">
      <c r="C630" s="38"/>
      <c r="D630" s="38"/>
      <c r="E630" s="10"/>
      <c r="I630" s="10"/>
      <c r="J630" s="10"/>
    </row>
    <row r="631">
      <c r="C631" s="38"/>
      <c r="D631" s="38"/>
      <c r="E631" s="10"/>
      <c r="I631" s="10"/>
      <c r="J631" s="10"/>
    </row>
    <row r="632">
      <c r="C632" s="38"/>
      <c r="D632" s="38"/>
      <c r="E632" s="10"/>
      <c r="I632" s="10"/>
      <c r="J632" s="10"/>
    </row>
    <row r="633">
      <c r="C633" s="38"/>
      <c r="D633" s="38"/>
      <c r="E633" s="10"/>
      <c r="I633" s="10"/>
      <c r="J633" s="10"/>
    </row>
    <row r="634">
      <c r="C634" s="38"/>
      <c r="D634" s="38"/>
      <c r="E634" s="10"/>
      <c r="I634" s="10"/>
      <c r="J634" s="10"/>
    </row>
    <row r="635">
      <c r="C635" s="38"/>
      <c r="D635" s="38"/>
      <c r="E635" s="10"/>
      <c r="I635" s="10"/>
      <c r="J635" s="10"/>
    </row>
    <row r="636">
      <c r="C636" s="38"/>
      <c r="D636" s="38"/>
      <c r="E636" s="10"/>
      <c r="I636" s="10"/>
      <c r="J636" s="10"/>
    </row>
    <row r="637">
      <c r="C637" s="38"/>
      <c r="D637" s="38"/>
      <c r="E637" s="10"/>
      <c r="I637" s="10"/>
      <c r="J637" s="10"/>
    </row>
    <row r="638">
      <c r="C638" s="38"/>
      <c r="D638" s="38"/>
      <c r="E638" s="10"/>
      <c r="I638" s="10"/>
      <c r="J638" s="10"/>
    </row>
    <row r="639">
      <c r="C639" s="38"/>
      <c r="D639" s="38"/>
      <c r="E639" s="10"/>
      <c r="I639" s="10"/>
      <c r="J639" s="10"/>
    </row>
    <row r="640">
      <c r="C640" s="38"/>
      <c r="D640" s="38"/>
      <c r="E640" s="10"/>
      <c r="I640" s="10"/>
      <c r="J640" s="10"/>
    </row>
    <row r="641">
      <c r="C641" s="38"/>
      <c r="D641" s="38"/>
      <c r="E641" s="10"/>
      <c r="I641" s="10"/>
      <c r="J641" s="10"/>
    </row>
    <row r="642">
      <c r="C642" s="38"/>
      <c r="D642" s="38"/>
      <c r="E642" s="10"/>
      <c r="I642" s="10"/>
      <c r="J642" s="10"/>
    </row>
    <row r="643">
      <c r="C643" s="38"/>
      <c r="D643" s="38"/>
      <c r="E643" s="10"/>
      <c r="I643" s="10"/>
      <c r="J643" s="10"/>
    </row>
    <row r="644">
      <c r="C644" s="38"/>
      <c r="D644" s="38"/>
      <c r="E644" s="10"/>
      <c r="I644" s="10"/>
      <c r="J644" s="10"/>
    </row>
    <row r="645">
      <c r="C645" s="38"/>
      <c r="D645" s="38"/>
      <c r="E645" s="10"/>
      <c r="I645" s="10"/>
      <c r="J645" s="10"/>
    </row>
    <row r="646">
      <c r="C646" s="38"/>
      <c r="D646" s="38"/>
      <c r="E646" s="10"/>
      <c r="I646" s="10"/>
      <c r="J646" s="10"/>
    </row>
    <row r="647">
      <c r="C647" s="38"/>
      <c r="D647" s="38"/>
      <c r="E647" s="10"/>
      <c r="I647" s="10"/>
      <c r="J647" s="10"/>
    </row>
    <row r="648">
      <c r="C648" s="38"/>
      <c r="D648" s="38"/>
      <c r="E648" s="10"/>
      <c r="I648" s="10"/>
      <c r="J648" s="10"/>
    </row>
    <row r="649">
      <c r="C649" s="38"/>
      <c r="D649" s="38"/>
      <c r="E649" s="10"/>
      <c r="I649" s="10"/>
      <c r="J649" s="10"/>
    </row>
    <row r="650">
      <c r="C650" s="38"/>
      <c r="D650" s="38"/>
      <c r="E650" s="10"/>
      <c r="I650" s="10"/>
      <c r="J650" s="10"/>
    </row>
    <row r="651">
      <c r="C651" s="38"/>
      <c r="D651" s="38"/>
      <c r="E651" s="10"/>
      <c r="I651" s="10"/>
      <c r="J651" s="10"/>
    </row>
    <row r="652">
      <c r="C652" s="38"/>
      <c r="D652" s="38"/>
      <c r="E652" s="10"/>
      <c r="I652" s="10"/>
      <c r="J652" s="10"/>
    </row>
    <row r="653">
      <c r="C653" s="38"/>
      <c r="D653" s="38"/>
      <c r="E653" s="10"/>
      <c r="I653" s="10"/>
      <c r="J653" s="10"/>
    </row>
    <row r="654">
      <c r="C654" s="38"/>
      <c r="D654" s="38"/>
      <c r="E654" s="10"/>
      <c r="I654" s="10"/>
      <c r="J654" s="10"/>
    </row>
    <row r="655">
      <c r="C655" s="38"/>
      <c r="D655" s="38"/>
      <c r="E655" s="10"/>
      <c r="I655" s="10"/>
      <c r="J655" s="10"/>
    </row>
    <row r="656">
      <c r="C656" s="38"/>
      <c r="D656" s="38"/>
      <c r="E656" s="10"/>
      <c r="I656" s="10"/>
      <c r="J656" s="10"/>
    </row>
    <row r="657">
      <c r="C657" s="38"/>
      <c r="D657" s="38"/>
      <c r="E657" s="10"/>
      <c r="I657" s="10"/>
      <c r="J657" s="10"/>
    </row>
    <row r="658">
      <c r="C658" s="38"/>
      <c r="D658" s="38"/>
      <c r="E658" s="10"/>
      <c r="I658" s="10"/>
      <c r="J658" s="10"/>
    </row>
    <row r="659">
      <c r="C659" s="38"/>
      <c r="D659" s="38"/>
      <c r="E659" s="10"/>
      <c r="I659" s="10"/>
      <c r="J659" s="10"/>
    </row>
    <row r="660">
      <c r="C660" s="38"/>
      <c r="D660" s="38"/>
      <c r="E660" s="10"/>
      <c r="I660" s="10"/>
      <c r="J660" s="10"/>
    </row>
    <row r="661">
      <c r="C661" s="38"/>
      <c r="D661" s="38"/>
      <c r="E661" s="10"/>
      <c r="I661" s="10"/>
      <c r="J661" s="10"/>
    </row>
    <row r="662">
      <c r="C662" s="38"/>
      <c r="D662" s="38"/>
      <c r="E662" s="10"/>
      <c r="I662" s="10"/>
      <c r="J662" s="10"/>
    </row>
    <row r="663">
      <c r="C663" s="38"/>
      <c r="D663" s="38"/>
      <c r="E663" s="10"/>
      <c r="I663" s="10"/>
      <c r="J663" s="10"/>
    </row>
    <row r="664">
      <c r="C664" s="38"/>
      <c r="D664" s="38"/>
      <c r="E664" s="10"/>
      <c r="I664" s="10"/>
      <c r="J664" s="10"/>
    </row>
    <row r="665">
      <c r="C665" s="38"/>
      <c r="D665" s="38"/>
      <c r="E665" s="10"/>
      <c r="I665" s="10"/>
      <c r="J665" s="10"/>
    </row>
    <row r="666">
      <c r="C666" s="38"/>
      <c r="D666" s="38"/>
      <c r="E666" s="10"/>
      <c r="I666" s="10"/>
      <c r="J666" s="10"/>
    </row>
    <row r="667">
      <c r="C667" s="38"/>
      <c r="D667" s="38"/>
      <c r="E667" s="10"/>
      <c r="I667" s="10"/>
      <c r="J667" s="10"/>
    </row>
    <row r="668">
      <c r="C668" s="38"/>
      <c r="D668" s="38"/>
      <c r="E668" s="10"/>
      <c r="I668" s="10"/>
      <c r="J668" s="10"/>
    </row>
    <row r="669">
      <c r="C669" s="38"/>
      <c r="D669" s="38"/>
      <c r="E669" s="10"/>
      <c r="I669" s="10"/>
      <c r="J669" s="10"/>
    </row>
    <row r="670">
      <c r="C670" s="38"/>
      <c r="D670" s="38"/>
      <c r="E670" s="10"/>
      <c r="I670" s="10"/>
      <c r="J670" s="10"/>
    </row>
    <row r="671">
      <c r="C671" s="38"/>
      <c r="D671" s="38"/>
      <c r="E671" s="10"/>
      <c r="I671" s="10"/>
      <c r="J671" s="10"/>
    </row>
    <row r="672">
      <c r="C672" s="38"/>
      <c r="D672" s="38"/>
      <c r="E672" s="10"/>
      <c r="I672" s="10"/>
      <c r="J672" s="10"/>
    </row>
    <row r="673">
      <c r="C673" s="38"/>
      <c r="D673" s="38"/>
      <c r="E673" s="10"/>
      <c r="I673" s="10"/>
      <c r="J673" s="10"/>
    </row>
    <row r="674">
      <c r="C674" s="38"/>
      <c r="D674" s="38"/>
      <c r="E674" s="10"/>
      <c r="I674" s="10"/>
      <c r="J674" s="10"/>
    </row>
    <row r="675">
      <c r="C675" s="38"/>
      <c r="D675" s="38"/>
      <c r="E675" s="10"/>
      <c r="I675" s="10"/>
      <c r="J675" s="10"/>
    </row>
    <row r="676">
      <c r="C676" s="38"/>
      <c r="D676" s="38"/>
      <c r="E676" s="10"/>
      <c r="I676" s="10"/>
      <c r="J676" s="10"/>
    </row>
    <row r="677">
      <c r="C677" s="38"/>
      <c r="D677" s="38"/>
      <c r="E677" s="10"/>
      <c r="I677" s="10"/>
      <c r="J677" s="10"/>
    </row>
    <row r="678">
      <c r="C678" s="38"/>
      <c r="D678" s="38"/>
      <c r="E678" s="10"/>
      <c r="I678" s="10"/>
      <c r="J678" s="10"/>
    </row>
    <row r="679">
      <c r="C679" s="38"/>
      <c r="D679" s="38"/>
      <c r="E679" s="10"/>
      <c r="I679" s="10"/>
      <c r="J679" s="10"/>
    </row>
    <row r="680">
      <c r="C680" s="38"/>
      <c r="D680" s="38"/>
      <c r="E680" s="10"/>
      <c r="I680" s="10"/>
      <c r="J680" s="10"/>
    </row>
    <row r="681">
      <c r="C681" s="38"/>
      <c r="D681" s="38"/>
      <c r="E681" s="10"/>
      <c r="I681" s="10"/>
      <c r="J681" s="10"/>
    </row>
    <row r="682">
      <c r="C682" s="38"/>
      <c r="D682" s="38"/>
      <c r="E682" s="10"/>
      <c r="I682" s="10"/>
      <c r="J682" s="10"/>
    </row>
    <row r="683">
      <c r="C683" s="38"/>
      <c r="D683" s="38"/>
      <c r="E683" s="10"/>
      <c r="I683" s="10"/>
      <c r="J683" s="10"/>
    </row>
    <row r="684">
      <c r="C684" s="38"/>
      <c r="D684" s="38"/>
      <c r="E684" s="10"/>
      <c r="I684" s="10"/>
      <c r="J684" s="10"/>
    </row>
    <row r="685">
      <c r="C685" s="38"/>
      <c r="D685" s="38"/>
      <c r="E685" s="10"/>
      <c r="I685" s="10"/>
      <c r="J685" s="10"/>
    </row>
    <row r="686">
      <c r="C686" s="38"/>
      <c r="D686" s="38"/>
      <c r="E686" s="10"/>
      <c r="I686" s="10"/>
      <c r="J686" s="10"/>
    </row>
    <row r="687">
      <c r="C687" s="38"/>
      <c r="D687" s="38"/>
      <c r="E687" s="10"/>
      <c r="I687" s="10"/>
      <c r="J687" s="10"/>
    </row>
    <row r="688">
      <c r="C688" s="38"/>
      <c r="D688" s="38"/>
      <c r="E688" s="10"/>
      <c r="I688" s="10"/>
      <c r="J688" s="10"/>
    </row>
    <row r="689">
      <c r="C689" s="38"/>
      <c r="D689" s="38"/>
      <c r="E689" s="10"/>
      <c r="I689" s="10"/>
      <c r="J689" s="10"/>
    </row>
    <row r="690">
      <c r="C690" s="38"/>
      <c r="D690" s="38"/>
      <c r="E690" s="10"/>
      <c r="I690" s="10"/>
      <c r="J690" s="10"/>
    </row>
    <row r="691">
      <c r="C691" s="38"/>
      <c r="D691" s="38"/>
      <c r="E691" s="10"/>
      <c r="I691" s="10"/>
      <c r="J691" s="10"/>
    </row>
    <row r="692">
      <c r="C692" s="38"/>
      <c r="D692" s="38"/>
      <c r="E692" s="10"/>
      <c r="I692" s="10"/>
      <c r="J692" s="10"/>
    </row>
    <row r="693">
      <c r="C693" s="38"/>
      <c r="D693" s="38"/>
      <c r="E693" s="10"/>
      <c r="I693" s="10"/>
      <c r="J693" s="10"/>
    </row>
    <row r="694">
      <c r="C694" s="38"/>
      <c r="D694" s="38"/>
      <c r="E694" s="10"/>
      <c r="I694" s="10"/>
      <c r="J694" s="10"/>
    </row>
    <row r="695">
      <c r="C695" s="38"/>
      <c r="D695" s="38"/>
      <c r="E695" s="10"/>
      <c r="I695" s="10"/>
      <c r="J695" s="10"/>
    </row>
    <row r="696">
      <c r="C696" s="38"/>
      <c r="D696" s="38"/>
      <c r="E696" s="10"/>
      <c r="I696" s="10"/>
      <c r="J696" s="10"/>
    </row>
    <row r="697">
      <c r="C697" s="38"/>
      <c r="D697" s="38"/>
      <c r="E697" s="10"/>
      <c r="I697" s="10"/>
      <c r="J697" s="10"/>
    </row>
    <row r="698">
      <c r="C698" s="38"/>
      <c r="D698" s="38"/>
      <c r="E698" s="10"/>
      <c r="I698" s="10"/>
      <c r="J698" s="10"/>
    </row>
    <row r="699">
      <c r="C699" s="38"/>
      <c r="D699" s="38"/>
      <c r="E699" s="10"/>
      <c r="I699" s="10"/>
      <c r="J699" s="10"/>
    </row>
    <row r="700">
      <c r="C700" s="38"/>
      <c r="D700" s="38"/>
      <c r="E700" s="10"/>
      <c r="I700" s="10"/>
      <c r="J700" s="10"/>
    </row>
    <row r="701">
      <c r="C701" s="38"/>
      <c r="D701" s="38"/>
      <c r="E701" s="10"/>
      <c r="I701" s="10"/>
      <c r="J701" s="10"/>
    </row>
    <row r="702">
      <c r="C702" s="38"/>
      <c r="D702" s="38"/>
      <c r="E702" s="10"/>
      <c r="I702" s="10"/>
      <c r="J702" s="10"/>
    </row>
    <row r="703">
      <c r="C703" s="38"/>
      <c r="D703" s="38"/>
      <c r="E703" s="10"/>
      <c r="I703" s="10"/>
      <c r="J703" s="10"/>
    </row>
    <row r="704">
      <c r="C704" s="38"/>
      <c r="D704" s="38"/>
      <c r="E704" s="10"/>
      <c r="I704" s="10"/>
      <c r="J704" s="10"/>
    </row>
    <row r="705">
      <c r="C705" s="38"/>
      <c r="D705" s="38"/>
      <c r="E705" s="10"/>
      <c r="I705" s="10"/>
      <c r="J705" s="10"/>
    </row>
    <row r="706">
      <c r="C706" s="38"/>
      <c r="D706" s="38"/>
      <c r="E706" s="10"/>
      <c r="I706" s="10"/>
      <c r="J706" s="10"/>
    </row>
    <row r="707">
      <c r="C707" s="38"/>
      <c r="D707" s="38"/>
      <c r="E707" s="10"/>
      <c r="I707" s="10"/>
      <c r="J707" s="10"/>
    </row>
    <row r="708">
      <c r="C708" s="38"/>
      <c r="D708" s="38"/>
      <c r="E708" s="10"/>
      <c r="I708" s="10"/>
      <c r="J708" s="10"/>
    </row>
    <row r="709">
      <c r="C709" s="38"/>
      <c r="D709" s="38"/>
      <c r="E709" s="10"/>
      <c r="I709" s="10"/>
      <c r="J709" s="10"/>
    </row>
    <row r="710">
      <c r="C710" s="38"/>
      <c r="D710" s="38"/>
      <c r="E710" s="10"/>
      <c r="I710" s="10"/>
      <c r="J710" s="10"/>
    </row>
    <row r="711">
      <c r="C711" s="38"/>
      <c r="D711" s="38"/>
      <c r="E711" s="10"/>
      <c r="I711" s="10"/>
      <c r="J711" s="10"/>
    </row>
    <row r="712">
      <c r="C712" s="38"/>
      <c r="D712" s="38"/>
      <c r="E712" s="10"/>
      <c r="I712" s="10"/>
      <c r="J712" s="10"/>
    </row>
    <row r="713">
      <c r="C713" s="38"/>
      <c r="D713" s="38"/>
      <c r="E713" s="10"/>
      <c r="I713" s="10"/>
      <c r="J713" s="10"/>
    </row>
    <row r="714">
      <c r="C714" s="38"/>
      <c r="D714" s="38"/>
      <c r="E714" s="10"/>
      <c r="I714" s="10"/>
      <c r="J714" s="10"/>
    </row>
    <row r="715">
      <c r="C715" s="38"/>
      <c r="D715" s="38"/>
      <c r="E715" s="10"/>
      <c r="I715" s="10"/>
      <c r="J715" s="10"/>
    </row>
    <row r="716">
      <c r="C716" s="38"/>
      <c r="D716" s="38"/>
      <c r="E716" s="10"/>
      <c r="I716" s="10"/>
      <c r="J716" s="10"/>
    </row>
    <row r="717">
      <c r="C717" s="38"/>
      <c r="D717" s="38"/>
      <c r="E717" s="10"/>
      <c r="I717" s="10"/>
      <c r="J717" s="10"/>
    </row>
    <row r="718">
      <c r="C718" s="38"/>
      <c r="D718" s="38"/>
      <c r="E718" s="10"/>
      <c r="I718" s="10"/>
      <c r="J718" s="10"/>
    </row>
    <row r="719">
      <c r="C719" s="38"/>
      <c r="D719" s="38"/>
      <c r="E719" s="10"/>
      <c r="I719" s="10"/>
      <c r="J719" s="10"/>
    </row>
    <row r="720">
      <c r="C720" s="38"/>
      <c r="D720" s="38"/>
      <c r="E720" s="10"/>
      <c r="I720" s="10"/>
      <c r="J720" s="10"/>
    </row>
    <row r="721">
      <c r="C721" s="38"/>
      <c r="D721" s="38"/>
      <c r="E721" s="10"/>
      <c r="I721" s="10"/>
      <c r="J721" s="10"/>
    </row>
    <row r="722">
      <c r="C722" s="38"/>
      <c r="D722" s="38"/>
      <c r="E722" s="10"/>
      <c r="I722" s="10"/>
      <c r="J722" s="10"/>
    </row>
    <row r="723">
      <c r="C723" s="38"/>
      <c r="D723" s="38"/>
      <c r="E723" s="10"/>
      <c r="I723" s="10"/>
      <c r="J723" s="10"/>
    </row>
    <row r="724">
      <c r="C724" s="38"/>
      <c r="D724" s="38"/>
      <c r="E724" s="10"/>
      <c r="I724" s="10"/>
      <c r="J724" s="10"/>
    </row>
    <row r="725">
      <c r="C725" s="38"/>
      <c r="D725" s="38"/>
      <c r="E725" s="10"/>
      <c r="I725" s="10"/>
      <c r="J725" s="10"/>
    </row>
    <row r="726">
      <c r="C726" s="38"/>
      <c r="D726" s="38"/>
      <c r="E726" s="10"/>
      <c r="I726" s="10"/>
      <c r="J726" s="10"/>
    </row>
    <row r="727">
      <c r="C727" s="38"/>
      <c r="D727" s="38"/>
      <c r="E727" s="10"/>
      <c r="I727" s="10"/>
      <c r="J727" s="10"/>
    </row>
    <row r="728">
      <c r="C728" s="38"/>
      <c r="D728" s="38"/>
      <c r="E728" s="10"/>
      <c r="I728" s="10"/>
      <c r="J728" s="10"/>
    </row>
    <row r="729">
      <c r="C729" s="38"/>
      <c r="D729" s="38"/>
      <c r="E729" s="10"/>
      <c r="I729" s="10"/>
      <c r="J729" s="10"/>
    </row>
    <row r="730">
      <c r="C730" s="38"/>
      <c r="D730" s="38"/>
      <c r="E730" s="10"/>
      <c r="I730" s="10"/>
      <c r="J730" s="10"/>
    </row>
    <row r="731">
      <c r="C731" s="38"/>
      <c r="D731" s="38"/>
      <c r="E731" s="10"/>
      <c r="I731" s="10"/>
      <c r="J731" s="10"/>
    </row>
    <row r="732">
      <c r="C732" s="38"/>
      <c r="D732" s="38"/>
      <c r="E732" s="10"/>
      <c r="I732" s="10"/>
      <c r="J732" s="10"/>
    </row>
    <row r="733">
      <c r="C733" s="38"/>
      <c r="D733" s="38"/>
      <c r="E733" s="10"/>
      <c r="I733" s="10"/>
      <c r="J733" s="10"/>
    </row>
    <row r="734">
      <c r="C734" s="38"/>
      <c r="D734" s="38"/>
      <c r="E734" s="10"/>
      <c r="I734" s="10"/>
      <c r="J734" s="10"/>
    </row>
    <row r="735">
      <c r="C735" s="38"/>
      <c r="D735" s="38"/>
      <c r="E735" s="10"/>
      <c r="I735" s="10"/>
      <c r="J735" s="10"/>
    </row>
    <row r="736">
      <c r="C736" s="38"/>
      <c r="D736" s="38"/>
      <c r="E736" s="10"/>
      <c r="I736" s="10"/>
      <c r="J736" s="10"/>
    </row>
    <row r="737">
      <c r="C737" s="38"/>
      <c r="D737" s="38"/>
      <c r="E737" s="10"/>
      <c r="I737" s="10"/>
      <c r="J737" s="10"/>
    </row>
    <row r="738">
      <c r="C738" s="38"/>
      <c r="D738" s="38"/>
      <c r="E738" s="10"/>
      <c r="I738" s="10"/>
      <c r="J738" s="10"/>
    </row>
    <row r="739">
      <c r="C739" s="38"/>
      <c r="D739" s="38"/>
      <c r="E739" s="10"/>
      <c r="I739" s="10"/>
      <c r="J739" s="10"/>
    </row>
    <row r="740">
      <c r="C740" s="38"/>
      <c r="D740" s="38"/>
      <c r="E740" s="10"/>
      <c r="I740" s="10"/>
      <c r="J740" s="10"/>
    </row>
    <row r="741">
      <c r="C741" s="38"/>
      <c r="D741" s="38"/>
      <c r="E741" s="10"/>
      <c r="I741" s="10"/>
      <c r="J741" s="10"/>
    </row>
    <row r="742">
      <c r="C742" s="38"/>
      <c r="D742" s="38"/>
      <c r="E742" s="10"/>
      <c r="I742" s="10"/>
      <c r="J742" s="10"/>
    </row>
    <row r="743">
      <c r="C743" s="38"/>
      <c r="D743" s="38"/>
      <c r="E743" s="10"/>
      <c r="I743" s="10"/>
      <c r="J743" s="10"/>
    </row>
    <row r="744">
      <c r="C744" s="38"/>
      <c r="D744" s="38"/>
      <c r="E744" s="10"/>
      <c r="I744" s="10"/>
      <c r="J744" s="10"/>
    </row>
    <row r="745">
      <c r="C745" s="38"/>
      <c r="D745" s="38"/>
      <c r="E745" s="10"/>
      <c r="I745" s="10"/>
      <c r="J745" s="10"/>
    </row>
    <row r="746">
      <c r="C746" s="38"/>
      <c r="D746" s="38"/>
      <c r="E746" s="10"/>
      <c r="I746" s="10"/>
      <c r="J746" s="10"/>
    </row>
    <row r="747">
      <c r="C747" s="38"/>
      <c r="D747" s="38"/>
      <c r="E747" s="10"/>
      <c r="I747" s="10"/>
      <c r="J747" s="10"/>
    </row>
    <row r="748">
      <c r="C748" s="38"/>
      <c r="D748" s="38"/>
      <c r="E748" s="10"/>
      <c r="I748" s="10"/>
      <c r="J748" s="10"/>
    </row>
    <row r="749">
      <c r="C749" s="38"/>
      <c r="D749" s="38"/>
      <c r="E749" s="10"/>
      <c r="I749" s="10"/>
      <c r="J749" s="10"/>
    </row>
    <row r="750">
      <c r="C750" s="38"/>
      <c r="D750" s="38"/>
      <c r="E750" s="10"/>
      <c r="I750" s="10"/>
      <c r="J750" s="10"/>
    </row>
    <row r="751">
      <c r="C751" s="38"/>
      <c r="D751" s="38"/>
      <c r="E751" s="10"/>
      <c r="I751" s="10"/>
      <c r="J751" s="10"/>
    </row>
    <row r="752">
      <c r="C752" s="38"/>
      <c r="D752" s="38"/>
      <c r="E752" s="10"/>
      <c r="I752" s="10"/>
      <c r="J752" s="10"/>
    </row>
    <row r="753">
      <c r="C753" s="38"/>
      <c r="D753" s="38"/>
      <c r="E753" s="10"/>
      <c r="I753" s="10"/>
      <c r="J753" s="10"/>
    </row>
    <row r="754">
      <c r="C754" s="38"/>
      <c r="D754" s="38"/>
      <c r="E754" s="10"/>
      <c r="I754" s="10"/>
      <c r="J754" s="10"/>
    </row>
    <row r="755">
      <c r="C755" s="38"/>
      <c r="D755" s="38"/>
      <c r="E755" s="10"/>
      <c r="I755" s="10"/>
      <c r="J755" s="10"/>
    </row>
    <row r="756">
      <c r="C756" s="38"/>
      <c r="D756" s="38"/>
      <c r="E756" s="10"/>
      <c r="I756" s="10"/>
      <c r="J756" s="10"/>
    </row>
    <row r="757">
      <c r="C757" s="38"/>
      <c r="D757" s="38"/>
      <c r="E757" s="10"/>
      <c r="I757" s="10"/>
      <c r="J757" s="10"/>
    </row>
    <row r="758">
      <c r="C758" s="38"/>
      <c r="D758" s="38"/>
      <c r="E758" s="10"/>
      <c r="I758" s="10"/>
      <c r="J758" s="10"/>
    </row>
    <row r="759">
      <c r="C759" s="38"/>
      <c r="D759" s="38"/>
      <c r="E759" s="10"/>
      <c r="I759" s="10"/>
      <c r="J759" s="10"/>
    </row>
    <row r="760">
      <c r="C760" s="38"/>
      <c r="D760" s="38"/>
      <c r="E760" s="10"/>
      <c r="I760" s="10"/>
      <c r="J760" s="10"/>
    </row>
    <row r="761">
      <c r="C761" s="38"/>
      <c r="D761" s="38"/>
      <c r="E761" s="10"/>
      <c r="I761" s="10"/>
      <c r="J761" s="10"/>
    </row>
    <row r="762">
      <c r="C762" s="38"/>
      <c r="D762" s="38"/>
      <c r="E762" s="10"/>
      <c r="I762" s="10"/>
      <c r="J762" s="10"/>
    </row>
    <row r="763">
      <c r="C763" s="38"/>
      <c r="D763" s="38"/>
      <c r="E763" s="10"/>
      <c r="I763" s="10"/>
      <c r="J763" s="10"/>
    </row>
    <row r="764">
      <c r="C764" s="38"/>
      <c r="D764" s="38"/>
      <c r="E764" s="10"/>
      <c r="I764" s="10"/>
      <c r="J764" s="10"/>
    </row>
    <row r="765">
      <c r="C765" s="38"/>
      <c r="D765" s="38"/>
      <c r="E765" s="10"/>
      <c r="I765" s="10"/>
      <c r="J765" s="10"/>
    </row>
    <row r="766">
      <c r="C766" s="38"/>
      <c r="D766" s="38"/>
      <c r="E766" s="10"/>
      <c r="I766" s="10"/>
      <c r="J766" s="10"/>
    </row>
    <row r="767">
      <c r="C767" s="38"/>
      <c r="D767" s="38"/>
      <c r="E767" s="10"/>
      <c r="I767" s="10"/>
      <c r="J767" s="10"/>
    </row>
    <row r="768">
      <c r="C768" s="38"/>
      <c r="D768" s="38"/>
      <c r="E768" s="10"/>
      <c r="I768" s="10"/>
      <c r="J768" s="10"/>
    </row>
    <row r="769">
      <c r="C769" s="38"/>
      <c r="D769" s="38"/>
      <c r="E769" s="10"/>
      <c r="I769" s="10"/>
      <c r="J769" s="10"/>
    </row>
    <row r="770">
      <c r="C770" s="38"/>
      <c r="D770" s="38"/>
      <c r="E770" s="10"/>
      <c r="I770" s="10"/>
      <c r="J770" s="10"/>
    </row>
    <row r="771">
      <c r="C771" s="38"/>
      <c r="D771" s="38"/>
      <c r="E771" s="10"/>
      <c r="I771" s="10"/>
      <c r="J771" s="10"/>
    </row>
    <row r="772">
      <c r="C772" s="38"/>
      <c r="D772" s="38"/>
      <c r="E772" s="10"/>
      <c r="I772" s="10"/>
      <c r="J772" s="10"/>
    </row>
    <row r="773">
      <c r="C773" s="38"/>
      <c r="D773" s="38"/>
      <c r="E773" s="10"/>
      <c r="I773" s="10"/>
      <c r="J773" s="10"/>
    </row>
    <row r="774">
      <c r="C774" s="38"/>
      <c r="D774" s="38"/>
      <c r="E774" s="10"/>
      <c r="I774" s="10"/>
      <c r="J774" s="10"/>
    </row>
    <row r="775">
      <c r="C775" s="38"/>
      <c r="D775" s="38"/>
      <c r="E775" s="10"/>
      <c r="I775" s="10"/>
      <c r="J775" s="10"/>
    </row>
    <row r="776">
      <c r="C776" s="38"/>
      <c r="D776" s="38"/>
      <c r="E776" s="10"/>
      <c r="I776" s="10"/>
      <c r="J776" s="10"/>
    </row>
    <row r="777">
      <c r="C777" s="38"/>
      <c r="D777" s="38"/>
      <c r="E777" s="10"/>
      <c r="I777" s="10"/>
      <c r="J777" s="10"/>
    </row>
    <row r="778">
      <c r="C778" s="38"/>
      <c r="D778" s="38"/>
      <c r="E778" s="10"/>
      <c r="I778" s="10"/>
      <c r="J778" s="10"/>
    </row>
    <row r="779">
      <c r="C779" s="38"/>
      <c r="D779" s="38"/>
      <c r="E779" s="10"/>
      <c r="I779" s="10"/>
      <c r="J779" s="10"/>
    </row>
    <row r="780">
      <c r="C780" s="38"/>
      <c r="D780" s="38"/>
      <c r="E780" s="10"/>
      <c r="I780" s="10"/>
      <c r="J780" s="10"/>
    </row>
    <row r="781">
      <c r="C781" s="38"/>
      <c r="D781" s="38"/>
      <c r="E781" s="10"/>
      <c r="I781" s="10"/>
      <c r="J781" s="10"/>
    </row>
    <row r="782">
      <c r="C782" s="38"/>
      <c r="D782" s="38"/>
      <c r="E782" s="10"/>
      <c r="I782" s="10"/>
      <c r="J782" s="10"/>
    </row>
    <row r="783">
      <c r="C783" s="38"/>
      <c r="D783" s="38"/>
      <c r="E783" s="10"/>
      <c r="I783" s="10"/>
      <c r="J783" s="10"/>
    </row>
    <row r="784">
      <c r="C784" s="38"/>
      <c r="D784" s="38"/>
      <c r="E784" s="10"/>
      <c r="I784" s="10"/>
      <c r="J784" s="10"/>
    </row>
    <row r="785">
      <c r="C785" s="38"/>
      <c r="D785" s="38"/>
      <c r="E785" s="10"/>
      <c r="I785" s="10"/>
      <c r="J785" s="10"/>
    </row>
    <row r="786">
      <c r="C786" s="38"/>
      <c r="D786" s="38"/>
      <c r="E786" s="10"/>
      <c r="I786" s="10"/>
      <c r="J786" s="10"/>
    </row>
    <row r="787">
      <c r="C787" s="38"/>
      <c r="D787" s="38"/>
      <c r="E787" s="10"/>
      <c r="I787" s="10"/>
      <c r="J787" s="10"/>
    </row>
    <row r="788">
      <c r="C788" s="38"/>
      <c r="D788" s="38"/>
      <c r="E788" s="10"/>
      <c r="I788" s="10"/>
      <c r="J788" s="10"/>
    </row>
    <row r="789">
      <c r="C789" s="38"/>
      <c r="D789" s="38"/>
      <c r="E789" s="10"/>
      <c r="I789" s="10"/>
      <c r="J789" s="10"/>
    </row>
    <row r="790">
      <c r="C790" s="38"/>
      <c r="D790" s="38"/>
      <c r="E790" s="10"/>
      <c r="I790" s="10"/>
      <c r="J790" s="10"/>
    </row>
    <row r="791">
      <c r="C791" s="38"/>
      <c r="D791" s="38"/>
      <c r="E791" s="10"/>
      <c r="I791" s="10"/>
      <c r="J791" s="10"/>
    </row>
    <row r="792">
      <c r="C792" s="38"/>
      <c r="D792" s="38"/>
      <c r="E792" s="10"/>
      <c r="I792" s="10"/>
      <c r="J792" s="10"/>
    </row>
    <row r="793">
      <c r="C793" s="38"/>
      <c r="D793" s="38"/>
      <c r="E793" s="10"/>
      <c r="I793" s="10"/>
      <c r="J793" s="10"/>
    </row>
    <row r="794">
      <c r="C794" s="38"/>
      <c r="D794" s="38"/>
      <c r="E794" s="10"/>
      <c r="I794" s="10"/>
      <c r="J794" s="10"/>
    </row>
    <row r="795">
      <c r="C795" s="38"/>
      <c r="D795" s="38"/>
      <c r="E795" s="10"/>
      <c r="I795" s="10"/>
      <c r="J795" s="10"/>
    </row>
    <row r="796">
      <c r="C796" s="38"/>
      <c r="D796" s="38"/>
      <c r="E796" s="10"/>
      <c r="I796" s="10"/>
      <c r="J796" s="10"/>
    </row>
    <row r="797">
      <c r="C797" s="38"/>
      <c r="D797" s="38"/>
      <c r="E797" s="10"/>
      <c r="I797" s="10"/>
      <c r="J797" s="10"/>
    </row>
    <row r="798">
      <c r="C798" s="38"/>
      <c r="D798" s="38"/>
      <c r="E798" s="10"/>
      <c r="I798" s="10"/>
      <c r="J798" s="10"/>
    </row>
    <row r="799">
      <c r="C799" s="38"/>
      <c r="D799" s="38"/>
      <c r="E799" s="10"/>
      <c r="I799" s="10"/>
      <c r="J799" s="10"/>
    </row>
    <row r="800">
      <c r="C800" s="38"/>
      <c r="D800" s="38"/>
      <c r="E800" s="10"/>
      <c r="I800" s="10"/>
      <c r="J800" s="10"/>
    </row>
    <row r="801">
      <c r="C801" s="38"/>
      <c r="D801" s="38"/>
      <c r="E801" s="10"/>
      <c r="I801" s="10"/>
      <c r="J801" s="10"/>
    </row>
    <row r="802">
      <c r="C802" s="38"/>
      <c r="D802" s="38"/>
      <c r="E802" s="10"/>
      <c r="I802" s="10"/>
      <c r="J802" s="10"/>
    </row>
    <row r="803">
      <c r="C803" s="38"/>
      <c r="D803" s="38"/>
      <c r="E803" s="10"/>
      <c r="I803" s="10"/>
      <c r="J803" s="10"/>
    </row>
    <row r="804">
      <c r="C804" s="38"/>
      <c r="D804" s="38"/>
      <c r="E804" s="10"/>
      <c r="I804" s="10"/>
      <c r="J804" s="10"/>
    </row>
    <row r="805">
      <c r="C805" s="38"/>
      <c r="D805" s="38"/>
      <c r="E805" s="10"/>
      <c r="I805" s="10"/>
      <c r="J805" s="10"/>
    </row>
    <row r="806">
      <c r="C806" s="38"/>
      <c r="D806" s="38"/>
      <c r="E806" s="10"/>
      <c r="I806" s="10"/>
      <c r="J806" s="10"/>
    </row>
    <row r="807">
      <c r="C807" s="38"/>
      <c r="D807" s="38"/>
      <c r="E807" s="10"/>
      <c r="I807" s="10"/>
      <c r="J807" s="10"/>
    </row>
    <row r="808">
      <c r="C808" s="38"/>
      <c r="D808" s="38"/>
      <c r="E808" s="10"/>
      <c r="I808" s="10"/>
      <c r="J808" s="10"/>
    </row>
    <row r="809">
      <c r="C809" s="38"/>
      <c r="D809" s="38"/>
      <c r="E809" s="10"/>
      <c r="I809" s="10"/>
      <c r="J809" s="10"/>
    </row>
    <row r="810">
      <c r="C810" s="38"/>
      <c r="D810" s="38"/>
      <c r="E810" s="10"/>
      <c r="I810" s="10"/>
      <c r="J810" s="10"/>
    </row>
    <row r="811">
      <c r="C811" s="38"/>
      <c r="D811" s="38"/>
      <c r="E811" s="10"/>
      <c r="I811" s="10"/>
      <c r="J811" s="10"/>
    </row>
    <row r="812">
      <c r="C812" s="38"/>
      <c r="D812" s="38"/>
      <c r="E812" s="10"/>
      <c r="I812" s="10"/>
      <c r="J812" s="10"/>
    </row>
    <row r="813">
      <c r="C813" s="38"/>
      <c r="D813" s="38"/>
      <c r="E813" s="10"/>
      <c r="I813" s="10"/>
      <c r="J813" s="10"/>
    </row>
    <row r="814">
      <c r="C814" s="38"/>
      <c r="D814" s="38"/>
      <c r="E814" s="10"/>
      <c r="I814" s="10"/>
      <c r="J814" s="10"/>
    </row>
    <row r="815">
      <c r="C815" s="38"/>
      <c r="D815" s="38"/>
      <c r="E815" s="10"/>
      <c r="I815" s="10"/>
      <c r="J815" s="10"/>
    </row>
    <row r="816">
      <c r="C816" s="38"/>
      <c r="D816" s="38"/>
      <c r="E816" s="10"/>
      <c r="I816" s="10"/>
      <c r="J816" s="10"/>
    </row>
    <row r="817">
      <c r="C817" s="38"/>
      <c r="D817" s="38"/>
      <c r="E817" s="10"/>
      <c r="I817" s="10"/>
      <c r="J817" s="10"/>
    </row>
    <row r="818">
      <c r="C818" s="38"/>
      <c r="D818" s="38"/>
      <c r="E818" s="10"/>
      <c r="I818" s="10"/>
      <c r="J818" s="10"/>
    </row>
    <row r="819">
      <c r="C819" s="38"/>
      <c r="D819" s="38"/>
      <c r="E819" s="10"/>
      <c r="I819" s="10"/>
      <c r="J819" s="10"/>
    </row>
    <row r="820">
      <c r="C820" s="38"/>
      <c r="D820" s="38"/>
      <c r="E820" s="10"/>
      <c r="I820" s="10"/>
      <c r="J820" s="10"/>
    </row>
    <row r="821">
      <c r="C821" s="38"/>
      <c r="D821" s="38"/>
      <c r="E821" s="10"/>
      <c r="I821" s="10"/>
      <c r="J821" s="10"/>
    </row>
    <row r="822">
      <c r="C822" s="38"/>
      <c r="D822" s="38"/>
      <c r="E822" s="10"/>
      <c r="I822" s="10"/>
      <c r="J822" s="10"/>
    </row>
    <row r="823">
      <c r="C823" s="38"/>
      <c r="D823" s="38"/>
      <c r="E823" s="10"/>
      <c r="I823" s="10"/>
      <c r="J823" s="10"/>
    </row>
    <row r="824">
      <c r="C824" s="38"/>
      <c r="D824" s="38"/>
      <c r="E824" s="10"/>
      <c r="I824" s="10"/>
      <c r="J824" s="10"/>
    </row>
    <row r="825">
      <c r="C825" s="38"/>
      <c r="D825" s="38"/>
      <c r="E825" s="10"/>
      <c r="I825" s="10"/>
      <c r="J825" s="10"/>
    </row>
    <row r="826">
      <c r="C826" s="38"/>
      <c r="D826" s="38"/>
      <c r="E826" s="10"/>
      <c r="I826" s="10"/>
      <c r="J826" s="10"/>
    </row>
    <row r="827">
      <c r="C827" s="38"/>
      <c r="D827" s="38"/>
      <c r="E827" s="10"/>
      <c r="I827" s="10"/>
      <c r="J827" s="10"/>
    </row>
    <row r="828">
      <c r="C828" s="38"/>
      <c r="D828" s="38"/>
      <c r="E828" s="10"/>
      <c r="I828" s="10"/>
      <c r="J828" s="10"/>
    </row>
    <row r="829">
      <c r="C829" s="38"/>
      <c r="D829" s="38"/>
      <c r="E829" s="10"/>
      <c r="I829" s="10"/>
      <c r="J829" s="10"/>
    </row>
    <row r="830">
      <c r="C830" s="38"/>
      <c r="D830" s="38"/>
      <c r="E830" s="10"/>
      <c r="I830" s="10"/>
      <c r="J830" s="10"/>
    </row>
    <row r="831">
      <c r="C831" s="38"/>
      <c r="D831" s="38"/>
      <c r="E831" s="10"/>
      <c r="I831" s="10"/>
      <c r="J831" s="10"/>
    </row>
    <row r="832">
      <c r="C832" s="38"/>
      <c r="D832" s="38"/>
      <c r="E832" s="10"/>
      <c r="I832" s="10"/>
      <c r="J832" s="10"/>
    </row>
    <row r="833">
      <c r="C833" s="38"/>
      <c r="D833" s="38"/>
      <c r="E833" s="10"/>
      <c r="I833" s="10"/>
      <c r="J833" s="10"/>
    </row>
    <row r="834">
      <c r="C834" s="38"/>
      <c r="D834" s="38"/>
      <c r="E834" s="10"/>
      <c r="I834" s="10"/>
      <c r="J834" s="10"/>
    </row>
    <row r="835">
      <c r="C835" s="38"/>
      <c r="D835" s="38"/>
      <c r="E835" s="10"/>
      <c r="I835" s="10"/>
      <c r="J835" s="10"/>
    </row>
    <row r="836">
      <c r="C836" s="38"/>
      <c r="D836" s="38"/>
      <c r="E836" s="10"/>
      <c r="I836" s="10"/>
      <c r="J836" s="10"/>
    </row>
    <row r="837">
      <c r="C837" s="38"/>
      <c r="D837" s="38"/>
      <c r="E837" s="10"/>
      <c r="I837" s="10"/>
      <c r="J837" s="10"/>
    </row>
    <row r="838">
      <c r="C838" s="38"/>
      <c r="D838" s="38"/>
      <c r="E838" s="10"/>
      <c r="I838" s="10"/>
      <c r="J838" s="10"/>
    </row>
    <row r="839">
      <c r="C839" s="38"/>
      <c r="D839" s="38"/>
      <c r="E839" s="10"/>
      <c r="I839" s="10"/>
      <c r="J839" s="10"/>
    </row>
    <row r="840">
      <c r="C840" s="38"/>
      <c r="D840" s="38"/>
      <c r="E840" s="10"/>
      <c r="I840" s="10"/>
      <c r="J840" s="10"/>
    </row>
    <row r="841">
      <c r="C841" s="38"/>
      <c r="D841" s="38"/>
      <c r="E841" s="10"/>
      <c r="I841" s="10"/>
      <c r="J841" s="10"/>
    </row>
    <row r="842">
      <c r="C842" s="38"/>
      <c r="D842" s="38"/>
      <c r="E842" s="10"/>
      <c r="I842" s="10"/>
      <c r="J842" s="10"/>
    </row>
    <row r="843">
      <c r="C843" s="38"/>
      <c r="D843" s="38"/>
      <c r="E843" s="10"/>
      <c r="I843" s="10"/>
      <c r="J843" s="10"/>
    </row>
    <row r="844">
      <c r="C844" s="38"/>
      <c r="D844" s="38"/>
      <c r="E844" s="10"/>
      <c r="I844" s="10"/>
      <c r="J844" s="10"/>
    </row>
    <row r="845">
      <c r="C845" s="38"/>
      <c r="D845" s="38"/>
      <c r="E845" s="10"/>
      <c r="I845" s="10"/>
      <c r="J845" s="10"/>
    </row>
    <row r="846">
      <c r="C846" s="38"/>
      <c r="D846" s="38"/>
      <c r="E846" s="10"/>
      <c r="I846" s="10"/>
      <c r="J846" s="10"/>
    </row>
    <row r="847">
      <c r="C847" s="38"/>
      <c r="D847" s="38"/>
      <c r="E847" s="10"/>
      <c r="I847" s="10"/>
      <c r="J847" s="10"/>
    </row>
    <row r="848">
      <c r="C848" s="38"/>
      <c r="D848" s="38"/>
      <c r="E848" s="10"/>
      <c r="I848" s="10"/>
      <c r="J848" s="10"/>
    </row>
    <row r="849">
      <c r="C849" s="38"/>
      <c r="D849" s="38"/>
      <c r="E849" s="10"/>
      <c r="I849" s="10"/>
      <c r="J849" s="10"/>
    </row>
    <row r="850">
      <c r="C850" s="38"/>
      <c r="D850" s="38"/>
      <c r="E850" s="10"/>
      <c r="I850" s="10"/>
      <c r="J850" s="10"/>
    </row>
    <row r="851">
      <c r="C851" s="38"/>
      <c r="D851" s="38"/>
      <c r="E851" s="10"/>
      <c r="I851" s="10"/>
      <c r="J851" s="10"/>
    </row>
    <row r="852">
      <c r="C852" s="38"/>
      <c r="D852" s="38"/>
      <c r="E852" s="10"/>
      <c r="I852" s="10"/>
      <c r="J852" s="10"/>
    </row>
    <row r="853">
      <c r="C853" s="38"/>
      <c r="D853" s="38"/>
      <c r="E853" s="10"/>
      <c r="I853" s="10"/>
      <c r="J853" s="10"/>
    </row>
    <row r="854">
      <c r="C854" s="38"/>
      <c r="D854" s="38"/>
      <c r="E854" s="10"/>
      <c r="I854" s="10"/>
      <c r="J854" s="10"/>
    </row>
    <row r="855">
      <c r="C855" s="38"/>
      <c r="D855" s="38"/>
      <c r="E855" s="10"/>
      <c r="I855" s="10"/>
      <c r="J855" s="10"/>
    </row>
    <row r="856">
      <c r="C856" s="38"/>
      <c r="D856" s="38"/>
      <c r="E856" s="10"/>
      <c r="I856" s="10"/>
      <c r="J856" s="10"/>
    </row>
    <row r="857">
      <c r="C857" s="38"/>
      <c r="D857" s="38"/>
      <c r="E857" s="10"/>
      <c r="I857" s="10"/>
      <c r="J857" s="10"/>
    </row>
    <row r="858">
      <c r="C858" s="38"/>
      <c r="D858" s="38"/>
      <c r="E858" s="10"/>
      <c r="I858" s="10"/>
      <c r="J858" s="10"/>
    </row>
    <row r="859">
      <c r="C859" s="38"/>
      <c r="D859" s="38"/>
      <c r="E859" s="10"/>
      <c r="I859" s="10"/>
      <c r="J859" s="10"/>
    </row>
    <row r="860">
      <c r="C860" s="38"/>
      <c r="D860" s="38"/>
      <c r="E860" s="10"/>
      <c r="I860" s="10"/>
      <c r="J860" s="10"/>
    </row>
    <row r="861">
      <c r="C861" s="38"/>
      <c r="D861" s="38"/>
      <c r="E861" s="10"/>
      <c r="I861" s="10"/>
      <c r="J861" s="10"/>
    </row>
    <row r="862">
      <c r="C862" s="38"/>
      <c r="D862" s="38"/>
      <c r="E862" s="10"/>
      <c r="I862" s="10"/>
      <c r="J862" s="10"/>
    </row>
    <row r="863">
      <c r="C863" s="38"/>
      <c r="D863" s="38"/>
      <c r="E863" s="10"/>
      <c r="I863" s="10"/>
      <c r="J863" s="10"/>
    </row>
    <row r="864">
      <c r="C864" s="38"/>
      <c r="D864" s="38"/>
      <c r="E864" s="10"/>
      <c r="I864" s="10"/>
      <c r="J864" s="10"/>
    </row>
    <row r="865">
      <c r="C865" s="38"/>
      <c r="D865" s="38"/>
      <c r="E865" s="10"/>
      <c r="I865" s="10"/>
      <c r="J865" s="10"/>
    </row>
    <row r="866">
      <c r="C866" s="38"/>
      <c r="D866" s="38"/>
      <c r="E866" s="10"/>
      <c r="I866" s="10"/>
      <c r="J866" s="10"/>
    </row>
    <row r="867">
      <c r="C867" s="38"/>
      <c r="D867" s="38"/>
      <c r="E867" s="10"/>
      <c r="I867" s="10"/>
      <c r="J867" s="10"/>
    </row>
    <row r="868">
      <c r="C868" s="38"/>
      <c r="D868" s="38"/>
      <c r="E868" s="10"/>
      <c r="I868" s="10"/>
      <c r="J868" s="10"/>
    </row>
    <row r="869">
      <c r="C869" s="38"/>
      <c r="D869" s="38"/>
      <c r="E869" s="10"/>
      <c r="I869" s="10"/>
      <c r="J869" s="10"/>
    </row>
    <row r="870">
      <c r="C870" s="38"/>
      <c r="D870" s="38"/>
      <c r="E870" s="10"/>
      <c r="I870" s="10"/>
      <c r="J870" s="10"/>
    </row>
    <row r="871">
      <c r="C871" s="38"/>
      <c r="D871" s="38"/>
      <c r="E871" s="10"/>
      <c r="I871" s="10"/>
      <c r="J871" s="10"/>
    </row>
    <row r="872">
      <c r="C872" s="38"/>
      <c r="D872" s="38"/>
      <c r="E872" s="10"/>
      <c r="I872" s="10"/>
      <c r="J872" s="10"/>
    </row>
    <row r="873">
      <c r="C873" s="38"/>
      <c r="D873" s="38"/>
      <c r="E873" s="10"/>
      <c r="I873" s="10"/>
      <c r="J873" s="10"/>
    </row>
    <row r="874">
      <c r="C874" s="38"/>
      <c r="D874" s="38"/>
      <c r="E874" s="10"/>
      <c r="I874" s="10"/>
      <c r="J874" s="10"/>
    </row>
    <row r="875">
      <c r="C875" s="38"/>
      <c r="D875" s="38"/>
      <c r="E875" s="10"/>
      <c r="I875" s="10"/>
      <c r="J875" s="10"/>
    </row>
    <row r="876">
      <c r="C876" s="38"/>
      <c r="D876" s="38"/>
      <c r="E876" s="10"/>
      <c r="I876" s="10"/>
      <c r="J876" s="10"/>
    </row>
    <row r="877">
      <c r="C877" s="38"/>
      <c r="D877" s="38"/>
      <c r="E877" s="10"/>
      <c r="I877" s="10"/>
      <c r="J877" s="10"/>
    </row>
    <row r="878">
      <c r="C878" s="38"/>
      <c r="D878" s="38"/>
      <c r="E878" s="10"/>
      <c r="I878" s="10"/>
      <c r="J878" s="10"/>
    </row>
    <row r="879">
      <c r="C879" s="38"/>
      <c r="D879" s="38"/>
      <c r="E879" s="10"/>
      <c r="I879" s="10"/>
      <c r="J879" s="10"/>
    </row>
    <row r="880">
      <c r="C880" s="38"/>
      <c r="D880" s="38"/>
      <c r="E880" s="10"/>
      <c r="I880" s="10"/>
      <c r="J880" s="10"/>
    </row>
    <row r="881">
      <c r="C881" s="38"/>
      <c r="D881" s="38"/>
      <c r="E881" s="10"/>
      <c r="I881" s="10"/>
      <c r="J881" s="10"/>
    </row>
    <row r="882">
      <c r="C882" s="38"/>
      <c r="D882" s="38"/>
      <c r="E882" s="10"/>
      <c r="I882" s="10"/>
      <c r="J882" s="10"/>
    </row>
    <row r="883">
      <c r="C883" s="38"/>
      <c r="D883" s="38"/>
      <c r="E883" s="10"/>
      <c r="I883" s="10"/>
      <c r="J883" s="10"/>
    </row>
    <row r="884">
      <c r="C884" s="38"/>
      <c r="D884" s="38"/>
      <c r="E884" s="10"/>
      <c r="I884" s="10"/>
      <c r="J884" s="10"/>
    </row>
    <row r="885">
      <c r="C885" s="38"/>
      <c r="D885" s="38"/>
      <c r="E885" s="10"/>
      <c r="I885" s="10"/>
      <c r="J885" s="10"/>
    </row>
    <row r="886">
      <c r="C886" s="38"/>
      <c r="D886" s="38"/>
      <c r="E886" s="10"/>
      <c r="I886" s="10"/>
      <c r="J886" s="10"/>
    </row>
    <row r="887">
      <c r="C887" s="38"/>
      <c r="D887" s="38"/>
      <c r="E887" s="10"/>
      <c r="I887" s="10"/>
      <c r="J887" s="10"/>
    </row>
    <row r="888">
      <c r="C888" s="38"/>
      <c r="D888" s="38"/>
      <c r="E888" s="10"/>
      <c r="I888" s="10"/>
      <c r="J888" s="10"/>
    </row>
    <row r="889">
      <c r="C889" s="38"/>
      <c r="D889" s="38"/>
      <c r="E889" s="10"/>
      <c r="I889" s="10"/>
      <c r="J889" s="10"/>
    </row>
    <row r="890">
      <c r="C890" s="38"/>
      <c r="D890" s="38"/>
      <c r="E890" s="10"/>
      <c r="I890" s="10"/>
      <c r="J890" s="10"/>
    </row>
    <row r="891">
      <c r="C891" s="38"/>
      <c r="D891" s="38"/>
      <c r="E891" s="10"/>
      <c r="I891" s="10"/>
      <c r="J891" s="10"/>
    </row>
    <row r="892">
      <c r="C892" s="38"/>
      <c r="D892" s="38"/>
      <c r="E892" s="10"/>
      <c r="I892" s="10"/>
      <c r="J892" s="10"/>
    </row>
    <row r="893">
      <c r="C893" s="38"/>
      <c r="D893" s="38"/>
      <c r="E893" s="10"/>
      <c r="I893" s="10"/>
      <c r="J893" s="10"/>
    </row>
    <row r="894">
      <c r="C894" s="38"/>
      <c r="D894" s="38"/>
      <c r="E894" s="10"/>
      <c r="I894" s="10"/>
      <c r="J894" s="10"/>
    </row>
    <row r="895">
      <c r="C895" s="38"/>
      <c r="D895" s="38"/>
      <c r="E895" s="10"/>
      <c r="I895" s="10"/>
      <c r="J895" s="10"/>
    </row>
    <row r="896">
      <c r="C896" s="38"/>
      <c r="D896" s="38"/>
      <c r="E896" s="10"/>
      <c r="I896" s="10"/>
      <c r="J896" s="10"/>
    </row>
    <row r="897">
      <c r="C897" s="38"/>
      <c r="D897" s="38"/>
      <c r="E897" s="10"/>
      <c r="I897" s="10"/>
      <c r="J897" s="10"/>
    </row>
    <row r="898">
      <c r="C898" s="38"/>
      <c r="D898" s="38"/>
      <c r="E898" s="10"/>
      <c r="I898" s="10"/>
      <c r="J898" s="10"/>
    </row>
    <row r="899">
      <c r="C899" s="38"/>
      <c r="D899" s="38"/>
      <c r="E899" s="10"/>
      <c r="I899" s="10"/>
      <c r="J899" s="10"/>
    </row>
    <row r="900">
      <c r="C900" s="38"/>
      <c r="D900" s="38"/>
      <c r="E900" s="10"/>
      <c r="I900" s="10"/>
      <c r="J900" s="10"/>
    </row>
    <row r="901">
      <c r="C901" s="38"/>
      <c r="D901" s="38"/>
      <c r="E901" s="10"/>
      <c r="I901" s="10"/>
      <c r="J901" s="10"/>
    </row>
    <row r="902">
      <c r="C902" s="38"/>
      <c r="D902" s="38"/>
      <c r="E902" s="10"/>
      <c r="I902" s="10"/>
      <c r="J902" s="10"/>
    </row>
    <row r="903">
      <c r="C903" s="38"/>
      <c r="D903" s="38"/>
      <c r="E903" s="10"/>
      <c r="I903" s="10"/>
      <c r="J903" s="10"/>
    </row>
    <row r="904">
      <c r="C904" s="38"/>
      <c r="D904" s="38"/>
      <c r="E904" s="10"/>
      <c r="I904" s="10"/>
      <c r="J904" s="10"/>
    </row>
    <row r="905">
      <c r="C905" s="38"/>
      <c r="D905" s="38"/>
      <c r="E905" s="10"/>
      <c r="I905" s="10"/>
      <c r="J905" s="10"/>
    </row>
    <row r="906">
      <c r="C906" s="38"/>
      <c r="D906" s="38"/>
      <c r="E906" s="10"/>
      <c r="I906" s="10"/>
      <c r="J906" s="10"/>
    </row>
    <row r="907">
      <c r="C907" s="38"/>
      <c r="D907" s="38"/>
      <c r="E907" s="10"/>
      <c r="I907" s="10"/>
      <c r="J907" s="10"/>
    </row>
    <row r="908">
      <c r="C908" s="38"/>
      <c r="D908" s="38"/>
      <c r="E908" s="10"/>
      <c r="I908" s="10"/>
      <c r="J908" s="10"/>
    </row>
    <row r="909">
      <c r="C909" s="38"/>
      <c r="D909" s="38"/>
      <c r="E909" s="10"/>
      <c r="I909" s="10"/>
      <c r="J909" s="10"/>
    </row>
    <row r="910">
      <c r="C910" s="38"/>
      <c r="D910" s="38"/>
      <c r="E910" s="10"/>
      <c r="I910" s="10"/>
      <c r="J910" s="10"/>
    </row>
    <row r="911">
      <c r="C911" s="38"/>
      <c r="D911" s="38"/>
      <c r="E911" s="10"/>
      <c r="I911" s="10"/>
      <c r="J911" s="10"/>
    </row>
    <row r="912">
      <c r="C912" s="38"/>
      <c r="D912" s="38"/>
      <c r="E912" s="10"/>
      <c r="I912" s="10"/>
      <c r="J912" s="10"/>
    </row>
    <row r="913">
      <c r="C913" s="38"/>
      <c r="D913" s="38"/>
      <c r="E913" s="10"/>
      <c r="I913" s="10"/>
      <c r="J913" s="10"/>
    </row>
    <row r="914">
      <c r="C914" s="38"/>
      <c r="D914" s="38"/>
      <c r="E914" s="10"/>
      <c r="I914" s="10"/>
      <c r="J914" s="10"/>
    </row>
    <row r="915">
      <c r="C915" s="38"/>
      <c r="D915" s="38"/>
      <c r="E915" s="10"/>
      <c r="I915" s="10"/>
      <c r="J915" s="10"/>
    </row>
    <row r="916">
      <c r="C916" s="38"/>
      <c r="D916" s="38"/>
      <c r="E916" s="10"/>
      <c r="I916" s="10"/>
      <c r="J916" s="10"/>
    </row>
    <row r="917">
      <c r="C917" s="38"/>
      <c r="D917" s="38"/>
      <c r="E917" s="10"/>
      <c r="I917" s="10"/>
      <c r="J917" s="10"/>
    </row>
    <row r="918">
      <c r="C918" s="38"/>
      <c r="D918" s="38"/>
      <c r="E918" s="10"/>
      <c r="I918" s="10"/>
      <c r="J918" s="10"/>
    </row>
    <row r="919">
      <c r="C919" s="38"/>
      <c r="D919" s="38"/>
      <c r="E919" s="10"/>
      <c r="I919" s="10"/>
      <c r="J919" s="10"/>
    </row>
    <row r="920">
      <c r="C920" s="38"/>
      <c r="D920" s="38"/>
      <c r="E920" s="10"/>
      <c r="I920" s="10"/>
      <c r="J920" s="10"/>
    </row>
    <row r="921">
      <c r="C921" s="38"/>
      <c r="D921" s="38"/>
      <c r="E921" s="10"/>
      <c r="I921" s="10"/>
      <c r="J921" s="10"/>
    </row>
    <row r="922">
      <c r="C922" s="38"/>
      <c r="D922" s="38"/>
      <c r="E922" s="10"/>
      <c r="I922" s="10"/>
      <c r="J922" s="10"/>
    </row>
    <row r="923">
      <c r="C923" s="38"/>
      <c r="D923" s="38"/>
      <c r="E923" s="10"/>
      <c r="I923" s="10"/>
      <c r="J923" s="10"/>
    </row>
    <row r="924">
      <c r="C924" s="38"/>
      <c r="D924" s="38"/>
      <c r="E924" s="10"/>
      <c r="I924" s="10"/>
      <c r="J924" s="10"/>
    </row>
    <row r="925">
      <c r="C925" s="38"/>
      <c r="D925" s="38"/>
      <c r="E925" s="10"/>
      <c r="I925" s="10"/>
      <c r="J925" s="10"/>
    </row>
    <row r="926">
      <c r="C926" s="38"/>
      <c r="D926" s="38"/>
      <c r="E926" s="10"/>
      <c r="I926" s="10"/>
      <c r="J926" s="10"/>
    </row>
    <row r="927">
      <c r="C927" s="38"/>
      <c r="D927" s="38"/>
      <c r="E927" s="10"/>
      <c r="I927" s="10"/>
      <c r="J927" s="10"/>
    </row>
    <row r="928">
      <c r="C928" s="38"/>
      <c r="D928" s="38"/>
      <c r="E928" s="10"/>
      <c r="I928" s="10"/>
      <c r="J928" s="10"/>
    </row>
    <row r="929">
      <c r="C929" s="38"/>
      <c r="D929" s="38"/>
      <c r="E929" s="10"/>
      <c r="I929" s="10"/>
      <c r="J929" s="10"/>
    </row>
    <row r="930">
      <c r="C930" s="38"/>
      <c r="D930" s="38"/>
      <c r="E930" s="10"/>
      <c r="I930" s="10"/>
      <c r="J930" s="10"/>
    </row>
    <row r="931">
      <c r="C931" s="38"/>
      <c r="D931" s="38"/>
      <c r="E931" s="10"/>
      <c r="I931" s="10"/>
      <c r="J931" s="10"/>
    </row>
    <row r="932">
      <c r="C932" s="38"/>
      <c r="D932" s="38"/>
      <c r="E932" s="10"/>
      <c r="I932" s="10"/>
      <c r="J932" s="10"/>
    </row>
    <row r="933">
      <c r="C933" s="38"/>
      <c r="D933" s="38"/>
      <c r="E933" s="10"/>
      <c r="I933" s="10"/>
      <c r="J933" s="10"/>
    </row>
    <row r="934">
      <c r="C934" s="38"/>
      <c r="D934" s="38"/>
      <c r="E934" s="10"/>
      <c r="I934" s="10"/>
      <c r="J934" s="10"/>
    </row>
    <row r="935">
      <c r="C935" s="38"/>
      <c r="D935" s="38"/>
      <c r="E935" s="10"/>
      <c r="I935" s="10"/>
      <c r="J935" s="10"/>
    </row>
    <row r="936">
      <c r="C936" s="38"/>
      <c r="D936" s="38"/>
      <c r="E936" s="10"/>
      <c r="I936" s="10"/>
      <c r="J936" s="10"/>
    </row>
    <row r="937">
      <c r="C937" s="38"/>
      <c r="D937" s="38"/>
      <c r="E937" s="10"/>
      <c r="I937" s="10"/>
      <c r="J937" s="10"/>
    </row>
    <row r="938">
      <c r="C938" s="38"/>
      <c r="D938" s="38"/>
      <c r="E938" s="10"/>
      <c r="I938" s="10"/>
      <c r="J938" s="10"/>
    </row>
    <row r="939">
      <c r="C939" s="38"/>
      <c r="D939" s="38"/>
      <c r="E939" s="10"/>
      <c r="I939" s="10"/>
      <c r="J939" s="10"/>
    </row>
    <row r="940">
      <c r="C940" s="38"/>
      <c r="D940" s="38"/>
      <c r="E940" s="10"/>
      <c r="I940" s="10"/>
      <c r="J940" s="10"/>
    </row>
    <row r="941">
      <c r="C941" s="38"/>
      <c r="D941" s="38"/>
      <c r="E941" s="10"/>
      <c r="I941" s="10"/>
      <c r="J941" s="10"/>
    </row>
    <row r="942">
      <c r="C942" s="38"/>
      <c r="D942" s="38"/>
      <c r="E942" s="10"/>
      <c r="I942" s="10"/>
      <c r="J942" s="10"/>
    </row>
    <row r="943">
      <c r="C943" s="38"/>
      <c r="D943" s="38"/>
      <c r="E943" s="10"/>
      <c r="I943" s="10"/>
      <c r="J943" s="10"/>
    </row>
    <row r="944">
      <c r="C944" s="38"/>
      <c r="D944" s="38"/>
      <c r="E944" s="10"/>
      <c r="I944" s="10"/>
      <c r="J944" s="10"/>
    </row>
    <row r="945">
      <c r="C945" s="38"/>
      <c r="D945" s="38"/>
      <c r="E945" s="10"/>
      <c r="I945" s="10"/>
      <c r="J945" s="10"/>
    </row>
    <row r="946">
      <c r="C946" s="38"/>
      <c r="D946" s="38"/>
      <c r="E946" s="10"/>
      <c r="I946" s="10"/>
      <c r="J946" s="10"/>
    </row>
    <row r="947">
      <c r="C947" s="38"/>
      <c r="D947" s="38"/>
      <c r="E947" s="10"/>
      <c r="I947" s="10"/>
      <c r="J947" s="10"/>
    </row>
    <row r="948">
      <c r="C948" s="38"/>
      <c r="D948" s="38"/>
      <c r="E948" s="10"/>
      <c r="I948" s="10"/>
      <c r="J948" s="10"/>
    </row>
    <row r="949">
      <c r="C949" s="38"/>
      <c r="D949" s="38"/>
      <c r="E949" s="10"/>
      <c r="I949" s="10"/>
      <c r="J949" s="10"/>
    </row>
    <row r="950">
      <c r="C950" s="38"/>
      <c r="D950" s="38"/>
      <c r="E950" s="10"/>
      <c r="I950" s="10"/>
      <c r="J950" s="10"/>
    </row>
    <row r="951">
      <c r="C951" s="38"/>
      <c r="D951" s="38"/>
      <c r="E951" s="10"/>
      <c r="I951" s="10"/>
      <c r="J951" s="10"/>
    </row>
    <row r="952">
      <c r="C952" s="38"/>
      <c r="D952" s="38"/>
      <c r="E952" s="10"/>
      <c r="I952" s="10"/>
      <c r="J952" s="10"/>
    </row>
    <row r="953">
      <c r="C953" s="38"/>
      <c r="D953" s="38"/>
      <c r="E953" s="10"/>
      <c r="I953" s="10"/>
      <c r="J953" s="10"/>
    </row>
    <row r="954">
      <c r="C954" s="38"/>
      <c r="D954" s="38"/>
      <c r="E954" s="10"/>
      <c r="I954" s="10"/>
      <c r="J954" s="10"/>
    </row>
    <row r="955">
      <c r="C955" s="38"/>
      <c r="D955" s="38"/>
      <c r="E955" s="10"/>
      <c r="I955" s="10"/>
      <c r="J955" s="10"/>
    </row>
    <row r="956">
      <c r="C956" s="38"/>
      <c r="D956" s="38"/>
      <c r="E956" s="10"/>
      <c r="I956" s="10"/>
      <c r="J956" s="10"/>
    </row>
    <row r="957">
      <c r="C957" s="38"/>
      <c r="D957" s="38"/>
      <c r="E957" s="10"/>
      <c r="I957" s="10"/>
      <c r="J957" s="10"/>
    </row>
    <row r="958">
      <c r="C958" s="38"/>
      <c r="D958" s="38"/>
      <c r="E958" s="10"/>
      <c r="I958" s="10"/>
      <c r="J958" s="10"/>
    </row>
    <row r="959">
      <c r="C959" s="38"/>
      <c r="D959" s="38"/>
      <c r="E959" s="10"/>
      <c r="I959" s="10"/>
      <c r="J959" s="10"/>
    </row>
    <row r="960">
      <c r="C960" s="38"/>
      <c r="D960" s="38"/>
      <c r="E960" s="10"/>
      <c r="I960" s="10"/>
      <c r="J960" s="10"/>
    </row>
    <row r="961">
      <c r="C961" s="38"/>
      <c r="D961" s="38"/>
      <c r="E961" s="10"/>
      <c r="I961" s="10"/>
      <c r="J961" s="10"/>
    </row>
    <row r="962">
      <c r="C962" s="38"/>
      <c r="D962" s="38"/>
      <c r="E962" s="10"/>
      <c r="I962" s="10"/>
      <c r="J962" s="10"/>
    </row>
    <row r="963">
      <c r="C963" s="38"/>
      <c r="D963" s="38"/>
      <c r="E963" s="10"/>
      <c r="I963" s="10"/>
      <c r="J963" s="10"/>
    </row>
    <row r="964">
      <c r="C964" s="38"/>
      <c r="D964" s="38"/>
      <c r="E964" s="10"/>
      <c r="I964" s="10"/>
      <c r="J964" s="10"/>
    </row>
    <row r="965">
      <c r="C965" s="38"/>
      <c r="D965" s="38"/>
      <c r="E965" s="10"/>
      <c r="I965" s="10"/>
      <c r="J965" s="10"/>
    </row>
    <row r="966">
      <c r="C966" s="38"/>
      <c r="D966" s="38"/>
      <c r="E966" s="10"/>
      <c r="I966" s="10"/>
      <c r="J966" s="10"/>
    </row>
    <row r="967">
      <c r="C967" s="38"/>
      <c r="D967" s="38"/>
      <c r="E967" s="10"/>
      <c r="I967" s="10"/>
      <c r="J967" s="10"/>
    </row>
    <row r="968">
      <c r="C968" s="38"/>
      <c r="D968" s="38"/>
      <c r="E968" s="10"/>
      <c r="I968" s="10"/>
      <c r="J968" s="10"/>
    </row>
    <row r="969">
      <c r="C969" s="38"/>
      <c r="D969" s="38"/>
      <c r="E969" s="10"/>
      <c r="I969" s="10"/>
      <c r="J969" s="10"/>
    </row>
    <row r="970">
      <c r="C970" s="38"/>
      <c r="D970" s="38"/>
      <c r="E970" s="10"/>
      <c r="I970" s="10"/>
      <c r="J970" s="10"/>
    </row>
    <row r="971">
      <c r="C971" s="38"/>
      <c r="D971" s="38"/>
      <c r="E971" s="10"/>
      <c r="I971" s="10"/>
      <c r="J971" s="10"/>
    </row>
    <row r="972">
      <c r="C972" s="38"/>
      <c r="D972" s="38"/>
      <c r="E972" s="10"/>
      <c r="I972" s="10"/>
      <c r="J972" s="10"/>
    </row>
    <row r="973">
      <c r="C973" s="38"/>
      <c r="D973" s="38"/>
      <c r="E973" s="10"/>
      <c r="I973" s="10"/>
      <c r="J973" s="10"/>
    </row>
    <row r="974">
      <c r="C974" s="38"/>
      <c r="D974" s="38"/>
      <c r="E974" s="10"/>
      <c r="I974" s="10"/>
      <c r="J974" s="10"/>
    </row>
    <row r="975">
      <c r="C975" s="38"/>
      <c r="D975" s="38"/>
      <c r="E975" s="10"/>
      <c r="I975" s="10"/>
      <c r="J975" s="10"/>
    </row>
    <row r="976">
      <c r="C976" s="38"/>
      <c r="D976" s="38"/>
      <c r="E976" s="10"/>
      <c r="I976" s="10"/>
      <c r="J976" s="10"/>
    </row>
    <row r="977">
      <c r="C977" s="38"/>
      <c r="D977" s="38"/>
      <c r="E977" s="10"/>
      <c r="I977" s="10"/>
      <c r="J977" s="10"/>
    </row>
    <row r="978">
      <c r="C978" s="38"/>
      <c r="D978" s="38"/>
      <c r="E978" s="10"/>
      <c r="I978" s="10"/>
      <c r="J978" s="10"/>
    </row>
    <row r="979">
      <c r="C979" s="38"/>
      <c r="D979" s="38"/>
      <c r="E979" s="10"/>
      <c r="I979" s="10"/>
      <c r="J979" s="10"/>
    </row>
    <row r="980">
      <c r="C980" s="38"/>
      <c r="D980" s="38"/>
      <c r="E980" s="10"/>
      <c r="I980" s="10"/>
      <c r="J980" s="10"/>
    </row>
    <row r="981">
      <c r="C981" s="38"/>
      <c r="D981" s="38"/>
      <c r="E981" s="10"/>
      <c r="I981" s="10"/>
      <c r="J981" s="10"/>
    </row>
    <row r="982">
      <c r="C982" s="38"/>
      <c r="D982" s="38"/>
      <c r="E982" s="10"/>
      <c r="I982" s="10"/>
      <c r="J982" s="10"/>
    </row>
    <row r="983">
      <c r="C983" s="38"/>
      <c r="D983" s="38"/>
      <c r="E983" s="10"/>
      <c r="I983" s="10"/>
      <c r="J983" s="10"/>
    </row>
    <row r="984">
      <c r="C984" s="38"/>
      <c r="D984" s="38"/>
      <c r="E984" s="10"/>
      <c r="I984" s="10"/>
      <c r="J984" s="10"/>
    </row>
    <row r="985">
      <c r="C985" s="38"/>
      <c r="D985" s="38"/>
      <c r="E985" s="10"/>
      <c r="I985" s="10"/>
      <c r="J985" s="10"/>
    </row>
    <row r="986">
      <c r="C986" s="38"/>
      <c r="D986" s="38"/>
      <c r="E986" s="10"/>
      <c r="I986" s="10"/>
      <c r="J986" s="10"/>
    </row>
    <row r="987">
      <c r="C987" s="38"/>
      <c r="D987" s="38"/>
      <c r="E987" s="10"/>
      <c r="I987" s="10"/>
      <c r="J987" s="10"/>
    </row>
    <row r="988">
      <c r="C988" s="38"/>
      <c r="D988" s="38"/>
      <c r="E988" s="10"/>
      <c r="I988" s="10"/>
      <c r="J988" s="10"/>
    </row>
    <row r="989">
      <c r="C989" s="38"/>
      <c r="D989" s="38"/>
      <c r="E989" s="10"/>
      <c r="I989" s="10"/>
      <c r="J989" s="10"/>
    </row>
    <row r="990">
      <c r="C990" s="38"/>
      <c r="D990" s="38"/>
      <c r="E990" s="10"/>
      <c r="I990" s="10"/>
      <c r="J990" s="10"/>
    </row>
    <row r="991">
      <c r="C991" s="38"/>
      <c r="D991" s="38"/>
      <c r="E991" s="10"/>
      <c r="I991" s="10"/>
      <c r="J991" s="10"/>
    </row>
    <row r="992">
      <c r="C992" s="38"/>
      <c r="D992" s="38"/>
      <c r="E992" s="10"/>
      <c r="I992" s="10"/>
      <c r="J992" s="10"/>
    </row>
    <row r="993">
      <c r="C993" s="38"/>
      <c r="D993" s="38"/>
      <c r="E993" s="10"/>
      <c r="I993" s="10"/>
      <c r="J993" s="10"/>
    </row>
    <row r="994">
      <c r="C994" s="38"/>
      <c r="D994" s="38"/>
      <c r="E994" s="10"/>
      <c r="I994" s="10"/>
      <c r="J994" s="10"/>
    </row>
    <row r="995">
      <c r="C995" s="38"/>
      <c r="D995" s="38"/>
      <c r="E995" s="10"/>
      <c r="I995" s="10"/>
      <c r="J995" s="10"/>
    </row>
    <row r="996">
      <c r="C996" s="38"/>
      <c r="D996" s="38"/>
      <c r="E996" s="10"/>
      <c r="I996" s="10"/>
      <c r="J996" s="10"/>
    </row>
    <row r="997">
      <c r="C997" s="38"/>
      <c r="D997" s="38"/>
      <c r="E997" s="10"/>
      <c r="I997" s="10"/>
      <c r="J997" s="10"/>
    </row>
  </sheetData>
  <dataValidations>
    <dataValidation type="custom" allowBlank="1" showDropDown="1" showErrorMessage="1" sqref="E2:E7 E10:E15 E17 E19:E21 E24:E25 E29:E30 E35:E38 E40:E44 E46:E47 E50:E53 E55 E57:E59 E63 E65 E69:E74 E76 E82 E87 E89 E91 E93 E95 E99:E101 E104:E106 E109:E110 E112:E113 E123">
      <formula1>OR(NOT(ISERROR(DATEVALUE(E2))), AND(ISNUMBER(E2), LEFT(CELL("format", E2))="D"))</formula1>
    </dataValidation>
    <dataValidation type="decimal" allowBlank="1" showDropDown="1" showErrorMessage="1" sqref="F2:F6 F10:F15 F17 F19:F21 F24:F25 F29:F30 F35:F38 F40:F44 F46:F47 F50:F53 F57:F59 F63 F65 F69:F74 F76 F82 F87 F89 F91 F93 F95 F99:F101 F104:F106 F109:F110 F112:F113 F123">
      <formula1>1.0</formula1>
      <formula2>15.0</formula2>
    </dataValidation>
  </dataValidations>
  <hyperlinks>
    <hyperlink r:id="rId1" ref="H2"/>
    <hyperlink r:id="rId2" ref="K2"/>
    <hyperlink r:id="rId3" ref="H3"/>
    <hyperlink r:id="rId4" ref="H4"/>
    <hyperlink r:id="rId5" ref="K4"/>
    <hyperlink r:id="rId6" ref="H5"/>
    <hyperlink r:id="rId7" ref="H6"/>
    <hyperlink r:id="rId8" ref="K6"/>
    <hyperlink r:id="rId9" ref="H7"/>
    <hyperlink r:id="rId10" ref="H8"/>
    <hyperlink r:id="rId11" ref="H9"/>
    <hyperlink r:id="rId12" ref="H10"/>
    <hyperlink r:id="rId13" ref="H11"/>
    <hyperlink r:id="rId14" ref="H12"/>
    <hyperlink r:id="rId15" ref="H13"/>
    <hyperlink r:id="rId16" ref="H14"/>
    <hyperlink r:id="rId17" ref="K14"/>
    <hyperlink r:id="rId18" ref="H15"/>
    <hyperlink r:id="rId19" ref="H16"/>
    <hyperlink r:id="rId20" ref="H17"/>
    <hyperlink r:id="rId21" ref="H18"/>
    <hyperlink r:id="rId22" ref="H19"/>
    <hyperlink r:id="rId23" ref="H20"/>
    <hyperlink r:id="rId24" ref="H21"/>
    <hyperlink r:id="rId25" ref="H22"/>
    <hyperlink r:id="rId26" ref="H23"/>
    <hyperlink r:id="rId27" ref="H24"/>
    <hyperlink r:id="rId28" ref="K24"/>
    <hyperlink r:id="rId29" ref="H25"/>
    <hyperlink r:id="rId30" ref="H26"/>
    <hyperlink r:id="rId31" ref="H27"/>
    <hyperlink r:id="rId32" ref="H28"/>
    <hyperlink r:id="rId33" ref="H29"/>
    <hyperlink r:id="rId34" ref="H30"/>
    <hyperlink r:id="rId35" ref="H31"/>
    <hyperlink r:id="rId36" ref="H32"/>
    <hyperlink r:id="rId37" ref="H33"/>
    <hyperlink r:id="rId38" ref="H34"/>
    <hyperlink r:id="rId39" ref="K34"/>
    <hyperlink r:id="rId40" ref="H35"/>
    <hyperlink r:id="rId41" ref="H36"/>
    <hyperlink r:id="rId42" ref="H37"/>
    <hyperlink r:id="rId43" ref="H38"/>
    <hyperlink r:id="rId44" ref="H39"/>
    <hyperlink r:id="rId45" ref="H40"/>
    <hyperlink r:id="rId46" ref="H41"/>
    <hyperlink r:id="rId47" ref="H42"/>
    <hyperlink r:id="rId48" ref="H43"/>
    <hyperlink r:id="rId49" ref="H44"/>
    <hyperlink r:id="rId50" ref="K44"/>
    <hyperlink r:id="rId51" ref="H45"/>
    <hyperlink r:id="rId52" ref="H46"/>
    <hyperlink r:id="rId53" ref="H47"/>
    <hyperlink r:id="rId54" ref="H48"/>
    <hyperlink r:id="rId55" ref="H49"/>
    <hyperlink r:id="rId56" ref="H50"/>
    <hyperlink r:id="rId57" ref="H51"/>
    <hyperlink r:id="rId58" ref="H52"/>
    <hyperlink r:id="rId59" ref="H53"/>
    <hyperlink r:id="rId60" ref="H54"/>
    <hyperlink r:id="rId61" ref="K54"/>
    <hyperlink r:id="rId62" ref="H55"/>
    <hyperlink r:id="rId63" ref="H56"/>
    <hyperlink r:id="rId64" ref="H57"/>
    <hyperlink r:id="rId65" ref="H58"/>
    <hyperlink r:id="rId66" ref="H59"/>
    <hyperlink r:id="rId67" ref="H60"/>
    <hyperlink r:id="rId68" ref="H61"/>
    <hyperlink r:id="rId69" ref="H62"/>
    <hyperlink r:id="rId70" ref="H63"/>
    <hyperlink r:id="rId71" ref="H64"/>
    <hyperlink r:id="rId72" ref="K64"/>
    <hyperlink r:id="rId73" ref="H65"/>
    <hyperlink r:id="rId74" ref="H66"/>
    <hyperlink r:id="rId75" ref="H67"/>
    <hyperlink r:id="rId76" ref="H68"/>
    <hyperlink r:id="rId77" ref="H69"/>
    <hyperlink r:id="rId78" ref="H70"/>
    <hyperlink r:id="rId79" ref="H71"/>
    <hyperlink r:id="rId80" ref="H72"/>
    <hyperlink r:id="rId81" ref="H73"/>
    <hyperlink r:id="rId82" ref="H74"/>
    <hyperlink r:id="rId83" ref="K74"/>
    <hyperlink r:id="rId84" ref="H75"/>
    <hyperlink r:id="rId85" ref="H76"/>
    <hyperlink r:id="rId86" ref="H77"/>
    <hyperlink r:id="rId87" ref="H78"/>
    <hyperlink r:id="rId88" ref="H79"/>
    <hyperlink r:id="rId89" ref="H80"/>
    <hyperlink r:id="rId90" ref="H81"/>
    <hyperlink r:id="rId91" ref="H82"/>
    <hyperlink r:id="rId92" ref="H83"/>
    <hyperlink r:id="rId93" ref="H84"/>
    <hyperlink r:id="rId94" ref="K84"/>
    <hyperlink r:id="rId95" ref="H85"/>
    <hyperlink r:id="rId96" ref="H86"/>
    <hyperlink r:id="rId97" ref="H87"/>
    <hyperlink r:id="rId98" ref="H88"/>
    <hyperlink r:id="rId99" ref="H89"/>
    <hyperlink r:id="rId100" ref="H90"/>
    <hyperlink r:id="rId101" ref="H91"/>
    <hyperlink r:id="rId102" ref="H92"/>
    <hyperlink r:id="rId103" ref="H93"/>
    <hyperlink r:id="rId104" ref="H94"/>
    <hyperlink r:id="rId105" ref="K94"/>
    <hyperlink r:id="rId106" ref="H95"/>
    <hyperlink r:id="rId107" ref="H96"/>
    <hyperlink r:id="rId108" ref="H97"/>
    <hyperlink r:id="rId109" ref="H98"/>
    <hyperlink r:id="rId110" ref="H99"/>
    <hyperlink r:id="rId111" ref="H100"/>
    <hyperlink r:id="rId112" ref="H101"/>
    <hyperlink r:id="rId113" ref="H102"/>
    <hyperlink r:id="rId114" ref="H103"/>
    <hyperlink r:id="rId115" ref="H104"/>
    <hyperlink r:id="rId116" ref="K104"/>
    <hyperlink r:id="rId117" ref="H105"/>
    <hyperlink r:id="rId118" ref="H106"/>
    <hyperlink r:id="rId119" ref="H107"/>
    <hyperlink r:id="rId120" ref="H108"/>
    <hyperlink r:id="rId121" ref="H109"/>
    <hyperlink r:id="rId122" ref="H110"/>
    <hyperlink r:id="rId123" ref="H111"/>
    <hyperlink r:id="rId124" ref="H112"/>
    <hyperlink r:id="rId125" ref="H113"/>
    <hyperlink r:id="rId126" ref="H114"/>
    <hyperlink r:id="rId127" ref="K114"/>
    <hyperlink r:id="rId128" ref="H115"/>
    <hyperlink r:id="rId129" ref="H116"/>
    <hyperlink r:id="rId130" ref="H117"/>
    <hyperlink r:id="rId131" ref="H118"/>
    <hyperlink r:id="rId132" ref="H119"/>
    <hyperlink r:id="rId133" ref="H120"/>
    <hyperlink r:id="rId134" ref="H121"/>
    <hyperlink r:id="rId135" ref="H122"/>
    <hyperlink r:id="rId136" ref="K122"/>
    <hyperlink r:id="rId137" ref="H123"/>
    <hyperlink r:id="rId138" ref="H124"/>
    <hyperlink r:id="rId139" ref="K124"/>
    <hyperlink r:id="rId140" ref="H125"/>
    <hyperlink r:id="rId141" ref="H126"/>
    <hyperlink r:id="rId142" ref="H127"/>
    <hyperlink r:id="rId143" ref="H128"/>
    <hyperlink r:id="rId144" ref="H129"/>
    <hyperlink r:id="rId145" ref="H130"/>
    <hyperlink r:id="rId146" ref="H131"/>
    <hyperlink r:id="rId147" ref="H132"/>
    <hyperlink r:id="rId148" ref="H133"/>
    <hyperlink r:id="rId149" ref="H134"/>
    <hyperlink r:id="rId150" ref="H135"/>
    <hyperlink r:id="rId151" ref="H136"/>
    <hyperlink r:id="rId152" ref="H137"/>
    <hyperlink r:id="rId153" ref="H138"/>
    <hyperlink r:id="rId154" ref="H139"/>
    <hyperlink r:id="rId155" ref="H140"/>
    <hyperlink r:id="rId156" ref="H141"/>
    <hyperlink r:id="rId157" ref="H142"/>
    <hyperlink r:id="rId158" ref="H143"/>
    <hyperlink r:id="rId159" ref="H144"/>
    <hyperlink r:id="rId160" ref="H145"/>
    <hyperlink r:id="rId161" ref="H146"/>
    <hyperlink r:id="rId162" ref="H147"/>
    <hyperlink r:id="rId163" ref="H148"/>
    <hyperlink r:id="rId164" ref="H149"/>
    <hyperlink r:id="rId165" ref="H150"/>
    <hyperlink r:id="rId166" ref="H151"/>
    <hyperlink r:id="rId167" ref="H152"/>
    <hyperlink r:id="rId168" ref="H153"/>
    <hyperlink r:id="rId169" ref="H154"/>
    <hyperlink r:id="rId170" ref="H155"/>
    <hyperlink r:id="rId171" ref="H156"/>
    <hyperlink r:id="rId172" ref="H157"/>
    <hyperlink r:id="rId173" ref="H158"/>
    <hyperlink r:id="rId174" ref="H159"/>
    <hyperlink r:id="rId175" ref="H160"/>
    <hyperlink r:id="rId176" ref="H161"/>
    <hyperlink r:id="rId177" ref="H162"/>
    <hyperlink r:id="rId178" ref="H163"/>
    <hyperlink r:id="rId179" ref="H164"/>
    <hyperlink r:id="rId180" ref="H165"/>
    <hyperlink r:id="rId181" ref="H166"/>
    <hyperlink r:id="rId182" ref="H167"/>
    <hyperlink r:id="rId183" ref="H168"/>
    <hyperlink r:id="rId184" ref="H169"/>
    <hyperlink r:id="rId185" ref="H170"/>
    <hyperlink r:id="rId186" ref="H171"/>
    <hyperlink r:id="rId187" ref="H172"/>
    <hyperlink r:id="rId188" ref="H173"/>
  </hyperlinks>
  <drawing r:id="rId18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33.13"/>
    <col customWidth="1" min="3" max="3" width="37.63"/>
    <col customWidth="1" min="4" max="4" width="38.25"/>
    <col customWidth="1" min="11" max="11" width="38.38"/>
  </cols>
  <sheetData>
    <row r="1">
      <c r="A1" s="11" t="s">
        <v>0</v>
      </c>
      <c r="B1" s="11" t="s">
        <v>1</v>
      </c>
      <c r="C1" s="12" t="s">
        <v>852</v>
      </c>
      <c r="D1" s="12" t="s">
        <v>853</v>
      </c>
      <c r="E1" s="12" t="s">
        <v>854</v>
      </c>
      <c r="F1" s="12" t="s">
        <v>855</v>
      </c>
      <c r="G1" s="12" t="s">
        <v>856</v>
      </c>
      <c r="H1" s="12" t="s">
        <v>857</v>
      </c>
      <c r="I1" s="13" t="s">
        <v>8</v>
      </c>
      <c r="J1" s="13" t="s">
        <v>9</v>
      </c>
      <c r="K1" s="11" t="s">
        <v>10</v>
      </c>
    </row>
    <row r="2">
      <c r="A2" s="5">
        <v>1.0</v>
      </c>
      <c r="B2" s="6" t="str">
        <f>VLOOKUP(A2,vaccines!A:B,2)</f>
        <v>BCG_Microgen</v>
      </c>
      <c r="C2" s="14" t="s">
        <v>858</v>
      </c>
      <c r="D2" s="14" t="s">
        <v>859</v>
      </c>
      <c r="E2" s="15">
        <v>45461.0</v>
      </c>
      <c r="F2" s="16"/>
      <c r="G2" s="16"/>
      <c r="H2" s="17" t="s">
        <v>13</v>
      </c>
      <c r="I2" s="18">
        <v>45156.0</v>
      </c>
      <c r="J2" s="19">
        <v>45517.0</v>
      </c>
      <c r="K2" s="20" t="s">
        <v>14</v>
      </c>
    </row>
    <row r="3">
      <c r="A3" s="5">
        <v>2.0</v>
      </c>
      <c r="B3" s="6" t="str">
        <f>VLOOKUP(A3,vaccines!A:B,2)</f>
        <v>BCG_M_Microgen</v>
      </c>
      <c r="C3" s="14" t="s">
        <v>858</v>
      </c>
      <c r="D3" s="14" t="s">
        <v>859</v>
      </c>
      <c r="E3" s="15">
        <v>45461.0</v>
      </c>
      <c r="F3" s="16"/>
      <c r="G3" s="16"/>
      <c r="H3" s="17" t="s">
        <v>17</v>
      </c>
      <c r="I3" s="18">
        <v>45108.0</v>
      </c>
      <c r="J3" s="19">
        <v>45517.0</v>
      </c>
    </row>
    <row r="4">
      <c r="A4" s="5">
        <v>3.0</v>
      </c>
      <c r="B4" s="6" t="str">
        <f>VLOOKUP(A4,vaccines!A:B,2)</f>
        <v>BCG_Gamaleya</v>
      </c>
      <c r="C4" s="40" t="s">
        <v>860</v>
      </c>
      <c r="D4" s="14" t="s">
        <v>861</v>
      </c>
      <c r="E4" s="15">
        <v>45769.0</v>
      </c>
      <c r="F4" s="21">
        <v>1.0</v>
      </c>
      <c r="G4" s="21">
        <v>0.0</v>
      </c>
      <c r="H4" s="17" t="s">
        <v>21</v>
      </c>
      <c r="I4" s="18">
        <v>45108.0</v>
      </c>
      <c r="J4" s="19">
        <v>45801.0</v>
      </c>
    </row>
    <row r="5">
      <c r="A5" s="5">
        <v>4.0</v>
      </c>
      <c r="B5" s="6" t="str">
        <f>VLOOKUP(A5,vaccines!A:B,2)</f>
        <v>BCG_M_Gamaleya</v>
      </c>
      <c r="C5" s="40" t="s">
        <v>860</v>
      </c>
      <c r="D5" s="14" t="s">
        <v>861</v>
      </c>
      <c r="E5" s="15">
        <v>45771.0</v>
      </c>
      <c r="F5" s="21">
        <v>1.0</v>
      </c>
      <c r="G5" s="21">
        <v>0.0</v>
      </c>
      <c r="H5" s="17" t="s">
        <v>24</v>
      </c>
      <c r="I5" s="15">
        <f>I4</f>
        <v>45108</v>
      </c>
      <c r="J5" s="19">
        <v>45818.0</v>
      </c>
      <c r="K5" s="20" t="s">
        <v>18</v>
      </c>
    </row>
    <row r="6">
      <c r="A6" s="5">
        <v>5.0</v>
      </c>
      <c r="B6" s="6" t="str">
        <f>VLOOKUP(A6,vaccines!A:B,2)</f>
        <v>Infanrix</v>
      </c>
      <c r="C6" s="40" t="s">
        <v>860</v>
      </c>
      <c r="D6" s="14" t="s">
        <v>861</v>
      </c>
      <c r="E6" s="15">
        <v>44211.0</v>
      </c>
      <c r="F6" s="16"/>
      <c r="G6" s="16"/>
      <c r="H6" s="17" t="s">
        <v>27</v>
      </c>
      <c r="I6" s="18">
        <v>45105.0</v>
      </c>
      <c r="J6" s="19">
        <v>45481.0</v>
      </c>
      <c r="K6" s="20" t="s">
        <v>14</v>
      </c>
    </row>
    <row r="7">
      <c r="A7" s="5">
        <v>6.0</v>
      </c>
      <c r="B7" s="6" t="str">
        <f>VLOOKUP(A7,vaccines!A:B,2)</f>
        <v>AKDS_Microgen</v>
      </c>
      <c r="C7" s="14" t="s">
        <v>858</v>
      </c>
      <c r="D7" s="14" t="s">
        <v>859</v>
      </c>
      <c r="E7" s="19">
        <v>45415.0</v>
      </c>
      <c r="F7" s="16"/>
      <c r="G7" s="16"/>
      <c r="H7" s="17" t="s">
        <v>30</v>
      </c>
      <c r="I7" s="22">
        <v>45115.0</v>
      </c>
      <c r="J7" s="22">
        <v>45461.0</v>
      </c>
    </row>
    <row r="8">
      <c r="A8" s="5">
        <v>7.0</v>
      </c>
      <c r="B8" s="6" t="str">
        <f>VLOOKUP(A8,vaccines!A:B,2)</f>
        <v>AKDS_Biomed</v>
      </c>
      <c r="C8" s="40" t="s">
        <v>860</v>
      </c>
      <c r="D8" s="14" t="s">
        <v>861</v>
      </c>
      <c r="E8" s="22">
        <v>41388.0</v>
      </c>
      <c r="F8" s="23">
        <v>1.0</v>
      </c>
      <c r="G8" s="23">
        <v>0.0</v>
      </c>
      <c r="H8" s="24" t="s">
        <v>33</v>
      </c>
      <c r="I8" s="22">
        <v>45115.0</v>
      </c>
      <c r="J8" s="10"/>
    </row>
    <row r="9">
      <c r="A9" s="5">
        <v>8.0</v>
      </c>
      <c r="B9" s="6" t="str">
        <f>VLOOKUP(A9,vaccines!A:B,2)</f>
        <v>Bubo_kok</v>
      </c>
      <c r="C9" s="14" t="s">
        <v>862</v>
      </c>
      <c r="D9" s="14" t="s">
        <v>863</v>
      </c>
      <c r="E9" s="22">
        <v>40395.0</v>
      </c>
      <c r="F9" s="23">
        <v>1.0</v>
      </c>
      <c r="G9" s="23">
        <v>0.0</v>
      </c>
      <c r="H9" s="25" t="s">
        <v>36</v>
      </c>
      <c r="I9" s="22">
        <v>45115.0</v>
      </c>
      <c r="J9" s="10"/>
    </row>
    <row r="10">
      <c r="A10" s="5">
        <v>9.0</v>
      </c>
      <c r="B10" s="6" t="str">
        <f>VLOOKUP(A10,vaccines!A:B,2)</f>
        <v>Pentaxim</v>
      </c>
      <c r="C10" s="14" t="s">
        <v>864</v>
      </c>
      <c r="D10" s="14" t="s">
        <v>865</v>
      </c>
      <c r="E10" s="15">
        <v>45980.0</v>
      </c>
      <c r="F10" s="21">
        <v>1.0</v>
      </c>
      <c r="G10" s="21">
        <v>0.0</v>
      </c>
      <c r="H10" s="17" t="s">
        <v>39</v>
      </c>
      <c r="I10" s="15">
        <f t="shared" ref="I10:I11" si="1">I9</f>
        <v>45115</v>
      </c>
      <c r="J10" s="19">
        <v>46204.0</v>
      </c>
    </row>
    <row r="11">
      <c r="A11" s="5">
        <v>10.0</v>
      </c>
      <c r="B11" s="6" t="str">
        <f>VLOOKUP(A11,vaccines!A:B,2)</f>
        <v>Infanrix_Hexa</v>
      </c>
      <c r="C11" s="14" t="s">
        <v>866</v>
      </c>
      <c r="D11" s="14" t="s">
        <v>867</v>
      </c>
      <c r="E11" s="15">
        <v>45953.0</v>
      </c>
      <c r="F11" s="21">
        <v>1.0</v>
      </c>
      <c r="G11" s="21">
        <v>0.0</v>
      </c>
      <c r="H11" s="17" t="s">
        <v>43</v>
      </c>
      <c r="I11" s="15">
        <f t="shared" si="1"/>
        <v>45115</v>
      </c>
      <c r="J11" s="19">
        <v>46000.0</v>
      </c>
    </row>
    <row r="12">
      <c r="A12" s="5">
        <v>11.0</v>
      </c>
      <c r="B12" s="6" t="str">
        <f>VLOOKUP(A12,vaccines!A:B,2)</f>
        <v>Bubo_M</v>
      </c>
      <c r="C12" s="14" t="s">
        <v>868</v>
      </c>
      <c r="D12" s="14" t="s">
        <v>869</v>
      </c>
      <c r="E12" s="15">
        <v>46136.0</v>
      </c>
      <c r="F12" s="21">
        <v>1.0</v>
      </c>
      <c r="G12" s="21">
        <v>0.0</v>
      </c>
      <c r="H12" s="17" t="s">
        <v>46</v>
      </c>
      <c r="I12" s="27">
        <v>45116.0</v>
      </c>
      <c r="J12" s="19">
        <v>46188.0</v>
      </c>
    </row>
    <row r="13">
      <c r="A13" s="5">
        <v>12.0</v>
      </c>
      <c r="B13" s="6" t="str">
        <f>VLOOKUP(A13,vaccines!A:B,2)</f>
        <v>AD_M_Microgen</v>
      </c>
      <c r="C13" s="14" t="s">
        <v>870</v>
      </c>
      <c r="D13" s="14" t="s">
        <v>871</v>
      </c>
      <c r="E13" s="15">
        <v>45482.0</v>
      </c>
      <c r="F13" s="16"/>
      <c r="G13" s="16"/>
      <c r="H13" s="17" t="s">
        <v>49</v>
      </c>
      <c r="I13" s="15">
        <f t="shared" ref="I13:I15" si="2">I12</f>
        <v>45116</v>
      </c>
      <c r="J13" s="19">
        <v>45518.0</v>
      </c>
    </row>
    <row r="14">
      <c r="A14" s="5">
        <v>13.0</v>
      </c>
      <c r="B14" s="6" t="str">
        <f>VLOOKUP(A14,vaccines!A:B,2)</f>
        <v>ADS_Microgen</v>
      </c>
      <c r="C14" s="14" t="s">
        <v>872</v>
      </c>
      <c r="D14" s="14" t="s">
        <v>873</v>
      </c>
      <c r="E14" s="15">
        <v>45488.0</v>
      </c>
      <c r="F14" s="16"/>
      <c r="G14" s="16"/>
      <c r="H14" s="17" t="s">
        <v>52</v>
      </c>
      <c r="I14" s="15">
        <f t="shared" si="2"/>
        <v>45116</v>
      </c>
      <c r="J14" s="19">
        <v>45518.0</v>
      </c>
    </row>
    <row r="15">
      <c r="A15" s="5">
        <v>14.0</v>
      </c>
      <c r="B15" s="6" t="str">
        <f>VLOOKUP(A15,vaccines!A:B,2)</f>
        <v>ADS_M_Microgen</v>
      </c>
      <c r="C15" s="14" t="s">
        <v>874</v>
      </c>
      <c r="D15" s="14" t="s">
        <v>875</v>
      </c>
      <c r="E15" s="15">
        <v>45623.0</v>
      </c>
      <c r="F15" s="21">
        <v>1.0</v>
      </c>
      <c r="G15" s="21">
        <v>0.0</v>
      </c>
      <c r="H15" s="17" t="s">
        <v>55</v>
      </c>
      <c r="I15" s="15">
        <f t="shared" si="2"/>
        <v>45116</v>
      </c>
      <c r="J15" s="19">
        <v>45861.0</v>
      </c>
      <c r="K15" s="20" t="s">
        <v>18</v>
      </c>
    </row>
    <row r="16">
      <c r="A16" s="5">
        <v>15.0</v>
      </c>
      <c r="B16" s="6" t="str">
        <f>VLOOKUP(A16,vaccines!A:B,2)</f>
        <v>ADS_M_Biomed</v>
      </c>
      <c r="C16" s="40" t="s">
        <v>860</v>
      </c>
      <c r="D16" s="14" t="s">
        <v>861</v>
      </c>
      <c r="E16" s="28">
        <v>41046.0</v>
      </c>
      <c r="F16" s="23">
        <v>1.0</v>
      </c>
      <c r="G16" s="23">
        <v>0.0</v>
      </c>
      <c r="H16" s="24" t="s">
        <v>58</v>
      </c>
      <c r="I16" s="22">
        <v>45116.0</v>
      </c>
      <c r="J16" s="10"/>
    </row>
    <row r="17">
      <c r="A17" s="5">
        <v>16.0</v>
      </c>
      <c r="B17" s="6" t="str">
        <f>VLOOKUP(A17,vaccines!A:B,2)</f>
        <v>Adacel</v>
      </c>
      <c r="C17" s="14" t="s">
        <v>876</v>
      </c>
      <c r="D17" s="14" t="s">
        <v>877</v>
      </c>
      <c r="E17" s="15">
        <v>45456.0</v>
      </c>
      <c r="F17" s="16"/>
      <c r="G17" s="16"/>
      <c r="H17" s="29" t="s">
        <v>61</v>
      </c>
      <c r="I17" s="18">
        <v>45117.0</v>
      </c>
      <c r="J17" s="19">
        <v>45589.0</v>
      </c>
    </row>
    <row r="18">
      <c r="A18" s="5">
        <v>17.0</v>
      </c>
      <c r="B18" s="6" t="str">
        <f>VLOOKUP(A18,vaccines!A:B,2)</f>
        <v>Algavac_M</v>
      </c>
      <c r="C18" s="40" t="s">
        <v>860</v>
      </c>
      <c r="D18" s="14" t="s">
        <v>861</v>
      </c>
      <c r="E18" s="22">
        <v>43369.0</v>
      </c>
      <c r="F18" s="23">
        <v>1.0</v>
      </c>
      <c r="G18" s="23">
        <v>0.0</v>
      </c>
      <c r="H18" s="24" t="s">
        <v>64</v>
      </c>
      <c r="I18" s="22">
        <v>45117.0</v>
      </c>
      <c r="J18" s="10"/>
    </row>
    <row r="19">
      <c r="A19" s="5">
        <v>18.0</v>
      </c>
      <c r="B19" s="6" t="str">
        <f>VLOOKUP(A19,vaccines!A:B,2)</f>
        <v>Algavac</v>
      </c>
      <c r="C19" s="41" t="s">
        <v>878</v>
      </c>
      <c r="D19" s="14" t="s">
        <v>879</v>
      </c>
      <c r="E19" s="15">
        <v>46111.0</v>
      </c>
      <c r="F19" s="21">
        <v>1.0</v>
      </c>
      <c r="G19" s="21">
        <v>0.0</v>
      </c>
      <c r="H19" s="17" t="s">
        <v>67</v>
      </c>
      <c r="I19" s="15">
        <f>I18</f>
        <v>45117</v>
      </c>
      <c r="J19" s="19">
        <v>46188.0</v>
      </c>
    </row>
    <row r="20">
      <c r="A20" s="5">
        <v>19.0</v>
      </c>
      <c r="B20" s="6" t="str">
        <f>VLOOKUP(A20,vaccines!A:B,2)</f>
        <v>Havrix_720</v>
      </c>
      <c r="C20" s="14" t="s">
        <v>880</v>
      </c>
      <c r="D20" s="14" t="s">
        <v>881</v>
      </c>
      <c r="E20" s="15">
        <v>45490.0</v>
      </c>
      <c r="F20" s="16"/>
      <c r="G20" s="16"/>
      <c r="H20" s="17" t="s">
        <v>70</v>
      </c>
      <c r="I20" s="22">
        <v>45119.0</v>
      </c>
      <c r="J20" s="19">
        <v>45558.0</v>
      </c>
    </row>
    <row r="21">
      <c r="A21" s="5">
        <v>20.0</v>
      </c>
      <c r="B21" s="6" t="str">
        <f>VLOOKUP(A21,vaccines!A:B,2)</f>
        <v>Havrix_1440</v>
      </c>
      <c r="C21" s="14" t="s">
        <v>880</v>
      </c>
      <c r="D21" s="14" t="s">
        <v>881</v>
      </c>
      <c r="E21" s="15">
        <v>45490.0</v>
      </c>
      <c r="F21" s="21"/>
      <c r="G21" s="21"/>
      <c r="H21" s="17" t="s">
        <v>70</v>
      </c>
      <c r="I21" s="22">
        <v>45119.0</v>
      </c>
      <c r="J21" s="19">
        <v>45558.0</v>
      </c>
    </row>
    <row r="22">
      <c r="A22" s="5">
        <v>21.0</v>
      </c>
      <c r="B22" s="6" t="str">
        <f>VLOOKUP(A22,vaccines!A:B,2)</f>
        <v>Avaxim_80</v>
      </c>
      <c r="C22" s="14" t="s">
        <v>882</v>
      </c>
      <c r="D22" s="14" t="s">
        <v>883</v>
      </c>
      <c r="E22" s="22">
        <v>43500.0</v>
      </c>
      <c r="F22" s="23">
        <v>3.0</v>
      </c>
      <c r="G22" s="23">
        <v>2.0</v>
      </c>
      <c r="H22" s="25" t="s">
        <v>567</v>
      </c>
      <c r="I22" s="22">
        <v>45119.0</v>
      </c>
      <c r="J22" s="10"/>
    </row>
    <row r="23">
      <c r="A23" s="5">
        <v>22.0</v>
      </c>
      <c r="B23" s="6" t="str">
        <f>VLOOKUP(A23,vaccines!A:B,2)</f>
        <v>Avaxim_160</v>
      </c>
      <c r="C23" s="14" t="s">
        <v>884</v>
      </c>
      <c r="D23" s="14" t="s">
        <v>885</v>
      </c>
      <c r="E23" s="22">
        <v>42131.0</v>
      </c>
      <c r="F23" s="23">
        <v>1.0</v>
      </c>
      <c r="G23" s="23">
        <v>0.0</v>
      </c>
      <c r="H23" s="25" t="s">
        <v>78</v>
      </c>
      <c r="I23" s="22">
        <v>45119.0</v>
      </c>
      <c r="J23" s="10"/>
    </row>
    <row r="24">
      <c r="A24" s="5">
        <v>23.0</v>
      </c>
      <c r="B24" s="6" t="str">
        <f>VLOOKUP(A24,vaccines!A:B,2)</f>
        <v>Regevac_0_5</v>
      </c>
      <c r="C24" s="14" t="s">
        <v>886</v>
      </c>
      <c r="D24" s="14" t="s">
        <v>887</v>
      </c>
      <c r="E24" s="15">
        <v>45216.0</v>
      </c>
      <c r="F24" s="21">
        <v>1.0</v>
      </c>
      <c r="G24" s="21">
        <v>0.0</v>
      </c>
      <c r="H24" s="17" t="s">
        <v>81</v>
      </c>
      <c r="I24" s="15">
        <f t="shared" ref="I24:I25" si="3">I23</f>
        <v>45119</v>
      </c>
      <c r="J24" s="19">
        <v>45988.0</v>
      </c>
    </row>
    <row r="25">
      <c r="A25" s="5">
        <v>24.0</v>
      </c>
      <c r="B25" s="6" t="str">
        <f>VLOOKUP(A25,vaccines!A:B,2)</f>
        <v>HepB_Combiotech_0_5</v>
      </c>
      <c r="C25" s="14" t="s">
        <v>888</v>
      </c>
      <c r="D25" s="14" t="s">
        <v>889</v>
      </c>
      <c r="E25" s="15">
        <v>46056.0</v>
      </c>
      <c r="F25" s="21">
        <v>1.0</v>
      </c>
      <c r="G25" s="21">
        <v>0.0</v>
      </c>
      <c r="H25" s="17" t="s">
        <v>84</v>
      </c>
      <c r="I25" s="15">
        <f t="shared" si="3"/>
        <v>45119</v>
      </c>
      <c r="J25" s="19">
        <v>46130.0</v>
      </c>
      <c r="K25" s="20" t="s">
        <v>18</v>
      </c>
    </row>
    <row r="26">
      <c r="A26" s="5">
        <v>25.0</v>
      </c>
      <c r="B26" s="6" t="str">
        <f>VLOOKUP(A26,vaccines!A:B,2)</f>
        <v>Euvax_B_0_5</v>
      </c>
      <c r="C26" s="14" t="s">
        <v>890</v>
      </c>
      <c r="D26" s="14" t="s">
        <v>891</v>
      </c>
      <c r="E26" s="22">
        <v>42410.0</v>
      </c>
      <c r="F26" s="23">
        <v>2.0</v>
      </c>
      <c r="G26" s="23">
        <v>1.0</v>
      </c>
      <c r="H26" s="24" t="s">
        <v>87</v>
      </c>
      <c r="I26" s="22">
        <v>45120.0</v>
      </c>
      <c r="J26" s="10"/>
      <c r="K26" s="20" t="s">
        <v>18</v>
      </c>
    </row>
    <row r="27">
      <c r="A27" s="5">
        <v>26.0</v>
      </c>
      <c r="B27" s="6" t="str">
        <f>VLOOKUP(A27,vaccines!A:B,2)</f>
        <v>Euvax_B_1_0</v>
      </c>
      <c r="C27" s="14" t="s">
        <v>892</v>
      </c>
      <c r="D27" s="14" t="s">
        <v>893</v>
      </c>
      <c r="E27" s="22">
        <v>42410.0</v>
      </c>
      <c r="F27" s="23">
        <v>2.0</v>
      </c>
      <c r="G27" s="23">
        <v>1.0</v>
      </c>
      <c r="H27" s="24" t="s">
        <v>87</v>
      </c>
      <c r="I27" s="22">
        <v>45120.0</v>
      </c>
      <c r="J27" s="10"/>
    </row>
    <row r="28">
      <c r="A28" s="5">
        <v>27.0</v>
      </c>
      <c r="B28" s="6" t="str">
        <f>VLOOKUP(A28,vaccines!A:B,2)</f>
        <v>Cervarix</v>
      </c>
      <c r="C28" s="14" t="s">
        <v>894</v>
      </c>
      <c r="D28" s="14" t="s">
        <v>895</v>
      </c>
      <c r="E28" s="15">
        <v>45513.0</v>
      </c>
      <c r="F28" s="16"/>
      <c r="G28" s="16"/>
      <c r="H28" s="17" t="s">
        <v>92</v>
      </c>
      <c r="I28" s="15">
        <f>I27</f>
        <v>45120</v>
      </c>
      <c r="J28" s="19">
        <v>45589.0</v>
      </c>
    </row>
    <row r="29">
      <c r="A29" s="5">
        <v>28.0</v>
      </c>
      <c r="B29" s="6" t="str">
        <f>VLOOKUP(A29,vaccines!A:B,2)</f>
        <v>Gardasil_4</v>
      </c>
      <c r="C29" s="14" t="s">
        <v>896</v>
      </c>
      <c r="D29" s="14" t="s">
        <v>897</v>
      </c>
      <c r="E29" s="15">
        <v>45386.0</v>
      </c>
      <c r="F29" s="16"/>
      <c r="G29" s="16"/>
      <c r="H29" s="17" t="s">
        <v>95</v>
      </c>
      <c r="I29" s="22">
        <v>45120.0</v>
      </c>
      <c r="J29" s="22">
        <v>45483.0</v>
      </c>
    </row>
    <row r="30">
      <c r="A30" s="5">
        <v>29.0</v>
      </c>
      <c r="B30" s="6" t="str">
        <f>VLOOKUP(A30,vaccines!A:B,2)</f>
        <v>Sputnik</v>
      </c>
      <c r="C30" s="14" t="s">
        <v>898</v>
      </c>
      <c r="D30" s="14" t="s">
        <v>899</v>
      </c>
      <c r="E30" s="15">
        <v>45839.0</v>
      </c>
      <c r="F30" s="21">
        <v>1.0</v>
      </c>
      <c r="G30" s="21">
        <v>0.0</v>
      </c>
      <c r="H30" s="17" t="s">
        <v>98</v>
      </c>
      <c r="I30" s="18">
        <v>45121.0</v>
      </c>
      <c r="J30" s="19">
        <v>45923.0</v>
      </c>
    </row>
    <row r="31">
      <c r="A31" s="5">
        <v>30.0</v>
      </c>
      <c r="B31" s="6" t="str">
        <f>VLOOKUP(A31,vaccines!A:B,2)</f>
        <v>Sputnik_Lyo</v>
      </c>
      <c r="C31" s="14" t="s">
        <v>900</v>
      </c>
      <c r="D31" s="14" t="s">
        <v>901</v>
      </c>
      <c r="E31" s="22">
        <v>44068.0</v>
      </c>
      <c r="F31" s="23">
        <v>1.0</v>
      </c>
      <c r="G31" s="23">
        <v>0.0</v>
      </c>
      <c r="H31" s="25" t="s">
        <v>585</v>
      </c>
      <c r="I31" s="22">
        <v>45121.0</v>
      </c>
      <c r="J31" s="10"/>
    </row>
    <row r="32">
      <c r="A32" s="5">
        <v>31.0</v>
      </c>
      <c r="B32" s="6" t="str">
        <f>VLOOKUP(A32,vaccines!A:B,2)</f>
        <v>EpiVacCorona</v>
      </c>
      <c r="C32" s="14" t="s">
        <v>900</v>
      </c>
      <c r="D32" s="14" t="s">
        <v>901</v>
      </c>
      <c r="E32" s="22">
        <v>44911.0</v>
      </c>
      <c r="F32" s="23">
        <v>1.0</v>
      </c>
      <c r="G32" s="23">
        <v>0.0</v>
      </c>
      <c r="H32" s="25" t="s">
        <v>104</v>
      </c>
      <c r="I32" s="22">
        <v>45122.0</v>
      </c>
      <c r="J32" s="10"/>
    </row>
    <row r="33">
      <c r="A33" s="5">
        <v>32.0</v>
      </c>
      <c r="B33" s="6" t="str">
        <f>VLOOKUP(A33,vaccines!A:B,2)</f>
        <v>Grippol_Microgen</v>
      </c>
      <c r="C33" s="14" t="s">
        <v>902</v>
      </c>
      <c r="D33" s="14" t="s">
        <v>903</v>
      </c>
      <c r="E33" s="22">
        <v>41411.0</v>
      </c>
      <c r="F33" s="23">
        <v>1.0</v>
      </c>
      <c r="G33" s="23">
        <v>0.0</v>
      </c>
      <c r="H33" s="25" t="s">
        <v>107</v>
      </c>
      <c r="I33" s="22">
        <v>45122.0</v>
      </c>
      <c r="J33" s="10"/>
    </row>
    <row r="34">
      <c r="A34" s="5">
        <v>33.0</v>
      </c>
      <c r="B34" s="6" t="str">
        <f>VLOOKUP(A34,vaccines!A:B,2)</f>
        <v>Grippol_Petrovax</v>
      </c>
      <c r="C34" s="14" t="s">
        <v>902</v>
      </c>
      <c r="D34" s="14" t="s">
        <v>903</v>
      </c>
      <c r="E34" s="22">
        <v>40634.0</v>
      </c>
      <c r="F34" s="23">
        <v>1.0</v>
      </c>
      <c r="G34" s="23">
        <v>0.0</v>
      </c>
      <c r="H34" s="25" t="s">
        <v>110</v>
      </c>
      <c r="I34" s="22">
        <v>45122.0</v>
      </c>
      <c r="J34" s="10"/>
    </row>
    <row r="35">
      <c r="A35" s="5">
        <v>34.0</v>
      </c>
      <c r="B35" s="6" t="str">
        <f>VLOOKUP(A35,vaccines!A:B,2)</f>
        <v>Grippol_plus_0_5</v>
      </c>
      <c r="C35" s="14" t="s">
        <v>904</v>
      </c>
      <c r="D35" s="14" t="s">
        <v>905</v>
      </c>
      <c r="E35" s="15">
        <v>45182.0</v>
      </c>
      <c r="F35" s="16"/>
      <c r="G35" s="16"/>
      <c r="H35" s="17" t="s">
        <v>113</v>
      </c>
      <c r="I35" s="22">
        <v>45122.0</v>
      </c>
      <c r="J35" s="22">
        <v>45483.0</v>
      </c>
      <c r="K35" s="20" t="s">
        <v>18</v>
      </c>
    </row>
    <row r="36">
      <c r="A36" s="5">
        <v>35.0</v>
      </c>
      <c r="B36" s="6" t="str">
        <f>VLOOKUP(A36,vaccines!A:B,2)</f>
        <v>Sovigripp</v>
      </c>
      <c r="C36" s="14" t="s">
        <v>906</v>
      </c>
      <c r="D36" s="14" t="s">
        <v>907</v>
      </c>
      <c r="E36" s="15">
        <v>45580.0</v>
      </c>
      <c r="F36" s="16"/>
      <c r="G36" s="16"/>
      <c r="H36" s="29" t="s">
        <v>116</v>
      </c>
      <c r="I36" s="15">
        <f>I35</f>
        <v>45122</v>
      </c>
      <c r="J36" s="19">
        <v>45622.0</v>
      </c>
    </row>
    <row r="37">
      <c r="A37" s="5">
        <v>36.0</v>
      </c>
      <c r="B37" s="6" t="str">
        <f>VLOOKUP(A37,vaccines!A:B,2)</f>
        <v>Ultrix</v>
      </c>
      <c r="C37" s="14" t="s">
        <v>908</v>
      </c>
      <c r="D37" s="14" t="s">
        <v>909</v>
      </c>
      <c r="E37" s="15">
        <v>45211.0</v>
      </c>
      <c r="F37" s="16"/>
      <c r="G37" s="16"/>
      <c r="H37" s="17" t="s">
        <v>119</v>
      </c>
      <c r="I37" s="22">
        <v>45123.0</v>
      </c>
      <c r="J37" s="22">
        <v>45483.0</v>
      </c>
    </row>
    <row r="38">
      <c r="A38" s="5">
        <v>37.0</v>
      </c>
      <c r="B38" s="6" t="str">
        <f>VLOOKUP(A38,vaccines!A:B,2)</f>
        <v>Flu_M</v>
      </c>
      <c r="C38" s="14" t="s">
        <v>910</v>
      </c>
      <c r="D38" s="14" t="s">
        <v>911</v>
      </c>
      <c r="E38" s="15">
        <v>46035.0</v>
      </c>
      <c r="F38" s="21">
        <v>1.0</v>
      </c>
      <c r="G38" s="21">
        <v>0.0</v>
      </c>
      <c r="H38" s="17" t="s">
        <v>122</v>
      </c>
      <c r="I38" s="15">
        <f>I37</f>
        <v>45123</v>
      </c>
      <c r="J38" s="19">
        <v>46130.0</v>
      </c>
    </row>
    <row r="39">
      <c r="A39" s="5">
        <v>38.0</v>
      </c>
      <c r="B39" s="6" t="str">
        <f>VLOOKUP(A39,vaccines!A:B,2)</f>
        <v>Vaxigrip</v>
      </c>
      <c r="C39" s="14" t="s">
        <v>912</v>
      </c>
      <c r="D39" s="14" t="s">
        <v>913</v>
      </c>
      <c r="E39" s="22">
        <v>43598.0</v>
      </c>
      <c r="F39" s="23">
        <v>1.0</v>
      </c>
      <c r="G39" s="23">
        <v>0.0</v>
      </c>
      <c r="H39" s="25" t="s">
        <v>125</v>
      </c>
      <c r="I39" s="22">
        <v>45123.0</v>
      </c>
      <c r="J39" s="10"/>
    </row>
    <row r="40">
      <c r="A40" s="5">
        <v>39.0</v>
      </c>
      <c r="B40" s="6" t="str">
        <f>VLOOKUP(A40,vaccines!A:B,2)</f>
        <v>Influvac</v>
      </c>
      <c r="C40" s="14" t="s">
        <v>914</v>
      </c>
      <c r="D40" s="14" t="s">
        <v>915</v>
      </c>
      <c r="E40" s="15">
        <v>46066.0</v>
      </c>
      <c r="F40" s="21">
        <v>1.0</v>
      </c>
      <c r="G40" s="21">
        <v>0.0</v>
      </c>
      <c r="H40" s="17" t="s">
        <v>128</v>
      </c>
      <c r="I40" s="15">
        <f>I39</f>
        <v>45123</v>
      </c>
      <c r="J40" s="19">
        <v>46130.0</v>
      </c>
    </row>
    <row r="41">
      <c r="A41" s="5">
        <v>40.0</v>
      </c>
      <c r="B41" s="6" t="str">
        <f>VLOOKUP(A41,vaccines!A:B,2)</f>
        <v>Ultrix_quadri</v>
      </c>
      <c r="C41" s="14" t="s">
        <v>916</v>
      </c>
      <c r="D41" s="14" t="s">
        <v>917</v>
      </c>
      <c r="E41" s="15">
        <v>45524.0</v>
      </c>
      <c r="F41" s="16"/>
      <c r="G41" s="16"/>
      <c r="H41" s="29" t="s">
        <v>131</v>
      </c>
      <c r="I41" s="22">
        <v>45124.0</v>
      </c>
      <c r="J41" s="19">
        <v>45589.0</v>
      </c>
    </row>
    <row r="42">
      <c r="A42" s="5">
        <v>41.0</v>
      </c>
      <c r="B42" s="6" t="str">
        <f>VLOOKUP(A42,vaccines!A:B,2)</f>
        <v>Grippol_quadrivalent</v>
      </c>
      <c r="C42" s="14" t="s">
        <v>904</v>
      </c>
      <c r="D42" s="14" t="s">
        <v>918</v>
      </c>
      <c r="E42" s="15">
        <v>45727.0</v>
      </c>
      <c r="F42" s="21">
        <v>1.0</v>
      </c>
      <c r="G42" s="21">
        <v>0.0</v>
      </c>
      <c r="H42" s="17" t="s">
        <v>134</v>
      </c>
      <c r="I42" s="15">
        <f t="shared" ref="I42:I44" si="4">I41</f>
        <v>45124</v>
      </c>
      <c r="J42" s="19">
        <v>45818.0</v>
      </c>
    </row>
    <row r="43">
      <c r="A43" s="5">
        <v>42.0</v>
      </c>
      <c r="B43" s="6" t="str">
        <f>VLOOKUP(A43,vaccines!A:B,2)</f>
        <v>measles_Microgen</v>
      </c>
      <c r="C43" s="14" t="s">
        <v>919</v>
      </c>
      <c r="D43" s="14" t="s">
        <v>920</v>
      </c>
      <c r="E43" s="15">
        <v>45404.0</v>
      </c>
      <c r="F43" s="16"/>
      <c r="G43" s="16"/>
      <c r="H43" s="17" t="s">
        <v>137</v>
      </c>
      <c r="I43" s="15">
        <f t="shared" si="4"/>
        <v>45124</v>
      </c>
      <c r="J43" s="15">
        <v>45483.0</v>
      </c>
    </row>
    <row r="44">
      <c r="A44" s="5">
        <v>43.0</v>
      </c>
      <c r="B44" s="6" t="str">
        <f>VLOOKUP(A44,vaccines!A:B,2)</f>
        <v>measles_Serum_India</v>
      </c>
      <c r="C44" s="14" t="s">
        <v>921</v>
      </c>
      <c r="D44" s="14" t="s">
        <v>922</v>
      </c>
      <c r="E44" s="15">
        <v>45981.0</v>
      </c>
      <c r="F44" s="21">
        <v>1.0</v>
      </c>
      <c r="G44" s="21">
        <v>0.0</v>
      </c>
      <c r="H44" s="17" t="s">
        <v>140</v>
      </c>
      <c r="I44" s="15">
        <f t="shared" si="4"/>
        <v>45124</v>
      </c>
      <c r="J44" s="19">
        <v>46053.0</v>
      </c>
    </row>
    <row r="45">
      <c r="A45" s="5">
        <v>44.0</v>
      </c>
      <c r="B45" s="6" t="str">
        <f>VLOOKUP(A45,vaccines!A:B,2)</f>
        <v>measles_Vector</v>
      </c>
      <c r="C45" s="14" t="s">
        <v>923</v>
      </c>
      <c r="D45" s="14" t="s">
        <v>924</v>
      </c>
      <c r="E45" s="22">
        <v>39421.0</v>
      </c>
      <c r="F45" s="23">
        <v>1.0</v>
      </c>
      <c r="G45" s="23">
        <v>0.0</v>
      </c>
      <c r="H45" s="24" t="s">
        <v>143</v>
      </c>
      <c r="I45" s="22">
        <v>45124.0</v>
      </c>
      <c r="J45" s="10"/>
      <c r="K45" s="20" t="s">
        <v>18</v>
      </c>
    </row>
    <row r="46">
      <c r="A46" s="5">
        <v>45.0</v>
      </c>
      <c r="B46" s="6" t="str">
        <f>VLOOKUP(A46,vaccines!A:B,2)</f>
        <v>measles_mumps_Microgen</v>
      </c>
      <c r="C46" s="14" t="s">
        <v>925</v>
      </c>
      <c r="D46" s="14" t="s">
        <v>926</v>
      </c>
      <c r="E46" s="15">
        <v>45460.0</v>
      </c>
      <c r="F46" s="16"/>
      <c r="G46" s="16"/>
      <c r="H46" s="29" t="s">
        <v>146</v>
      </c>
      <c r="I46" s="15">
        <f t="shared" ref="I46:I47" si="5">I45</f>
        <v>45124</v>
      </c>
      <c r="J46" s="19">
        <v>45589.0</v>
      </c>
    </row>
    <row r="47">
      <c r="A47" s="5">
        <v>46.0</v>
      </c>
      <c r="B47" s="6" t="str">
        <f>VLOOKUP(A47,vaccines!A:B,2)</f>
        <v>Vactrivir</v>
      </c>
      <c r="C47" s="14" t="s">
        <v>927</v>
      </c>
      <c r="D47" s="14" t="s">
        <v>928</v>
      </c>
      <c r="E47" s="15">
        <v>45817.0</v>
      </c>
      <c r="F47" s="21">
        <v>1.0</v>
      </c>
      <c r="G47" s="21">
        <v>0.0</v>
      </c>
      <c r="H47" s="17" t="s">
        <v>149</v>
      </c>
      <c r="I47" s="15">
        <f t="shared" si="5"/>
        <v>45124</v>
      </c>
      <c r="J47" s="19">
        <v>45830.0</v>
      </c>
    </row>
    <row r="48">
      <c r="A48" s="5">
        <v>47.0</v>
      </c>
      <c r="B48" s="6" t="str">
        <f>VLOOKUP(A48,vaccines!A:B,2)</f>
        <v>MMR_II</v>
      </c>
      <c r="C48" s="14" t="s">
        <v>929</v>
      </c>
      <c r="D48" s="14" t="s">
        <v>930</v>
      </c>
      <c r="E48" s="22">
        <v>42108.0</v>
      </c>
      <c r="F48" s="23">
        <v>1.0</v>
      </c>
      <c r="G48" s="23">
        <v>0.0</v>
      </c>
      <c r="H48" s="25" t="s">
        <v>931</v>
      </c>
      <c r="I48" s="22">
        <v>45124.0</v>
      </c>
      <c r="J48" s="10"/>
    </row>
    <row r="49">
      <c r="A49" s="5">
        <v>48.0</v>
      </c>
      <c r="B49" s="6" t="str">
        <f>VLOOKUP(A49,vaccines!A:B,2)</f>
        <v>MenA_Microgen</v>
      </c>
      <c r="C49" s="14" t="s">
        <v>932</v>
      </c>
      <c r="D49" s="14" t="s">
        <v>933</v>
      </c>
      <c r="E49" s="22">
        <v>45414.0</v>
      </c>
      <c r="H49" s="35" t="s">
        <v>155</v>
      </c>
      <c r="I49" s="22">
        <v>45124.0</v>
      </c>
      <c r="J49" s="22">
        <v>45460.0</v>
      </c>
    </row>
    <row r="50">
      <c r="A50" s="5">
        <v>49.0</v>
      </c>
      <c r="B50" s="6" t="str">
        <f>VLOOKUP(A50,vaccines!A:B,2)</f>
        <v>MeningoVac_A_C</v>
      </c>
      <c r="C50" s="14" t="s">
        <v>934</v>
      </c>
      <c r="D50" s="14" t="s">
        <v>935</v>
      </c>
      <c r="E50" s="19">
        <v>45414.0</v>
      </c>
      <c r="F50" s="6"/>
      <c r="G50" s="6"/>
      <c r="H50" s="17" t="s">
        <v>158</v>
      </c>
      <c r="I50" s="22">
        <v>45124.0</v>
      </c>
      <c r="J50" s="22">
        <v>45460.0</v>
      </c>
    </row>
    <row r="51">
      <c r="A51" s="5">
        <v>50.0</v>
      </c>
      <c r="B51" s="6" t="str">
        <f>VLOOKUP(A51,vaccines!A:B,2)</f>
        <v>Menactra</v>
      </c>
      <c r="C51" s="14" t="s">
        <v>936</v>
      </c>
      <c r="D51" s="14" t="s">
        <v>937</v>
      </c>
      <c r="E51" s="15">
        <v>45188.0</v>
      </c>
      <c r="F51" s="16"/>
      <c r="G51" s="16"/>
      <c r="H51" s="17" t="s">
        <v>161</v>
      </c>
      <c r="I51" s="19">
        <f t="shared" ref="I51:I52" si="6">I50</f>
        <v>45124</v>
      </c>
      <c r="J51" s="19">
        <v>45483.0</v>
      </c>
    </row>
    <row r="52">
      <c r="A52" s="5">
        <v>51.0</v>
      </c>
      <c r="B52" s="6" t="str">
        <f>VLOOKUP(A52,vaccines!A:B,2)</f>
        <v>mumps_Microgen</v>
      </c>
      <c r="C52" s="14" t="s">
        <v>938</v>
      </c>
      <c r="D52" s="14" t="s">
        <v>939</v>
      </c>
      <c r="E52" s="15">
        <v>45454.0</v>
      </c>
      <c r="F52" s="16"/>
      <c r="G52" s="16"/>
      <c r="H52" s="29" t="s">
        <v>164</v>
      </c>
      <c r="I52" s="15">
        <f t="shared" si="6"/>
        <v>45124</v>
      </c>
      <c r="J52" s="19">
        <v>45589.0</v>
      </c>
    </row>
    <row r="53">
      <c r="A53" s="5">
        <v>52.0</v>
      </c>
      <c r="B53" s="6" t="str">
        <f>VLOOKUP(A53,vaccines!A:B,2)</f>
        <v>Prevenar_13</v>
      </c>
      <c r="C53" s="14" t="s">
        <v>940</v>
      </c>
      <c r="D53" s="14" t="s">
        <v>941</v>
      </c>
      <c r="E53" s="15">
        <v>45267.0</v>
      </c>
      <c r="F53" s="16"/>
      <c r="G53" s="16"/>
      <c r="H53" s="17" t="s">
        <v>167</v>
      </c>
      <c r="I53" s="28">
        <v>45125.0</v>
      </c>
      <c r="J53" s="19">
        <v>45481.0</v>
      </c>
    </row>
    <row r="54">
      <c r="A54" s="5">
        <v>53.0</v>
      </c>
      <c r="B54" s="6" t="str">
        <f>VLOOKUP(A54,vaccines!A:B,2)</f>
        <v>Synflorix</v>
      </c>
      <c r="C54" s="14" t="s">
        <v>942</v>
      </c>
      <c r="D54" s="14" t="s">
        <v>943</v>
      </c>
      <c r="E54" s="22">
        <v>43605.0</v>
      </c>
      <c r="F54" s="23">
        <v>1.0</v>
      </c>
      <c r="G54" s="23">
        <v>0.0</v>
      </c>
      <c r="H54" s="24" t="s">
        <v>170</v>
      </c>
      <c r="I54" s="28">
        <v>45125.0</v>
      </c>
      <c r="J54" s="10"/>
    </row>
    <row r="55">
      <c r="A55" s="5">
        <v>54.0</v>
      </c>
      <c r="B55" s="6" t="str">
        <f>VLOOKUP(A55,vaccines!A:B,2)</f>
        <v>Pneumovax_23</v>
      </c>
      <c r="C55" s="14" t="s">
        <v>944</v>
      </c>
      <c r="D55" s="14" t="s">
        <v>945</v>
      </c>
      <c r="E55" s="15">
        <v>45051.0</v>
      </c>
      <c r="F55" s="16"/>
      <c r="G55" s="16"/>
      <c r="H55" s="17" t="s">
        <v>173</v>
      </c>
      <c r="I55" s="15">
        <f>I54</f>
        <v>45125</v>
      </c>
      <c r="J55" s="19">
        <v>45489.0</v>
      </c>
      <c r="K55" s="20" t="s">
        <v>18</v>
      </c>
    </row>
    <row r="56">
      <c r="A56" s="5">
        <v>55.0</v>
      </c>
      <c r="B56" s="6" t="str">
        <f>VLOOKUP(A56,vaccines!A:B,2)</f>
        <v>MonoVac_Polio</v>
      </c>
      <c r="C56" s="14" t="s">
        <v>946</v>
      </c>
      <c r="D56" s="14" t="s">
        <v>947</v>
      </c>
      <c r="E56" s="22">
        <v>44266.0</v>
      </c>
      <c r="F56" s="23">
        <v>1.0</v>
      </c>
      <c r="G56" s="23">
        <v>0.0</v>
      </c>
      <c r="H56" s="25" t="s">
        <v>636</v>
      </c>
      <c r="I56" s="22">
        <v>45125.0</v>
      </c>
      <c r="J56" s="10"/>
    </row>
    <row r="57">
      <c r="A57" s="5">
        <v>56.0</v>
      </c>
      <c r="B57" s="6" t="str">
        <f>VLOOKUP(A57,vaccines!A:B,2)</f>
        <v>BiVac_Polio</v>
      </c>
      <c r="C57" s="14" t="s">
        <v>946</v>
      </c>
      <c r="D57" s="14" t="s">
        <v>947</v>
      </c>
      <c r="E57" s="15">
        <v>45736.0</v>
      </c>
      <c r="F57" s="21">
        <v>1.0</v>
      </c>
      <c r="G57" s="21">
        <v>0.0</v>
      </c>
      <c r="H57" s="17" t="s">
        <v>179</v>
      </c>
      <c r="I57" s="15">
        <f t="shared" ref="I57:I59" si="7">I56</f>
        <v>45125</v>
      </c>
      <c r="J57" s="19">
        <v>45988.0</v>
      </c>
    </row>
    <row r="58">
      <c r="A58" s="5">
        <v>57.0</v>
      </c>
      <c r="B58" s="6" t="str">
        <f>VLOOKUP(A58,vaccines!A:B,2)</f>
        <v>Polymilex</v>
      </c>
      <c r="C58" s="14" t="s">
        <v>948</v>
      </c>
      <c r="D58" s="14" t="s">
        <v>949</v>
      </c>
      <c r="E58" s="15">
        <v>45623.0</v>
      </c>
      <c r="F58" s="21">
        <v>1.0</v>
      </c>
      <c r="G58" s="21">
        <v>0.0</v>
      </c>
      <c r="H58" s="17" t="s">
        <v>182</v>
      </c>
      <c r="I58" s="15">
        <f t="shared" si="7"/>
        <v>45125</v>
      </c>
      <c r="J58" s="19">
        <v>45715.0</v>
      </c>
    </row>
    <row r="59">
      <c r="A59" s="5">
        <v>58.0</v>
      </c>
      <c r="B59" s="6" t="str">
        <f>VLOOKUP(A59,vaccines!A:B,2)</f>
        <v>COCAV</v>
      </c>
      <c r="C59" s="14" t="s">
        <v>950</v>
      </c>
      <c r="D59" s="14" t="s">
        <v>951</v>
      </c>
      <c r="E59" s="15">
        <v>45631.0</v>
      </c>
      <c r="F59" s="16"/>
      <c r="G59" s="16"/>
      <c r="H59" s="17" t="s">
        <v>185</v>
      </c>
      <c r="I59" s="15">
        <f t="shared" si="7"/>
        <v>45125</v>
      </c>
      <c r="J59" s="19">
        <v>45678.0</v>
      </c>
    </row>
    <row r="60">
      <c r="A60" s="5">
        <v>59.0</v>
      </c>
      <c r="B60" s="6" t="str">
        <f>VLOOKUP(A60,vaccines!A:B,2)</f>
        <v>rabies_Chumakov</v>
      </c>
      <c r="C60" s="14" t="s">
        <v>952</v>
      </c>
      <c r="D60" s="14" t="s">
        <v>953</v>
      </c>
      <c r="E60" s="22">
        <v>44862.0</v>
      </c>
      <c r="F60" s="23">
        <v>1.0</v>
      </c>
      <c r="G60" s="23">
        <v>0.0</v>
      </c>
      <c r="H60" s="25" t="s">
        <v>188</v>
      </c>
      <c r="I60" s="28">
        <v>45125.0</v>
      </c>
      <c r="J60" s="10"/>
    </row>
    <row r="61">
      <c r="A61" s="5">
        <v>60.0</v>
      </c>
      <c r="B61" s="6" t="str">
        <f>VLOOKUP(A61,vaccines!A:B,2)</f>
        <v>Rabivac_Vnukovo_32</v>
      </c>
      <c r="C61" s="14" t="s">
        <v>954</v>
      </c>
      <c r="D61" s="14" t="s">
        <v>955</v>
      </c>
      <c r="E61" s="22">
        <v>40925.0</v>
      </c>
      <c r="F61" s="23">
        <v>1.0</v>
      </c>
      <c r="G61" s="23">
        <v>0.0</v>
      </c>
      <c r="H61" s="24" t="s">
        <v>191</v>
      </c>
      <c r="I61" s="28">
        <v>45125.0</v>
      </c>
      <c r="J61" s="10"/>
    </row>
    <row r="62">
      <c r="A62" s="5">
        <v>61.0</v>
      </c>
      <c r="B62" s="6" t="str">
        <f>VLOOKUP(A62,vaccines!A:B,2)</f>
        <v>RotaTeq</v>
      </c>
      <c r="C62" s="40" t="s">
        <v>860</v>
      </c>
      <c r="D62" s="14" t="s">
        <v>861</v>
      </c>
      <c r="E62" s="22">
        <v>44495.0</v>
      </c>
      <c r="F62" s="23">
        <v>4.0</v>
      </c>
      <c r="G62" s="23">
        <v>4.0</v>
      </c>
      <c r="H62" s="25" t="s">
        <v>956</v>
      </c>
      <c r="I62" s="22">
        <v>45127.0</v>
      </c>
      <c r="J62" s="10"/>
    </row>
    <row r="63">
      <c r="A63" s="5">
        <v>62.0</v>
      </c>
      <c r="B63" s="6" t="str">
        <f>VLOOKUP(A63,vaccines!A:B,2)</f>
        <v>rubella_Microgen</v>
      </c>
      <c r="C63" s="14" t="s">
        <v>957</v>
      </c>
      <c r="D63" s="14" t="s">
        <v>958</v>
      </c>
      <c r="E63" s="15">
        <v>45531.0</v>
      </c>
      <c r="F63" s="16"/>
      <c r="G63" s="16"/>
      <c r="H63" s="29" t="s">
        <v>197</v>
      </c>
      <c r="I63" s="15">
        <f>I62</f>
        <v>45127</v>
      </c>
      <c r="J63" s="19">
        <v>45589.0</v>
      </c>
    </row>
    <row r="64">
      <c r="A64" s="5">
        <v>63.0</v>
      </c>
      <c r="B64" s="6" t="str">
        <f>VLOOKUP(A64,vaccines!A:B,2)</f>
        <v>rubella_Serum</v>
      </c>
      <c r="C64" s="14" t="s">
        <v>959</v>
      </c>
      <c r="D64" s="14" t="s">
        <v>960</v>
      </c>
      <c r="E64" s="22">
        <v>40142.0</v>
      </c>
      <c r="F64" s="23">
        <v>1.0</v>
      </c>
      <c r="G64" s="23">
        <v>0.0</v>
      </c>
      <c r="H64" s="24" t="s">
        <v>200</v>
      </c>
      <c r="I64" s="22">
        <v>45127.0</v>
      </c>
      <c r="J64" s="10"/>
    </row>
    <row r="65">
      <c r="A65" s="5">
        <v>64.0</v>
      </c>
      <c r="B65" s="6" t="str">
        <f>VLOOKUP(A65,vaccines!A:B,2)</f>
        <v>AS_Microgen</v>
      </c>
      <c r="C65" s="14" t="s">
        <v>961</v>
      </c>
      <c r="D65" s="14" t="s">
        <v>962</v>
      </c>
      <c r="E65" s="15">
        <v>45607.0</v>
      </c>
      <c r="F65" s="21">
        <v>1.0</v>
      </c>
      <c r="G65" s="21">
        <v>0.0</v>
      </c>
      <c r="H65" s="17" t="s">
        <v>203</v>
      </c>
      <c r="I65" s="15">
        <f>I64</f>
        <v>45127</v>
      </c>
      <c r="J65" s="19">
        <v>46053.0</v>
      </c>
      <c r="K65" s="20" t="s">
        <v>18</v>
      </c>
    </row>
    <row r="66">
      <c r="A66" s="5">
        <v>65.0</v>
      </c>
      <c r="B66" s="6" t="str">
        <f>VLOOKUP(A66,vaccines!A:B,2)</f>
        <v>AS_Biomed</v>
      </c>
      <c r="C66" s="14" t="s">
        <v>963</v>
      </c>
      <c r="D66" s="14" t="s">
        <v>964</v>
      </c>
      <c r="E66" s="22">
        <v>41047.0</v>
      </c>
      <c r="F66" s="23">
        <v>1.0</v>
      </c>
      <c r="G66" s="23">
        <v>0.0</v>
      </c>
      <c r="H66" s="24" t="s">
        <v>206</v>
      </c>
      <c r="I66" s="22">
        <v>45128.0</v>
      </c>
      <c r="J66" s="10"/>
    </row>
    <row r="67">
      <c r="A67" s="5">
        <v>66.0</v>
      </c>
      <c r="B67" s="6" t="str">
        <f>VLOOKUP(A67,vaccines!A:B,2)</f>
        <v>Vaqta_25</v>
      </c>
      <c r="C67" s="14" t="s">
        <v>965</v>
      </c>
      <c r="D67" s="14" t="s">
        <v>966</v>
      </c>
      <c r="E67" s="22">
        <v>41780.0</v>
      </c>
      <c r="F67" s="23">
        <v>1.0</v>
      </c>
      <c r="G67" s="23">
        <v>0.0</v>
      </c>
      <c r="H67" s="24" t="s">
        <v>209</v>
      </c>
      <c r="I67" s="22">
        <v>45128.0</v>
      </c>
      <c r="J67" s="10"/>
    </row>
    <row r="68">
      <c r="A68" s="5">
        <v>67.0</v>
      </c>
      <c r="B68" s="6" t="str">
        <f>VLOOKUP(A68,vaccines!A:B,2)</f>
        <v>Vaqta_50</v>
      </c>
      <c r="C68" s="14" t="s">
        <v>965</v>
      </c>
      <c r="D68" s="14" t="s">
        <v>966</v>
      </c>
      <c r="E68" s="22">
        <v>41780.0</v>
      </c>
      <c r="F68" s="23">
        <v>1.0</v>
      </c>
      <c r="G68" s="23">
        <v>0.0</v>
      </c>
      <c r="H68" s="24" t="s">
        <v>209</v>
      </c>
      <c r="I68" s="22">
        <v>45128.0</v>
      </c>
      <c r="J68" s="10"/>
    </row>
    <row r="69">
      <c r="A69" s="5">
        <v>68.0</v>
      </c>
      <c r="B69" s="6" t="str">
        <f>VLOOKUP(A69,vaccines!A:B,2)</f>
        <v>Klesh_E_Vac_0_5</v>
      </c>
      <c r="C69" s="42" t="s">
        <v>967</v>
      </c>
      <c r="D69" s="42" t="s">
        <v>968</v>
      </c>
      <c r="E69" s="15">
        <v>45904.0</v>
      </c>
      <c r="F69" s="21">
        <v>1.0</v>
      </c>
      <c r="G69" s="21">
        <v>0.0</v>
      </c>
      <c r="H69" s="17" t="s">
        <v>214</v>
      </c>
      <c r="I69" s="15">
        <f t="shared" ref="I69:I74" si="8">I68</f>
        <v>45128</v>
      </c>
      <c r="J69" s="19">
        <v>45988.0</v>
      </c>
    </row>
    <row r="70">
      <c r="A70" s="5">
        <v>69.0</v>
      </c>
      <c r="B70" s="6" t="str">
        <f>VLOOKUP(A70,vaccines!A:B,2)</f>
        <v>Klesh_E_Vac_0_25</v>
      </c>
      <c r="C70" s="42" t="s">
        <v>967</v>
      </c>
      <c r="D70" s="42" t="s">
        <v>968</v>
      </c>
      <c r="E70" s="15">
        <v>45904.0</v>
      </c>
      <c r="F70" s="21">
        <v>1.0</v>
      </c>
      <c r="G70" s="21">
        <v>0.0</v>
      </c>
      <c r="H70" s="17" t="s">
        <v>214</v>
      </c>
      <c r="I70" s="15">
        <f t="shared" si="8"/>
        <v>45128</v>
      </c>
      <c r="J70" s="19">
        <v>45988.0</v>
      </c>
    </row>
    <row r="71">
      <c r="A71" s="5">
        <v>70.0</v>
      </c>
      <c r="B71" s="6" t="str">
        <f>VLOOKUP(A71,vaccines!A:B,2)</f>
        <v>EnceVir_0_5</v>
      </c>
      <c r="C71" s="14" t="s">
        <v>969</v>
      </c>
      <c r="D71" s="14" t="s">
        <v>970</v>
      </c>
      <c r="E71" s="15">
        <v>45510.0</v>
      </c>
      <c r="F71" s="16"/>
      <c r="G71" s="16"/>
      <c r="H71" s="29" t="s">
        <v>219</v>
      </c>
      <c r="I71" s="15">
        <f t="shared" si="8"/>
        <v>45128</v>
      </c>
      <c r="J71" s="19">
        <v>45589.0</v>
      </c>
    </row>
    <row r="72">
      <c r="A72" s="5">
        <v>71.0</v>
      </c>
      <c r="B72" s="6" t="str">
        <f>VLOOKUP(A72,vaccines!A:B,2)</f>
        <v>EnceVir_Neo_kids</v>
      </c>
      <c r="C72" s="14" t="s">
        <v>971</v>
      </c>
      <c r="D72" s="14" t="s">
        <v>972</v>
      </c>
      <c r="E72" s="15">
        <v>45520.0</v>
      </c>
      <c r="F72" s="16"/>
      <c r="G72" s="16"/>
      <c r="H72" s="29" t="s">
        <v>222</v>
      </c>
      <c r="I72" s="15">
        <f t="shared" si="8"/>
        <v>45128</v>
      </c>
      <c r="J72" s="19">
        <v>45589.0</v>
      </c>
    </row>
    <row r="73">
      <c r="A73" s="5">
        <v>72.0</v>
      </c>
      <c r="B73" s="6" t="str">
        <f>VLOOKUP(A73,vaccines!A:B,2)</f>
        <v>TBE_Chumakov_lyo</v>
      </c>
      <c r="C73" s="41" t="s">
        <v>967</v>
      </c>
      <c r="D73" s="41" t="s">
        <v>968</v>
      </c>
      <c r="E73" s="15">
        <v>45727.0</v>
      </c>
      <c r="F73" s="21">
        <v>1.0</v>
      </c>
      <c r="G73" s="21">
        <v>0.0</v>
      </c>
      <c r="H73" s="17" t="s">
        <v>225</v>
      </c>
      <c r="I73" s="15">
        <f t="shared" si="8"/>
        <v>45128</v>
      </c>
      <c r="J73" s="19">
        <v>45750.0</v>
      </c>
    </row>
    <row r="74">
      <c r="A74" s="5">
        <v>73.0</v>
      </c>
      <c r="B74" s="6" t="str">
        <f>VLOOKUP(A74,vaccines!A:B,2)</f>
        <v>Varilrix</v>
      </c>
      <c r="C74" s="14" t="s">
        <v>973</v>
      </c>
      <c r="D74" s="14" t="s">
        <v>974</v>
      </c>
      <c r="E74" s="15">
        <v>45439.0</v>
      </c>
      <c r="F74" s="21">
        <v>1.0</v>
      </c>
      <c r="G74" s="21">
        <v>0.0</v>
      </c>
      <c r="H74" s="17" t="s">
        <v>228</v>
      </c>
      <c r="I74" s="15">
        <f t="shared" si="8"/>
        <v>45128</v>
      </c>
      <c r="J74" s="31">
        <v>45830.0</v>
      </c>
    </row>
    <row r="75">
      <c r="A75" s="5">
        <v>74.0</v>
      </c>
      <c r="B75" s="6" t="str">
        <f>VLOOKUP(A75,vaccines!A:B,2)</f>
        <v>YF_Chumakov_lyo</v>
      </c>
      <c r="C75" s="40" t="s">
        <v>860</v>
      </c>
      <c r="D75" s="14" t="s">
        <v>861</v>
      </c>
      <c r="E75" s="22">
        <v>45288.0</v>
      </c>
      <c r="F75" s="23">
        <v>3.0</v>
      </c>
      <c r="G75" s="23">
        <v>2.0</v>
      </c>
      <c r="H75" s="25" t="s">
        <v>975</v>
      </c>
      <c r="I75" s="22">
        <v>45129.0</v>
      </c>
      <c r="J75" s="22">
        <v>45715.0</v>
      </c>
      <c r="K75" s="20" t="s">
        <v>18</v>
      </c>
    </row>
    <row r="76">
      <c r="A76" s="5">
        <v>75.0</v>
      </c>
      <c r="B76" s="6" t="str">
        <f>VLOOKUP(A76,vaccines!A:B,2)</f>
        <v>tularemia_Microgen</v>
      </c>
      <c r="C76" s="14" t="s">
        <v>976</v>
      </c>
      <c r="D76" s="14" t="s">
        <v>977</v>
      </c>
      <c r="E76" s="15">
        <v>45562.0</v>
      </c>
      <c r="F76" s="16"/>
      <c r="G76" s="16"/>
      <c r="H76" s="17" t="s">
        <v>234</v>
      </c>
      <c r="I76" s="15">
        <f>I75</f>
        <v>45129</v>
      </c>
      <c r="J76" s="19">
        <v>45589.0</v>
      </c>
    </row>
    <row r="77">
      <c r="A77" s="5">
        <v>76.0</v>
      </c>
      <c r="B77" s="6" t="str">
        <f>VLOOKUP(A77,vaccines!A:B,2)</f>
        <v>plague_molecular_lyo_RPN</v>
      </c>
      <c r="C77" s="30" t="s">
        <v>978</v>
      </c>
      <c r="D77" s="30" t="s">
        <v>979</v>
      </c>
      <c r="E77" s="22">
        <v>43209.0</v>
      </c>
      <c r="F77" s="23">
        <v>1.0</v>
      </c>
      <c r="G77" s="23">
        <v>0.0</v>
      </c>
      <c r="H77" s="25" t="s">
        <v>237</v>
      </c>
      <c r="I77" s="22">
        <v>45129.0</v>
      </c>
      <c r="J77" s="10"/>
    </row>
    <row r="78">
      <c r="A78" s="5">
        <v>77.0</v>
      </c>
      <c r="B78" s="6" t="str">
        <f>VLOOKUP(A78,vaccines!A:B,2)</f>
        <v>plague_live_lyo_48_NII_Minoborony</v>
      </c>
      <c r="C78" s="14" t="s">
        <v>980</v>
      </c>
      <c r="D78" s="14" t="s">
        <v>981</v>
      </c>
      <c r="E78" s="22">
        <v>40675.0</v>
      </c>
      <c r="F78" s="23">
        <v>1.0</v>
      </c>
      <c r="G78" s="23">
        <v>0.0</v>
      </c>
      <c r="H78" s="25" t="s">
        <v>675</v>
      </c>
      <c r="I78" s="22">
        <v>45129.0</v>
      </c>
      <c r="J78" s="10"/>
    </row>
    <row r="79">
      <c r="A79" s="5">
        <v>78.0</v>
      </c>
      <c r="B79" s="6" t="str">
        <f>VLOOKUP(A79,vaccines!A:B,2)</f>
        <v>plague_live_tablets_48_NII_Minoborony</v>
      </c>
      <c r="C79" s="14" t="s">
        <v>982</v>
      </c>
      <c r="D79" s="14" t="s">
        <v>983</v>
      </c>
      <c r="E79" s="22">
        <v>40126.0</v>
      </c>
      <c r="F79" s="23">
        <v>1.0</v>
      </c>
      <c r="G79" s="23">
        <v>0.0</v>
      </c>
      <c r="H79" s="25" t="s">
        <v>676</v>
      </c>
      <c r="I79" s="22">
        <v>45129.0</v>
      </c>
      <c r="J79" s="10"/>
    </row>
    <row r="80">
      <c r="A80" s="5">
        <v>79.0</v>
      </c>
      <c r="B80" s="6" t="str">
        <f>VLOOKUP(A80,vaccines!A:B,2)</f>
        <v>plague_live_lyo_RPN</v>
      </c>
      <c r="C80" s="14" t="s">
        <v>984</v>
      </c>
      <c r="D80" s="14" t="s">
        <v>985</v>
      </c>
      <c r="E80" s="22">
        <v>44158.0</v>
      </c>
      <c r="F80" s="23">
        <v>1.0</v>
      </c>
      <c r="G80" s="23">
        <v>0.0</v>
      </c>
      <c r="H80" s="24" t="s">
        <v>246</v>
      </c>
      <c r="I80" s="22">
        <v>45129.0</v>
      </c>
      <c r="J80" s="10"/>
    </row>
    <row r="81">
      <c r="A81" s="5">
        <v>80.0</v>
      </c>
      <c r="B81" s="6" t="str">
        <f>VLOOKUP(A81,vaccines!A:B,2)</f>
        <v>brucellosis_therapeutic_48_NII_Minoborony</v>
      </c>
      <c r="C81" s="14" t="s">
        <v>986</v>
      </c>
      <c r="D81" s="14" t="s">
        <v>987</v>
      </c>
      <c r="E81" s="22">
        <v>40263.0</v>
      </c>
      <c r="F81" s="23">
        <v>1.0</v>
      </c>
      <c r="G81" s="23">
        <v>0.0</v>
      </c>
      <c r="H81" s="25" t="s">
        <v>679</v>
      </c>
      <c r="I81" s="22">
        <v>45130.0</v>
      </c>
      <c r="J81" s="10"/>
    </row>
    <row r="82">
      <c r="A82" s="5">
        <v>81.0</v>
      </c>
      <c r="B82" s="6" t="str">
        <f>VLOOKUP(A82,vaccines!A:B,2)</f>
        <v>brucellosis_prophylactic_Microgen</v>
      </c>
      <c r="C82" s="14" t="s">
        <v>988</v>
      </c>
      <c r="D82" s="14" t="s">
        <v>989</v>
      </c>
      <c r="E82" s="15">
        <v>45743.0</v>
      </c>
      <c r="F82" s="21">
        <v>1.0</v>
      </c>
      <c r="G82" s="21">
        <v>0.0</v>
      </c>
      <c r="H82" s="17" t="s">
        <v>252</v>
      </c>
      <c r="I82" s="15">
        <f>I81</f>
        <v>45130</v>
      </c>
      <c r="J82" s="19">
        <v>45798.0</v>
      </c>
    </row>
    <row r="83">
      <c r="A83" s="5">
        <v>82.0</v>
      </c>
      <c r="B83" s="6" t="str">
        <f>VLOOKUP(A83,vaccines!A:B,2)</f>
        <v>anthrax_live_48_NII_Minoborony</v>
      </c>
      <c r="C83" s="14" t="s">
        <v>990</v>
      </c>
      <c r="D83" s="14" t="s">
        <v>991</v>
      </c>
      <c r="E83" s="22">
        <v>43754.0</v>
      </c>
      <c r="F83" s="23">
        <v>1.0</v>
      </c>
      <c r="G83" s="23">
        <v>0.0</v>
      </c>
      <c r="H83" s="24" t="s">
        <v>255</v>
      </c>
      <c r="I83" s="22">
        <v>45130.0</v>
      </c>
      <c r="J83" s="10"/>
    </row>
    <row r="84">
      <c r="A84" s="5">
        <v>83.0</v>
      </c>
      <c r="B84" s="6" t="str">
        <f>VLOOKUP(A84,vaccines!A:B,2)</f>
        <v>anthrax_combined_48_NII_Minoborony</v>
      </c>
      <c r="C84" s="14" t="s">
        <v>992</v>
      </c>
      <c r="D84" s="14" t="s">
        <v>993</v>
      </c>
      <c r="E84" s="22">
        <v>39773.0</v>
      </c>
      <c r="F84" s="23">
        <v>1.0</v>
      </c>
      <c r="G84" s="23">
        <v>0.0</v>
      </c>
      <c r="H84" s="24" t="s">
        <v>684</v>
      </c>
      <c r="I84" s="22">
        <v>45130.0</v>
      </c>
      <c r="J84" s="10"/>
    </row>
    <row r="85">
      <c r="A85" s="5">
        <v>84.0</v>
      </c>
      <c r="B85" s="6" t="str">
        <f>VLOOKUP(A85,vaccines!A:B,2)</f>
        <v>Rabipur</v>
      </c>
      <c r="C85" s="14" t="s">
        <v>994</v>
      </c>
      <c r="D85" s="14" t="s">
        <v>995</v>
      </c>
      <c r="E85" s="22">
        <v>42996.0</v>
      </c>
      <c r="F85" s="23">
        <v>1.0</v>
      </c>
      <c r="G85" s="23">
        <v>0.0</v>
      </c>
      <c r="H85" s="25" t="s">
        <v>261</v>
      </c>
      <c r="I85" s="22">
        <v>45130.0</v>
      </c>
      <c r="J85" s="10"/>
      <c r="K85" s="20" t="s">
        <v>18</v>
      </c>
    </row>
    <row r="86">
      <c r="A86" s="5">
        <v>85.0</v>
      </c>
      <c r="B86" s="6" t="str">
        <f>VLOOKUP(A86,vaccines!A:B,2)</f>
        <v>leptospirosis_Rostov_NII</v>
      </c>
      <c r="C86" s="40" t="s">
        <v>860</v>
      </c>
      <c r="D86" s="14" t="s">
        <v>861</v>
      </c>
      <c r="E86" s="22">
        <v>43881.0</v>
      </c>
      <c r="F86" s="23">
        <v>1.0</v>
      </c>
      <c r="G86" s="23">
        <v>0.0</v>
      </c>
      <c r="H86" s="24" t="s">
        <v>264</v>
      </c>
      <c r="I86" s="22">
        <v>45130.0</v>
      </c>
      <c r="J86" s="10"/>
    </row>
    <row r="87">
      <c r="A87" s="5">
        <v>86.0</v>
      </c>
      <c r="B87" s="6" t="str">
        <f>VLOOKUP(A87,vaccines!A:B,2)</f>
        <v>Q_fever_M_44_Microgen</v>
      </c>
      <c r="C87" s="14" t="s">
        <v>976</v>
      </c>
      <c r="D87" s="14" t="s">
        <v>977</v>
      </c>
      <c r="E87" s="15">
        <v>45691.0</v>
      </c>
      <c r="F87" s="21">
        <v>1.0</v>
      </c>
      <c r="G87" s="21">
        <v>0.0</v>
      </c>
      <c r="H87" s="17" t="s">
        <v>267</v>
      </c>
      <c r="I87" s="15">
        <f>I86</f>
        <v>45130</v>
      </c>
      <c r="J87" s="19">
        <v>45716.0</v>
      </c>
    </row>
    <row r="88">
      <c r="A88" s="5">
        <v>87.0</v>
      </c>
      <c r="B88" s="6" t="str">
        <f>VLOOKUP(A88,vaccines!A:B,2)</f>
        <v>cholera_NII_Microb</v>
      </c>
      <c r="C88" s="14" t="s">
        <v>996</v>
      </c>
      <c r="D88" s="14" t="s">
        <v>997</v>
      </c>
      <c r="E88" s="22">
        <v>44705.0</v>
      </c>
      <c r="F88" s="23">
        <v>1.0</v>
      </c>
      <c r="G88" s="23">
        <v>0.0</v>
      </c>
      <c r="H88" s="25" t="s">
        <v>270</v>
      </c>
      <c r="I88" s="22">
        <v>45130.0</v>
      </c>
      <c r="J88" s="10"/>
    </row>
    <row r="89">
      <c r="A89" s="5">
        <v>88.0</v>
      </c>
      <c r="B89" s="6" t="str">
        <f>VLOOKUP(A89,vaccines!A:B,2)</f>
        <v>Vianvac</v>
      </c>
      <c r="C89" s="14" t="s">
        <v>998</v>
      </c>
      <c r="D89" s="14" t="s">
        <v>999</v>
      </c>
      <c r="E89" s="15">
        <v>46036.0</v>
      </c>
      <c r="F89" s="21">
        <v>1.0</v>
      </c>
      <c r="G89" s="21">
        <v>0.0</v>
      </c>
      <c r="H89" s="17" t="s">
        <v>273</v>
      </c>
      <c r="I89" s="15">
        <f>I88</f>
        <v>45130</v>
      </c>
      <c r="J89" s="19">
        <v>46130.0</v>
      </c>
    </row>
    <row r="90">
      <c r="A90" s="5">
        <v>89.0</v>
      </c>
      <c r="B90" s="6" t="str">
        <f>VLOOKUP(A90,vaccines!A:B,2)</f>
        <v>Typhivac</v>
      </c>
      <c r="C90" s="40" t="s">
        <v>860</v>
      </c>
      <c r="D90" s="14" t="s">
        <v>861</v>
      </c>
      <c r="E90" s="22">
        <v>42762.0</v>
      </c>
      <c r="F90" s="23">
        <v>1.0</v>
      </c>
      <c r="G90" s="23">
        <v>0.0</v>
      </c>
      <c r="H90" s="24" t="s">
        <v>276</v>
      </c>
      <c r="I90" s="22">
        <v>45130.0</v>
      </c>
      <c r="J90" s="10"/>
    </row>
    <row r="91">
      <c r="A91" s="5">
        <v>90.0</v>
      </c>
      <c r="B91" s="6" t="str">
        <f>VLOOKUP(A91,vaccines!A:B,2)</f>
        <v>Shigellvac</v>
      </c>
      <c r="C91" s="14" t="s">
        <v>998</v>
      </c>
      <c r="D91" s="14" t="s">
        <v>999</v>
      </c>
      <c r="E91" s="15">
        <v>46015.0</v>
      </c>
      <c r="F91" s="21">
        <v>1.0</v>
      </c>
      <c r="G91" s="21">
        <v>0.0</v>
      </c>
      <c r="H91" s="17" t="s">
        <v>279</v>
      </c>
      <c r="I91" s="15">
        <f>I90</f>
        <v>45130</v>
      </c>
      <c r="J91" s="19">
        <v>46130.0</v>
      </c>
    </row>
    <row r="92">
      <c r="A92" s="5">
        <v>91.0</v>
      </c>
      <c r="B92" s="6" t="str">
        <f>VLOOKUP(A92,vaccines!A:B,2)</f>
        <v>CoviVac</v>
      </c>
      <c r="C92" s="14" t="s">
        <v>1000</v>
      </c>
      <c r="D92" s="14" t="s">
        <v>1001</v>
      </c>
      <c r="E92" s="22">
        <v>44246.0</v>
      </c>
      <c r="F92" s="23">
        <v>1.0</v>
      </c>
      <c r="G92" s="23">
        <v>0.0</v>
      </c>
      <c r="H92" s="25" t="s">
        <v>697</v>
      </c>
      <c r="I92" s="22">
        <v>45130.0</v>
      </c>
      <c r="J92" s="10"/>
    </row>
    <row r="93">
      <c r="A93" s="5">
        <v>92.0</v>
      </c>
      <c r="B93" s="6" t="str">
        <f>VLOOKUP(A93,vaccines!A:B,2)</f>
        <v>Sputnik_light</v>
      </c>
      <c r="C93" s="14" t="s">
        <v>1002</v>
      </c>
      <c r="D93" s="14" t="s">
        <v>1003</v>
      </c>
      <c r="E93" s="15">
        <v>45810.0</v>
      </c>
      <c r="F93" s="21">
        <v>1.0</v>
      </c>
      <c r="G93" s="21">
        <v>0.0</v>
      </c>
      <c r="H93" s="17" t="s">
        <v>285</v>
      </c>
      <c r="I93" s="15">
        <f>I92</f>
        <v>45130</v>
      </c>
      <c r="J93" s="19">
        <v>45830.0</v>
      </c>
    </row>
    <row r="94">
      <c r="A94" s="5">
        <v>93.0</v>
      </c>
      <c r="B94" s="6" t="str">
        <f>VLOOKUP(A94,vaccines!A:B,2)</f>
        <v>Sputnik_M</v>
      </c>
      <c r="C94" s="14" t="s">
        <v>1004</v>
      </c>
      <c r="D94" s="14" t="s">
        <v>1005</v>
      </c>
      <c r="E94" s="22">
        <v>44524.0</v>
      </c>
      <c r="F94" s="23">
        <v>1.0</v>
      </c>
      <c r="G94" s="23">
        <v>0.0</v>
      </c>
      <c r="H94" s="25" t="s">
        <v>288</v>
      </c>
      <c r="I94" s="22">
        <v>45130.0</v>
      </c>
      <c r="J94" s="10"/>
    </row>
    <row r="95">
      <c r="A95" s="5">
        <v>94.0</v>
      </c>
      <c r="B95" s="6" t="str">
        <f>VLOOKUP(A95,vaccines!A:B,2)</f>
        <v>Convacel</v>
      </c>
      <c r="C95" s="14" t="s">
        <v>1006</v>
      </c>
      <c r="D95" s="14" t="s">
        <v>1007</v>
      </c>
      <c r="E95" s="15">
        <v>46009.0</v>
      </c>
      <c r="F95" s="21">
        <v>1.0</v>
      </c>
      <c r="G95" s="21">
        <v>0.0</v>
      </c>
      <c r="H95" s="17" t="s">
        <v>291</v>
      </c>
      <c r="I95" s="15">
        <f>I94</f>
        <v>45130</v>
      </c>
      <c r="J95" s="19">
        <v>46053.0</v>
      </c>
      <c r="K95" s="20" t="s">
        <v>18</v>
      </c>
    </row>
    <row r="96">
      <c r="A96" s="5">
        <v>95.0</v>
      </c>
      <c r="B96" s="6" t="str">
        <f>VLOOKUP(A96,vaccines!A:B,2)</f>
        <v>Aurora</v>
      </c>
      <c r="C96" s="14" t="s">
        <v>1008</v>
      </c>
      <c r="D96" s="14" t="s">
        <v>1009</v>
      </c>
      <c r="E96" s="22">
        <v>44434.0</v>
      </c>
      <c r="F96" s="23">
        <v>1.0</v>
      </c>
      <c r="G96" s="23">
        <v>0.0</v>
      </c>
      <c r="H96" s="25" t="s">
        <v>294</v>
      </c>
      <c r="I96" s="22">
        <v>45130.0</v>
      </c>
      <c r="J96" s="10"/>
    </row>
    <row r="97">
      <c r="A97" s="5">
        <v>96.0</v>
      </c>
      <c r="B97" s="6" t="str">
        <f>VLOOKUP(A97,vaccines!A:B,2)</f>
        <v>Rota_V_Aid</v>
      </c>
      <c r="C97" s="14" t="s">
        <v>1010</v>
      </c>
      <c r="D97" s="14" t="s">
        <v>1011</v>
      </c>
      <c r="E97" s="15">
        <v>45594.0</v>
      </c>
      <c r="F97" s="16"/>
      <c r="G97" s="16"/>
      <c r="H97" s="17" t="s">
        <v>297</v>
      </c>
      <c r="I97" s="15">
        <f>I96</f>
        <v>45130</v>
      </c>
      <c r="J97" s="15">
        <v>45629.0</v>
      </c>
    </row>
    <row r="98">
      <c r="A98" s="5">
        <v>97.0</v>
      </c>
      <c r="B98" s="6" t="str">
        <f>VLOOKUP(A98,vaccines!A:B,2)</f>
        <v>Hib_Rostov</v>
      </c>
      <c r="C98" s="40" t="s">
        <v>860</v>
      </c>
      <c r="D98" s="14" t="s">
        <v>861</v>
      </c>
      <c r="E98" s="22">
        <v>42577.0</v>
      </c>
      <c r="F98" s="23">
        <v>1.0</v>
      </c>
      <c r="G98" s="23">
        <v>0.0</v>
      </c>
      <c r="H98" s="24" t="s">
        <v>300</v>
      </c>
      <c r="I98" s="22">
        <v>45130.0</v>
      </c>
      <c r="J98" s="10"/>
    </row>
    <row r="99">
      <c r="A99" s="5">
        <v>98.0</v>
      </c>
      <c r="B99" s="6" t="str">
        <f>VLOOKUP(A99,vaccines!A:B,2)</f>
        <v>HepB_Combiotech_1_0</v>
      </c>
      <c r="C99" s="14" t="s">
        <v>888</v>
      </c>
      <c r="D99" s="14" t="s">
        <v>889</v>
      </c>
      <c r="E99" s="15">
        <v>46056.0</v>
      </c>
      <c r="F99" s="21">
        <v>1.0</v>
      </c>
      <c r="G99" s="21">
        <v>0.0</v>
      </c>
      <c r="H99" s="17" t="s">
        <v>84</v>
      </c>
      <c r="I99" s="15">
        <f t="shared" ref="I99:I101" si="9">I98</f>
        <v>45130</v>
      </c>
      <c r="J99" s="19">
        <v>46130.0</v>
      </c>
    </row>
    <row r="100">
      <c r="A100" s="5">
        <v>99.0</v>
      </c>
      <c r="B100" s="6" t="str">
        <f>VLOOKUP(A100,vaccines!A:B,2)</f>
        <v>Regevac_1_0</v>
      </c>
      <c r="C100" s="14" t="s">
        <v>886</v>
      </c>
      <c r="D100" s="14" t="s">
        <v>887</v>
      </c>
      <c r="E100" s="15">
        <v>45216.0</v>
      </c>
      <c r="F100" s="21">
        <v>1.0</v>
      </c>
      <c r="G100" s="21">
        <v>0.0</v>
      </c>
      <c r="H100" s="17" t="s">
        <v>81</v>
      </c>
      <c r="I100" s="15">
        <f t="shared" si="9"/>
        <v>45130</v>
      </c>
      <c r="J100" s="19">
        <v>45988.0</v>
      </c>
    </row>
    <row r="101">
      <c r="A101" s="5">
        <v>100.0</v>
      </c>
      <c r="B101" s="6" t="str">
        <f>VLOOKUP(A101,vaccines!A:B,2)</f>
        <v>Priorix_Tetra</v>
      </c>
      <c r="C101" s="14" t="s">
        <v>1012</v>
      </c>
      <c r="D101" s="14" t="s">
        <v>1013</v>
      </c>
      <c r="E101" s="15">
        <v>45453.0</v>
      </c>
      <c r="F101" s="16"/>
      <c r="G101" s="16"/>
      <c r="H101" s="17" t="s">
        <v>307</v>
      </c>
      <c r="I101" s="15">
        <f t="shared" si="9"/>
        <v>45130</v>
      </c>
      <c r="J101" s="19">
        <v>45510.0</v>
      </c>
    </row>
    <row r="102">
      <c r="A102" s="5">
        <v>101.0</v>
      </c>
      <c r="B102" s="6" t="str">
        <f>VLOOKUP(A102,vaccines!A:B,2)</f>
        <v>Menveo</v>
      </c>
      <c r="C102" s="14" t="s">
        <v>1014</v>
      </c>
      <c r="D102" s="14" t="s">
        <v>1015</v>
      </c>
      <c r="E102" s="22">
        <v>44890.0</v>
      </c>
      <c r="F102" s="23">
        <v>4.0</v>
      </c>
      <c r="G102" s="23">
        <v>3.0</v>
      </c>
      <c r="H102" s="25" t="s">
        <v>1016</v>
      </c>
      <c r="I102" s="22">
        <v>45130.0</v>
      </c>
      <c r="J102" s="10"/>
    </row>
    <row r="103">
      <c r="A103" s="5">
        <v>102.0</v>
      </c>
      <c r="B103" s="6" t="str">
        <f>VLOOKUP(A103,vaccines!A:B,2)</f>
        <v>Sputnik_intranasal</v>
      </c>
      <c r="C103" s="14" t="s">
        <v>1006</v>
      </c>
      <c r="D103" s="14" t="s">
        <v>1007</v>
      </c>
      <c r="E103" s="22">
        <v>44651.0</v>
      </c>
      <c r="F103" s="23">
        <v>1.0</v>
      </c>
      <c r="G103" s="23">
        <v>0.0</v>
      </c>
      <c r="H103" s="25" t="s">
        <v>313</v>
      </c>
      <c r="I103" s="22">
        <v>45130.0</v>
      </c>
      <c r="J103" s="10"/>
    </row>
    <row r="104">
      <c r="A104" s="5">
        <v>103.0</v>
      </c>
      <c r="B104" s="6" t="str">
        <f>VLOOKUP(A104,vaccines!A:B,2)</f>
        <v>Grippol_plus_0_25</v>
      </c>
      <c r="C104" s="14" t="s">
        <v>904</v>
      </c>
      <c r="D104" s="14" t="s">
        <v>905</v>
      </c>
      <c r="E104" s="15">
        <v>45182.0</v>
      </c>
      <c r="F104" s="16"/>
      <c r="G104" s="16"/>
      <c r="H104" s="17" t="s">
        <v>113</v>
      </c>
      <c r="I104" s="22">
        <v>45130.0</v>
      </c>
      <c r="J104" s="22">
        <v>45483.0</v>
      </c>
    </row>
    <row r="105">
      <c r="A105" s="5">
        <v>104.0</v>
      </c>
      <c r="B105" s="6" t="str">
        <f>VLOOKUP(A105,vaccines!A:B,2)</f>
        <v>Flu_M_Tetra</v>
      </c>
      <c r="C105" s="14" t="s">
        <v>910</v>
      </c>
      <c r="D105" s="14" t="s">
        <v>911</v>
      </c>
      <c r="E105" s="15">
        <v>45741.0</v>
      </c>
      <c r="F105" s="21">
        <v>1.0</v>
      </c>
      <c r="G105" s="21">
        <v>0.0</v>
      </c>
      <c r="H105" s="17" t="s">
        <v>318</v>
      </c>
      <c r="I105" s="15">
        <f t="shared" ref="I105:I106" si="10">I104</f>
        <v>45130</v>
      </c>
      <c r="J105" s="19">
        <v>45798.0</v>
      </c>
      <c r="K105" s="20" t="s">
        <v>18</v>
      </c>
    </row>
    <row r="106">
      <c r="A106" s="5">
        <v>105.0</v>
      </c>
      <c r="B106" s="6" t="str">
        <f>VLOOKUP(A106,vaccines!A:B,2)</f>
        <v>Vaxigrip_Tetra</v>
      </c>
      <c r="C106" s="14" t="s">
        <v>1017</v>
      </c>
      <c r="D106" s="14" t="s">
        <v>1018</v>
      </c>
      <c r="E106" s="15">
        <v>45300.0</v>
      </c>
      <c r="F106" s="16"/>
      <c r="G106" s="16"/>
      <c r="H106" s="17" t="s">
        <v>321</v>
      </c>
      <c r="I106" s="15">
        <f t="shared" si="10"/>
        <v>45130</v>
      </c>
      <c r="J106" s="19">
        <v>45489.0</v>
      </c>
    </row>
    <row r="107">
      <c r="A107" s="5">
        <v>106.0</v>
      </c>
      <c r="B107" s="6" t="str">
        <f>VLOOKUP(A107,vaccines!A:B,2)</f>
        <v>Ocavax</v>
      </c>
      <c r="C107" s="14" t="s">
        <v>1019</v>
      </c>
      <c r="D107" s="14" t="s">
        <v>1020</v>
      </c>
      <c r="E107" s="22">
        <v>40233.0</v>
      </c>
      <c r="F107" s="23">
        <v>1.0</v>
      </c>
      <c r="G107" s="23">
        <v>0.0</v>
      </c>
      <c r="H107" s="25" t="s">
        <v>324</v>
      </c>
      <c r="I107" s="22">
        <v>45130.0</v>
      </c>
      <c r="J107" s="10"/>
    </row>
    <row r="108">
      <c r="A108" s="5">
        <v>107.0</v>
      </c>
      <c r="B108" s="6" t="str">
        <f>VLOOKUP(A108,vaccines!A:B,2)</f>
        <v>Pneumo_23</v>
      </c>
      <c r="C108" s="14" t="s">
        <v>1021</v>
      </c>
      <c r="D108" s="14" t="s">
        <v>1022</v>
      </c>
      <c r="E108" s="22">
        <v>41688.0</v>
      </c>
      <c r="F108" s="23">
        <v>1.0</v>
      </c>
      <c r="G108" s="23">
        <v>0.0</v>
      </c>
      <c r="H108" s="25" t="s">
        <v>327</v>
      </c>
      <c r="I108" s="22">
        <v>45130.0</v>
      </c>
      <c r="J108" s="10"/>
    </row>
    <row r="109">
      <c r="A109" s="5">
        <v>108.0</v>
      </c>
      <c r="B109" s="6" t="str">
        <f>VLOOKUP(A109,vaccines!A:B,2)</f>
        <v>Varivax</v>
      </c>
      <c r="C109" s="30" t="s">
        <v>1023</v>
      </c>
      <c r="D109" s="30" t="s">
        <v>1024</v>
      </c>
      <c r="E109" s="15">
        <v>45126.0</v>
      </c>
      <c r="F109" s="16"/>
      <c r="G109" s="16"/>
      <c r="H109" s="17" t="s">
        <v>330</v>
      </c>
      <c r="I109" s="22">
        <v>45131.0</v>
      </c>
      <c r="J109" s="19">
        <v>45489.0</v>
      </c>
    </row>
    <row r="110">
      <c r="A110" s="5">
        <v>109.0</v>
      </c>
      <c r="B110" s="6" t="str">
        <f>VLOOKUP(A110,vaccines!A:B,2)</f>
        <v>Pneumotex</v>
      </c>
      <c r="C110" s="41" t="s">
        <v>1025</v>
      </c>
      <c r="D110" s="14" t="s">
        <v>1026</v>
      </c>
      <c r="E110" s="15">
        <v>45777.0</v>
      </c>
      <c r="F110" s="21">
        <v>1.0</v>
      </c>
      <c r="G110" s="21">
        <v>0.0</v>
      </c>
      <c r="H110" s="17" t="s">
        <v>333</v>
      </c>
      <c r="I110" s="22">
        <v>45131.0</v>
      </c>
      <c r="J110" s="19">
        <v>45818.0</v>
      </c>
    </row>
    <row r="111">
      <c r="A111" s="5">
        <v>110.0</v>
      </c>
      <c r="B111" s="6" t="str">
        <f>VLOOKUP(A111,vaccines!A:B,2)</f>
        <v>Priorix</v>
      </c>
      <c r="C111" s="14" t="s">
        <v>1027</v>
      </c>
      <c r="D111" s="14" t="s">
        <v>1028</v>
      </c>
      <c r="E111" s="22">
        <v>43437.0</v>
      </c>
      <c r="F111" s="23">
        <v>5.0</v>
      </c>
      <c r="G111" s="23">
        <v>7.0</v>
      </c>
      <c r="H111" s="25" t="s">
        <v>1029</v>
      </c>
      <c r="I111" s="22">
        <v>45131.0</v>
      </c>
      <c r="J111" s="10"/>
    </row>
    <row r="112">
      <c r="A112" s="5">
        <v>111.0</v>
      </c>
      <c r="B112" s="6" t="str">
        <f>VLOOKUP(A112,vaccines!A:B,2)</f>
        <v>MenQuadfi</v>
      </c>
      <c r="C112" s="14" t="s">
        <v>1030</v>
      </c>
      <c r="D112" s="14" t="s">
        <v>1031</v>
      </c>
      <c r="E112" s="15">
        <v>45932.0</v>
      </c>
      <c r="F112" s="21">
        <v>1.0</v>
      </c>
      <c r="G112" s="21">
        <v>0.0</v>
      </c>
      <c r="H112" s="17" t="s">
        <v>339</v>
      </c>
      <c r="I112" s="22">
        <v>45131.0</v>
      </c>
      <c r="J112" s="19">
        <v>46072.0</v>
      </c>
    </row>
    <row r="113">
      <c r="A113" s="5">
        <v>112.0</v>
      </c>
      <c r="B113" s="6" t="str">
        <f>VLOOKUP(A113,vaccines!A:B,2)</f>
        <v>Bexsero</v>
      </c>
      <c r="C113" s="14" t="s">
        <v>1032</v>
      </c>
      <c r="D113" s="14" t="s">
        <v>1033</v>
      </c>
      <c r="E113" s="15">
        <v>45391.0</v>
      </c>
      <c r="F113" s="16"/>
      <c r="G113" s="16"/>
      <c r="H113" s="17" t="s">
        <v>342</v>
      </c>
      <c r="I113" s="22">
        <v>45131.0</v>
      </c>
      <c r="J113" s="19">
        <v>45489.0</v>
      </c>
    </row>
    <row r="114">
      <c r="A114" s="5">
        <v>113.0</v>
      </c>
      <c r="B114" s="6" t="str">
        <f>VLOOKUP(A114,vaccines!A:B,2)</f>
        <v>Sputnik_D</v>
      </c>
      <c r="C114" s="14" t="s">
        <v>1034</v>
      </c>
      <c r="D114" s="14" t="s">
        <v>1035</v>
      </c>
      <c r="E114" s="22">
        <v>45030.0</v>
      </c>
      <c r="F114" s="23">
        <v>1.0</v>
      </c>
      <c r="G114" s="23">
        <v>0.0</v>
      </c>
      <c r="H114" s="25" t="s">
        <v>345</v>
      </c>
      <c r="I114" s="22">
        <v>45131.0</v>
      </c>
      <c r="J114" s="10"/>
    </row>
    <row r="115">
      <c r="A115" s="5">
        <v>114.0</v>
      </c>
      <c r="B115" s="6" t="str">
        <f>VLOOKUP(A115,vaccines!A:B,2)</f>
        <v>Encepur_0_25</v>
      </c>
      <c r="C115" s="14" t="s">
        <v>1036</v>
      </c>
      <c r="D115" s="14" t="s">
        <v>1037</v>
      </c>
      <c r="E115" s="22">
        <v>40252.0</v>
      </c>
      <c r="F115" s="23">
        <v>1.0</v>
      </c>
      <c r="G115" s="23">
        <v>0.0</v>
      </c>
      <c r="H115" s="24" t="s">
        <v>348</v>
      </c>
      <c r="I115" s="22">
        <v>45131.0</v>
      </c>
      <c r="J115" s="10"/>
      <c r="K115" s="20" t="s">
        <v>18</v>
      </c>
    </row>
    <row r="116">
      <c r="A116" s="5">
        <v>115.0</v>
      </c>
      <c r="B116" s="6" t="str">
        <f>VLOOKUP(A116,vaccines!A:B,2)</f>
        <v>Encepur_0_5</v>
      </c>
      <c r="C116" s="14" t="s">
        <v>1038</v>
      </c>
      <c r="D116" s="14" t="s">
        <v>1039</v>
      </c>
      <c r="E116" s="22">
        <v>39878.0</v>
      </c>
      <c r="F116" s="23">
        <v>1.0</v>
      </c>
      <c r="G116" s="23">
        <v>0.0</v>
      </c>
      <c r="H116" s="24" t="s">
        <v>351</v>
      </c>
      <c r="I116" s="22">
        <v>45131.0</v>
      </c>
      <c r="J116" s="10"/>
    </row>
    <row r="117">
      <c r="A117" s="5">
        <v>116.0</v>
      </c>
      <c r="B117" s="6" t="str">
        <f>VLOOKUP(A117,vaccines!A:B,2)</f>
        <v>Poliovaccine</v>
      </c>
      <c r="C117" s="40" t="s">
        <v>860</v>
      </c>
      <c r="D117" s="14" t="s">
        <v>861</v>
      </c>
      <c r="E117" s="22">
        <v>44476.0</v>
      </c>
      <c r="F117" s="23">
        <v>1.0</v>
      </c>
      <c r="G117" s="23">
        <v>0.0</v>
      </c>
      <c r="H117" s="25" t="s">
        <v>354</v>
      </c>
      <c r="I117" s="22">
        <v>45131.0</v>
      </c>
      <c r="J117" s="10"/>
    </row>
    <row r="118">
      <c r="A118" s="5">
        <v>117.0</v>
      </c>
      <c r="B118" s="6" t="str">
        <f>VLOOKUP(A118,vaccines!A:B,2)</f>
        <v>Act_Hib</v>
      </c>
      <c r="C118" s="14" t="s">
        <v>1040</v>
      </c>
      <c r="D118" s="14" t="s">
        <v>1041</v>
      </c>
      <c r="E118" s="22">
        <v>41936.0</v>
      </c>
      <c r="F118" s="23">
        <v>1.0</v>
      </c>
      <c r="G118" s="23">
        <v>0.0</v>
      </c>
      <c r="H118" s="24" t="s">
        <v>748</v>
      </c>
      <c r="I118" s="22">
        <v>45131.0</v>
      </c>
      <c r="J118" s="10"/>
    </row>
    <row r="119">
      <c r="A119" s="5">
        <v>118.0</v>
      </c>
      <c r="B119" s="6" t="str">
        <f>VLOOKUP(A119,vaccines!A:B,2)</f>
        <v>Hiberix</v>
      </c>
      <c r="C119" s="14" t="s">
        <v>1042</v>
      </c>
      <c r="D119" s="14" t="s">
        <v>1043</v>
      </c>
      <c r="E119" s="22">
        <v>41047.0</v>
      </c>
      <c r="F119" s="23">
        <v>1.0</v>
      </c>
      <c r="G119" s="23">
        <v>0.0</v>
      </c>
      <c r="H119" s="24" t="s">
        <v>1044</v>
      </c>
      <c r="I119" s="22">
        <v>45131.0</v>
      </c>
      <c r="J119" s="10"/>
    </row>
    <row r="120">
      <c r="A120" s="5">
        <v>119.0</v>
      </c>
      <c r="B120" s="6" t="str">
        <f>VLOOKUP(A120,vaccines!A:B,2)</f>
        <v>FSME_Immun_Junior</v>
      </c>
      <c r="C120" s="14" t="s">
        <v>1045</v>
      </c>
      <c r="D120" s="14" t="s">
        <v>1046</v>
      </c>
      <c r="E120" s="22">
        <v>43115.0</v>
      </c>
      <c r="F120" s="23">
        <v>1.0</v>
      </c>
      <c r="G120" s="23">
        <v>0.0</v>
      </c>
      <c r="H120" s="24" t="s">
        <v>363</v>
      </c>
      <c r="I120" s="22">
        <v>45131.0</v>
      </c>
      <c r="J120" s="10"/>
    </row>
    <row r="121">
      <c r="A121" s="5">
        <v>120.0</v>
      </c>
      <c r="B121" s="6" t="str">
        <f>VLOOKUP(A121,vaccines!A:B,2)</f>
        <v>FSME_Immun</v>
      </c>
      <c r="C121" s="14" t="s">
        <v>1047</v>
      </c>
      <c r="D121" s="14" t="s">
        <v>1048</v>
      </c>
      <c r="E121" s="22">
        <v>44169.0</v>
      </c>
      <c r="F121" s="23">
        <v>1.0</v>
      </c>
      <c r="G121" s="23">
        <v>0.0</v>
      </c>
      <c r="H121" s="24" t="s">
        <v>366</v>
      </c>
      <c r="I121" s="22">
        <v>45131.0</v>
      </c>
      <c r="J121" s="10"/>
      <c r="K121" s="20" t="s">
        <v>18</v>
      </c>
    </row>
    <row r="122">
      <c r="A122" s="5">
        <v>121.0</v>
      </c>
      <c r="B122" s="6" t="str">
        <f>VLOOKUP(A122,vaccines!A:B,2)</f>
        <v>SciBiVac</v>
      </c>
      <c r="C122" s="14" t="s">
        <v>1049</v>
      </c>
      <c r="D122" s="14" t="s">
        <v>1050</v>
      </c>
      <c r="E122" s="22">
        <v>44762.0</v>
      </c>
      <c r="F122" s="23">
        <v>1.0</v>
      </c>
      <c r="G122" s="23">
        <v>0.0</v>
      </c>
      <c r="H122" s="25" t="s">
        <v>369</v>
      </c>
      <c r="I122" s="22">
        <v>45131.0</v>
      </c>
      <c r="J122" s="10"/>
    </row>
    <row r="123">
      <c r="A123" s="5">
        <v>122.0</v>
      </c>
      <c r="B123" s="6" t="str">
        <f>VLOOKUP(A123,vaccines!A:B,2)</f>
        <v>Pentavaccina</v>
      </c>
      <c r="C123" s="14" t="s">
        <v>1051</v>
      </c>
      <c r="D123" s="14" t="s">
        <v>1052</v>
      </c>
      <c r="E123" s="43">
        <v>45320.0</v>
      </c>
      <c r="H123" s="25" t="s">
        <v>372</v>
      </c>
      <c r="I123" s="22">
        <v>45131.0</v>
      </c>
      <c r="J123" s="22">
        <v>45460.0</v>
      </c>
    </row>
    <row r="124">
      <c r="A124" s="5">
        <v>123.0</v>
      </c>
      <c r="B124" s="6" t="str">
        <f>VLOOKUP(A124,vaccines!A:B,2)</f>
        <v>Vitagerpavac</v>
      </c>
      <c r="C124" s="14" t="s">
        <v>1053</v>
      </c>
      <c r="D124" s="14" t="s">
        <v>1054</v>
      </c>
      <c r="E124" s="31">
        <v>40255.0</v>
      </c>
      <c r="F124" s="5">
        <v>1.0</v>
      </c>
      <c r="G124" s="5">
        <v>0.0</v>
      </c>
      <c r="H124" s="32" t="s">
        <v>375</v>
      </c>
      <c r="I124" s="22">
        <v>45169.0</v>
      </c>
      <c r="J124" s="10"/>
      <c r="K124" s="20" t="s">
        <v>14</v>
      </c>
    </row>
    <row r="125">
      <c r="A125" s="6">
        <v>124.0</v>
      </c>
      <c r="B125" s="6" t="str">
        <f>VLOOKUP(A125,vaccines!A:B,2)</f>
        <v>Shingrix</v>
      </c>
      <c r="C125" s="14" t="s">
        <v>858</v>
      </c>
      <c r="D125" s="14" t="s">
        <v>1055</v>
      </c>
      <c r="E125" s="15">
        <v>45440.0</v>
      </c>
      <c r="F125" s="16"/>
      <c r="G125" s="16"/>
      <c r="H125" s="17" t="s">
        <v>379</v>
      </c>
      <c r="I125" s="18">
        <v>45447.0</v>
      </c>
      <c r="J125" s="15">
        <v>45589.0</v>
      </c>
    </row>
    <row r="126">
      <c r="A126" s="6">
        <v>125.0</v>
      </c>
      <c r="B126" s="6" t="str">
        <f>VLOOKUP(A126,vaccines!A:B,2)</f>
        <v>Trivaid</v>
      </c>
      <c r="C126" s="14" t="s">
        <v>1056</v>
      </c>
      <c r="D126" s="14" t="s">
        <v>1057</v>
      </c>
      <c r="E126" s="15">
        <v>45996.0</v>
      </c>
      <c r="F126" s="21">
        <v>1.0</v>
      </c>
      <c r="G126" s="21">
        <v>0.0</v>
      </c>
      <c r="H126" s="17" t="s">
        <v>382</v>
      </c>
      <c r="I126" s="15">
        <v>45436.0</v>
      </c>
      <c r="J126" s="15">
        <v>46053.0</v>
      </c>
    </row>
    <row r="127">
      <c r="A127" s="6">
        <v>126.0</v>
      </c>
      <c r="B127" s="6" t="str">
        <f>VLOOKUP(A127,vaccines!A:B,2)</f>
        <v>BabyHib</v>
      </c>
      <c r="C127" s="14" t="s">
        <v>868</v>
      </c>
      <c r="D127" s="14" t="s">
        <v>869</v>
      </c>
      <c r="E127" s="15">
        <v>45938.0</v>
      </c>
      <c r="F127" s="21">
        <v>1.0</v>
      </c>
      <c r="G127" s="21">
        <v>0.0</v>
      </c>
      <c r="H127" s="17" t="s">
        <v>385</v>
      </c>
      <c r="I127" s="15">
        <v>45436.0</v>
      </c>
      <c r="J127" s="15">
        <v>45988.0</v>
      </c>
    </row>
    <row r="128">
      <c r="A128" s="6">
        <v>127.0</v>
      </c>
      <c r="B128" s="6" t="str">
        <f>VLOOKUP(A128,vaccines!A:B,2)</f>
        <v>AD_M_Biomed</v>
      </c>
      <c r="C128" s="40" t="s">
        <v>860</v>
      </c>
      <c r="D128" s="14" t="s">
        <v>861</v>
      </c>
      <c r="E128" s="31">
        <v>41046.0</v>
      </c>
      <c r="F128" s="5">
        <v>1.0</v>
      </c>
      <c r="G128" s="5">
        <v>0.0</v>
      </c>
      <c r="H128" s="32" t="s">
        <v>388</v>
      </c>
      <c r="I128" s="18">
        <v>45461.0</v>
      </c>
      <c r="J128" s="10"/>
    </row>
    <row r="129">
      <c r="A129" s="6">
        <v>128.0</v>
      </c>
      <c r="B129" s="6" t="str">
        <f>VLOOKUP(A129,vaccines!A:B,2)</f>
        <v>AS_D_Microgen</v>
      </c>
      <c r="C129" s="14" t="s">
        <v>1058</v>
      </c>
      <c r="D129" s="14" t="s">
        <v>1059</v>
      </c>
      <c r="E129" s="15">
        <v>45266.0</v>
      </c>
      <c r="F129" s="6"/>
      <c r="G129" s="6"/>
      <c r="H129" s="32" t="s">
        <v>391</v>
      </c>
      <c r="I129" s="18">
        <v>45461.0</v>
      </c>
      <c r="J129" s="10"/>
    </row>
    <row r="130">
      <c r="A130" s="6">
        <v>129.0</v>
      </c>
      <c r="B130" s="6" t="str">
        <f>VLOOKUP(A130,vaccines!A:B,2)</f>
        <v>Variola</v>
      </c>
      <c r="C130" s="14" t="s">
        <v>1060</v>
      </c>
      <c r="D130" s="14" t="s">
        <v>1061</v>
      </c>
      <c r="E130" s="15">
        <v>45252.0</v>
      </c>
      <c r="F130" s="6"/>
      <c r="G130" s="6"/>
      <c r="H130" s="32" t="s">
        <v>394</v>
      </c>
      <c r="I130" s="18">
        <v>45461.0</v>
      </c>
      <c r="J130" s="10"/>
    </row>
    <row r="131">
      <c r="A131" s="6">
        <v>130.0</v>
      </c>
      <c r="B131" s="6" t="str">
        <f>VLOOKUP(A131,vaccines!A:B,2)</f>
        <v>AKDS_HepB_Microgen</v>
      </c>
      <c r="C131" s="14" t="s">
        <v>1062</v>
      </c>
      <c r="D131" s="14" t="s">
        <v>1063</v>
      </c>
      <c r="E131" s="15">
        <v>45135.0</v>
      </c>
      <c r="F131" s="6"/>
      <c r="G131" s="6"/>
      <c r="H131" s="32" t="s">
        <v>397</v>
      </c>
      <c r="I131" s="15">
        <v>45464.0</v>
      </c>
      <c r="J131" s="10"/>
    </row>
    <row r="132">
      <c r="A132" s="6">
        <v>131.0</v>
      </c>
      <c r="B132" s="6" t="str">
        <f>VLOOKUP(A132,vaccines!A:B,2)</f>
        <v>Rickettsia</v>
      </c>
      <c r="C132" s="14" t="s">
        <v>1064</v>
      </c>
      <c r="D132" s="14" t="s">
        <v>1065</v>
      </c>
      <c r="E132" s="15">
        <v>45107.0</v>
      </c>
      <c r="F132" s="6"/>
      <c r="G132" s="6"/>
      <c r="H132" s="32" t="s">
        <v>400</v>
      </c>
      <c r="I132" s="15">
        <v>45464.0</v>
      </c>
      <c r="J132" s="10"/>
    </row>
    <row r="133">
      <c r="A133" s="6">
        <v>132.0</v>
      </c>
      <c r="B133" s="6" t="str">
        <f>VLOOKUP(A133,vaccines!A:B,2)</f>
        <v>OspaVir</v>
      </c>
      <c r="C133" s="14" t="s">
        <v>1066</v>
      </c>
      <c r="D133" s="14" t="s">
        <v>1067</v>
      </c>
      <c r="E133" s="15">
        <v>45077.0</v>
      </c>
      <c r="F133" s="6"/>
      <c r="G133" s="6"/>
      <c r="H133" s="32" t="s">
        <v>403</v>
      </c>
      <c r="I133" s="15">
        <v>45464.0</v>
      </c>
      <c r="J133" s="10"/>
    </row>
    <row r="134">
      <c r="A134" s="6">
        <v>133.0</v>
      </c>
      <c r="B134" s="6" t="str">
        <f>VLOOKUP(A134,vaccines!A:B,2)</f>
        <v>Gonovaccina_therapeutic</v>
      </c>
      <c r="C134" s="14" t="s">
        <v>1068</v>
      </c>
      <c r="D134" s="14" t="s">
        <v>1069</v>
      </c>
      <c r="E134" s="15">
        <v>44942.0</v>
      </c>
      <c r="F134" s="6"/>
      <c r="G134" s="6"/>
      <c r="H134" s="32" t="s">
        <v>406</v>
      </c>
      <c r="I134" s="15">
        <v>45464.0</v>
      </c>
      <c r="J134" s="10"/>
    </row>
    <row r="135">
      <c r="A135" s="6">
        <v>134.0</v>
      </c>
      <c r="B135" s="6" t="str">
        <f>VLOOKUP(A135,vaccines!A:B,2)</f>
        <v>OrtopoxVac</v>
      </c>
      <c r="C135" s="14" t="s">
        <v>1070</v>
      </c>
      <c r="D135" s="14" t="s">
        <v>1071</v>
      </c>
      <c r="E135" s="22">
        <v>45147.0</v>
      </c>
      <c r="H135" s="24" t="s">
        <v>409</v>
      </c>
      <c r="I135" s="22">
        <v>45465.0</v>
      </c>
      <c r="J135" s="10"/>
    </row>
    <row r="136">
      <c r="A136" s="6">
        <v>135.0</v>
      </c>
      <c r="B136" s="6" t="str">
        <f>VLOOKUP(A136,vaccines!A:B,2)</f>
        <v>FlexVac</v>
      </c>
      <c r="C136" s="14" t="s">
        <v>998</v>
      </c>
      <c r="D136" s="14" t="s">
        <v>999</v>
      </c>
      <c r="E136" s="15">
        <v>46126.0</v>
      </c>
      <c r="F136" s="5">
        <v>1.0</v>
      </c>
      <c r="G136" s="5">
        <v>0.0</v>
      </c>
      <c r="H136" s="32" t="s">
        <v>412</v>
      </c>
      <c r="I136" s="15">
        <v>45465.0</v>
      </c>
      <c r="J136" s="15">
        <v>46188.0</v>
      </c>
    </row>
    <row r="137">
      <c r="A137" s="6">
        <v>136.0</v>
      </c>
      <c r="B137" s="6" t="str">
        <f>VLOOKUP(A137,vaccines!A:B,2)</f>
        <v>SinSaVac</v>
      </c>
      <c r="C137" s="14" t="s">
        <v>1072</v>
      </c>
      <c r="D137" s="14" t="s">
        <v>1073</v>
      </c>
      <c r="E137" s="18">
        <v>45635.0</v>
      </c>
      <c r="F137" s="34">
        <v>4.0</v>
      </c>
      <c r="G137" s="34">
        <v>4.0</v>
      </c>
      <c r="H137" s="35" t="s">
        <v>1074</v>
      </c>
      <c r="I137" s="15">
        <v>45465.0</v>
      </c>
      <c r="J137" s="22">
        <v>45716.0</v>
      </c>
    </row>
    <row r="138">
      <c r="A138" s="6">
        <v>138.0</v>
      </c>
      <c r="B138" s="6" t="str">
        <f>VLOOKUP(A138,vaccines!A:B,2)</f>
        <v>EpiVacEbola</v>
      </c>
      <c r="C138" s="14" t="s">
        <v>1075</v>
      </c>
      <c r="D138" s="14" t="s">
        <v>1076</v>
      </c>
      <c r="E138" s="15">
        <v>43185.0</v>
      </c>
      <c r="F138" s="5">
        <v>1.0</v>
      </c>
      <c r="G138" s="5">
        <v>0.0</v>
      </c>
      <c r="H138" s="32" t="s">
        <v>418</v>
      </c>
      <c r="I138" s="15">
        <v>45465.0</v>
      </c>
      <c r="J138" s="10"/>
    </row>
    <row r="139">
      <c r="A139" s="33">
        <v>139.0</v>
      </c>
      <c r="B139" s="6" t="str">
        <f>VLOOKUP(A139,vaccines!A:B,2)</f>
        <v>GamEvac_Combi</v>
      </c>
      <c r="C139" s="14" t="s">
        <v>1077</v>
      </c>
      <c r="D139" s="14" t="s">
        <v>1078</v>
      </c>
      <c r="E139" s="15">
        <v>46099.0</v>
      </c>
      <c r="F139" s="5">
        <v>1.0</v>
      </c>
      <c r="G139" s="5">
        <v>0.0</v>
      </c>
      <c r="H139" s="32" t="s">
        <v>421</v>
      </c>
      <c r="I139" s="15">
        <v>46131.0</v>
      </c>
      <c r="J139" s="10"/>
    </row>
    <row r="140">
      <c r="A140" s="6">
        <v>141.0</v>
      </c>
      <c r="B140" s="6" t="str">
        <f>VLOOKUP(A140,vaccines!A:B,2)</f>
        <v>Staphylococcus_therapeutic_Biomed</v>
      </c>
      <c r="C140" s="14" t="s">
        <v>1079</v>
      </c>
      <c r="D140" s="14" t="s">
        <v>1080</v>
      </c>
      <c r="E140" s="15">
        <v>43388.0</v>
      </c>
      <c r="F140" s="5">
        <v>1.0</v>
      </c>
      <c r="G140" s="5">
        <v>0.0</v>
      </c>
      <c r="H140" s="32" t="s">
        <v>424</v>
      </c>
      <c r="I140" s="15">
        <v>45465.0</v>
      </c>
      <c r="J140" s="10"/>
    </row>
    <row r="141">
      <c r="A141" s="6">
        <v>142.0</v>
      </c>
      <c r="B141" s="6" t="str">
        <f>VLOOKUP(A141,vaccines!A:B,2)</f>
        <v>Pseudovac</v>
      </c>
      <c r="C141" s="14" t="s">
        <v>1081</v>
      </c>
      <c r="D141" s="14" t="s">
        <v>1082</v>
      </c>
      <c r="E141" s="15">
        <v>42809.0</v>
      </c>
      <c r="F141" s="5">
        <v>1.0</v>
      </c>
      <c r="G141" s="5">
        <v>0.0</v>
      </c>
      <c r="H141" s="32" t="s">
        <v>427</v>
      </c>
      <c r="I141" s="15">
        <v>45466.0</v>
      </c>
      <c r="J141" s="10"/>
    </row>
    <row r="142">
      <c r="A142" s="6">
        <v>143.0</v>
      </c>
      <c r="B142" s="6" t="str">
        <f>VLOOKUP(A142,vaccines!A:B,2)</f>
        <v>SPSA_therapeutic</v>
      </c>
      <c r="C142" s="40" t="s">
        <v>860</v>
      </c>
      <c r="D142" s="14" t="s">
        <v>861</v>
      </c>
      <c r="E142" s="15">
        <v>40819.0</v>
      </c>
      <c r="F142" s="5">
        <v>1.0</v>
      </c>
      <c r="G142" s="5">
        <v>0.0</v>
      </c>
      <c r="H142" s="32" t="s">
        <v>430</v>
      </c>
      <c r="I142" s="15">
        <v>45466.0</v>
      </c>
      <c r="J142" s="10"/>
    </row>
    <row r="143">
      <c r="A143" s="6">
        <v>144.0</v>
      </c>
      <c r="B143" s="6" t="str">
        <f>VLOOKUP(A143,vaccines!A:B,2)</f>
        <v>HepB_Serum_India_0_5</v>
      </c>
      <c r="C143" s="40" t="s">
        <v>860</v>
      </c>
      <c r="D143" s="14" t="s">
        <v>861</v>
      </c>
      <c r="E143" s="15">
        <v>45981.0</v>
      </c>
      <c r="F143" s="5">
        <v>1.0</v>
      </c>
      <c r="G143" s="5">
        <v>0.0</v>
      </c>
      <c r="H143" s="32" t="s">
        <v>433</v>
      </c>
      <c r="I143" s="15">
        <v>45466.0</v>
      </c>
      <c r="J143" s="31">
        <v>46053.0</v>
      </c>
    </row>
    <row r="144">
      <c r="A144" s="6">
        <v>145.0</v>
      </c>
      <c r="B144" s="6" t="str">
        <f>VLOOKUP(A144,vaccines!A:B,2)</f>
        <v>Polio_1_2_3</v>
      </c>
      <c r="C144" s="14" t="s">
        <v>1083</v>
      </c>
      <c r="D144" s="14" t="s">
        <v>1084</v>
      </c>
      <c r="E144" s="15">
        <v>45275.0</v>
      </c>
      <c r="F144" s="5">
        <v>1.0</v>
      </c>
      <c r="G144" s="5">
        <v>0.0</v>
      </c>
      <c r="H144" s="32" t="s">
        <v>436</v>
      </c>
      <c r="I144" s="15">
        <v>45466.0</v>
      </c>
      <c r="J144" s="10"/>
    </row>
    <row r="145">
      <c r="A145" s="6">
        <v>146.0</v>
      </c>
      <c r="B145" s="6" t="str">
        <f>VLOOKUP(A145,vaccines!A:B,2)</f>
        <v>TEOVac_chew_tablets</v>
      </c>
      <c r="C145" s="14" t="s">
        <v>1079</v>
      </c>
      <c r="D145" s="14" t="s">
        <v>1080</v>
      </c>
      <c r="E145" s="15">
        <v>40396.0</v>
      </c>
      <c r="F145" s="5">
        <v>1.0</v>
      </c>
      <c r="G145" s="5">
        <v>0.0</v>
      </c>
      <c r="H145" s="32" t="s">
        <v>439</v>
      </c>
      <c r="I145" s="15">
        <v>45467.0</v>
      </c>
      <c r="J145" s="10"/>
    </row>
    <row r="146">
      <c r="A146" s="6">
        <v>147.0</v>
      </c>
      <c r="B146" s="6" t="str">
        <f>VLOOKUP(A146,vaccines!A:B,2)</f>
        <v>TEOVac_tablets</v>
      </c>
      <c r="C146" s="14" t="s">
        <v>1079</v>
      </c>
      <c r="D146" s="14" t="s">
        <v>1080</v>
      </c>
      <c r="E146" s="15">
        <v>40392.0</v>
      </c>
      <c r="F146" s="5">
        <v>1.0</v>
      </c>
      <c r="G146" s="5">
        <v>0.0</v>
      </c>
      <c r="H146" s="32" t="s">
        <v>442</v>
      </c>
      <c r="I146" s="15">
        <v>45467.0</v>
      </c>
      <c r="J146" s="10"/>
    </row>
    <row r="147">
      <c r="A147" s="23">
        <v>148.0</v>
      </c>
      <c r="B147" s="6" t="str">
        <f>VLOOKUP(A147,vaccines!A:B,2)</f>
        <v>Uro_BCG_therapeutic</v>
      </c>
      <c r="C147" s="14" t="s">
        <v>1085</v>
      </c>
      <c r="D147" s="14" t="s">
        <v>1086</v>
      </c>
      <c r="E147" s="15">
        <v>42947.0</v>
      </c>
      <c r="F147" s="5">
        <v>1.0</v>
      </c>
      <c r="G147" s="5">
        <v>0.0</v>
      </c>
      <c r="H147" s="32" t="s">
        <v>445</v>
      </c>
      <c r="I147" s="15">
        <v>45494.0</v>
      </c>
      <c r="J147" s="10"/>
    </row>
    <row r="148">
      <c r="A148" s="6">
        <v>149.0</v>
      </c>
      <c r="B148" s="6" t="str">
        <f>VLOOKUP(A148,vaccines!A:B,2)</f>
        <v>Flu_Microgen</v>
      </c>
      <c r="C148" s="40" t="s">
        <v>860</v>
      </c>
      <c r="D148" s="14" t="s">
        <v>861</v>
      </c>
      <c r="E148" s="15">
        <v>40940.0</v>
      </c>
      <c r="F148" s="5">
        <v>1.0</v>
      </c>
      <c r="G148" s="5">
        <v>0.0</v>
      </c>
      <c r="H148" s="32" t="s">
        <v>448</v>
      </c>
      <c r="I148" s="15">
        <v>45494.0</v>
      </c>
      <c r="J148" s="10"/>
    </row>
    <row r="149">
      <c r="A149" s="23">
        <v>150.0</v>
      </c>
      <c r="B149" s="6" t="str">
        <f>VLOOKUP(A149,vaccines!A:B,2)</f>
        <v>MonoGrippol_plus</v>
      </c>
      <c r="C149" s="14" t="s">
        <v>902</v>
      </c>
      <c r="D149" s="14" t="s">
        <v>903</v>
      </c>
      <c r="E149" s="15">
        <v>42719.0</v>
      </c>
      <c r="F149" s="5">
        <v>1.0</v>
      </c>
      <c r="G149" s="5">
        <v>0.0</v>
      </c>
      <c r="H149" s="32" t="s">
        <v>451</v>
      </c>
      <c r="I149" s="15">
        <v>45494.0</v>
      </c>
      <c r="J149" s="10"/>
    </row>
    <row r="150">
      <c r="A150" s="6">
        <v>151.0</v>
      </c>
      <c r="B150" s="6" t="str">
        <f>VLOOKUP(A150,vaccines!A:B,2)</f>
        <v>MonoGrippol_Neo</v>
      </c>
      <c r="C150" s="14" t="s">
        <v>902</v>
      </c>
      <c r="D150" s="14" t="s">
        <v>903</v>
      </c>
      <c r="E150" s="15">
        <v>40102.0</v>
      </c>
      <c r="F150" s="5">
        <v>1.0</v>
      </c>
      <c r="G150" s="5">
        <v>0.0</v>
      </c>
      <c r="H150" s="32" t="s">
        <v>806</v>
      </c>
      <c r="I150" s="15">
        <v>45494.0</v>
      </c>
      <c r="J150" s="10"/>
    </row>
    <row r="151">
      <c r="A151" s="23">
        <v>152.0</v>
      </c>
      <c r="B151" s="6" t="str">
        <f>VLOOKUP(A151,vaccines!A:B,2)</f>
        <v>MonoGrippol</v>
      </c>
      <c r="C151" s="14" t="s">
        <v>902</v>
      </c>
      <c r="D151" s="14" t="s">
        <v>903</v>
      </c>
      <c r="E151" s="15">
        <v>40102.0</v>
      </c>
      <c r="F151" s="5">
        <v>1.0</v>
      </c>
      <c r="G151" s="5">
        <v>0.0</v>
      </c>
      <c r="H151" s="32" t="s">
        <v>455</v>
      </c>
      <c r="I151" s="15">
        <v>45494.0</v>
      </c>
      <c r="J151" s="10"/>
    </row>
    <row r="152">
      <c r="A152" s="6">
        <v>153.0</v>
      </c>
      <c r="B152" s="6" t="str">
        <f>VLOOKUP(A152,vaccines!A:B,2)</f>
        <v>Influvir</v>
      </c>
      <c r="C152" s="14" t="s">
        <v>1087</v>
      </c>
      <c r="D152" s="14" t="s">
        <v>1088</v>
      </c>
      <c r="E152" s="15">
        <v>45681.0</v>
      </c>
      <c r="F152" s="5">
        <v>1.0</v>
      </c>
      <c r="G152" s="5">
        <v>0.0</v>
      </c>
      <c r="H152" s="32" t="s">
        <v>458</v>
      </c>
      <c r="I152" s="15">
        <v>45494.0</v>
      </c>
      <c r="J152" s="15">
        <v>45717.0</v>
      </c>
    </row>
    <row r="153">
      <c r="A153" s="23">
        <v>154.0</v>
      </c>
      <c r="B153" s="6" t="str">
        <f>VLOOKUP(A153,vaccines!A:B,2)</f>
        <v>Pandeflu</v>
      </c>
      <c r="C153" s="14" t="s">
        <v>1089</v>
      </c>
      <c r="D153" s="14" t="s">
        <v>1090</v>
      </c>
      <c r="E153" s="15">
        <v>45719.0</v>
      </c>
      <c r="F153" s="5">
        <v>1.0</v>
      </c>
      <c r="G153" s="5">
        <v>0.0</v>
      </c>
      <c r="H153" s="32" t="s">
        <v>461</v>
      </c>
      <c r="I153" s="15">
        <v>45494.0</v>
      </c>
      <c r="J153" s="15">
        <v>45750.0</v>
      </c>
    </row>
    <row r="154">
      <c r="A154" s="6">
        <v>155.0</v>
      </c>
      <c r="B154" s="6" t="str">
        <f>VLOOKUP(A154,vaccines!A:B,2)</f>
        <v>Grippol_Neo</v>
      </c>
      <c r="C154" s="14" t="s">
        <v>902</v>
      </c>
      <c r="D154" s="14" t="s">
        <v>903</v>
      </c>
      <c r="E154" s="15">
        <v>40274.0</v>
      </c>
      <c r="F154" s="5">
        <v>1.0</v>
      </c>
      <c r="G154" s="5">
        <v>0.0</v>
      </c>
      <c r="H154" s="32" t="s">
        <v>813</v>
      </c>
      <c r="I154" s="15">
        <v>45494.0</v>
      </c>
      <c r="J154" s="10"/>
    </row>
    <row r="155">
      <c r="A155" s="23">
        <v>156.0</v>
      </c>
      <c r="B155" s="6" t="str">
        <f>VLOOKUP(A155,vaccines!A:B,2)</f>
        <v>Ultravac</v>
      </c>
      <c r="C155" s="14" t="s">
        <v>1087</v>
      </c>
      <c r="D155" s="14" t="s">
        <v>1088</v>
      </c>
      <c r="E155" s="15">
        <v>45569.0</v>
      </c>
      <c r="F155" s="16"/>
      <c r="G155" s="16"/>
      <c r="H155" s="29" t="s">
        <v>467</v>
      </c>
      <c r="I155" s="15">
        <v>45494.0</v>
      </c>
      <c r="J155" s="15">
        <v>45622.0</v>
      </c>
    </row>
    <row r="156">
      <c r="A156" s="23">
        <v>158.0</v>
      </c>
      <c r="B156" s="6" t="str">
        <f>VLOOKUP(A156,vaccines!A:B,2)</f>
        <v>Gerpovax_therapeutic</v>
      </c>
      <c r="C156" s="14" t="s">
        <v>1091</v>
      </c>
      <c r="D156" s="14" t="s">
        <v>1092</v>
      </c>
      <c r="E156" s="15">
        <v>43808.0</v>
      </c>
      <c r="F156" s="5">
        <v>1.0</v>
      </c>
      <c r="G156" s="5">
        <v>0.0</v>
      </c>
      <c r="H156" s="32" t="s">
        <v>470</v>
      </c>
      <c r="I156" s="15">
        <v>45496.0</v>
      </c>
      <c r="J156" s="10"/>
    </row>
    <row r="157">
      <c r="A157" s="23">
        <v>159.0</v>
      </c>
      <c r="B157" s="6" t="str">
        <f>VLOOKUP(A157,vaccines!A:B,2)</f>
        <v>Ultragrivac</v>
      </c>
      <c r="C157" s="14" t="s">
        <v>1087</v>
      </c>
      <c r="D157" s="14" t="s">
        <v>1088</v>
      </c>
      <c r="E157" s="15">
        <v>45775.0</v>
      </c>
      <c r="F157" s="5">
        <v>1.0</v>
      </c>
      <c r="G157" s="5">
        <v>0.0</v>
      </c>
      <c r="H157" s="32" t="s">
        <v>473</v>
      </c>
      <c r="I157" s="15">
        <v>45496.0</v>
      </c>
      <c r="J157" s="15">
        <v>45818.0</v>
      </c>
    </row>
    <row r="158">
      <c r="A158" s="23">
        <v>160.0</v>
      </c>
      <c r="B158" s="6" t="str">
        <f>VLOOKUP(A158,vaccines!A:B,2)</f>
        <v>OrniFlu</v>
      </c>
      <c r="C158" s="14" t="s">
        <v>1093</v>
      </c>
      <c r="D158" s="14" t="s">
        <v>1094</v>
      </c>
      <c r="E158" s="15">
        <v>45720.0</v>
      </c>
      <c r="F158" s="5">
        <v>1.0</v>
      </c>
      <c r="G158" s="5">
        <v>0.0</v>
      </c>
      <c r="H158" s="32" t="s">
        <v>476</v>
      </c>
      <c r="I158" s="15">
        <v>45496.0</v>
      </c>
      <c r="J158" s="15">
        <v>45750.0</v>
      </c>
    </row>
    <row r="159">
      <c r="A159" s="23">
        <v>161.0</v>
      </c>
      <c r="B159" s="6" t="str">
        <f>VLOOKUP(A159,vaccines!A:B,2)</f>
        <v>rubella_Croatia</v>
      </c>
      <c r="C159" s="40" t="s">
        <v>860</v>
      </c>
      <c r="D159" s="14" t="s">
        <v>861</v>
      </c>
      <c r="E159" s="15">
        <v>37712.0</v>
      </c>
      <c r="F159" s="5">
        <v>1.0</v>
      </c>
      <c r="G159" s="5">
        <v>0.0</v>
      </c>
      <c r="H159" s="32" t="s">
        <v>479</v>
      </c>
      <c r="I159" s="15">
        <v>45496.0</v>
      </c>
      <c r="J159" s="10"/>
    </row>
    <row r="160">
      <c r="A160" s="23">
        <v>162.0</v>
      </c>
      <c r="B160" s="6" t="str">
        <f>VLOOKUP(A160,vaccines!A:B,2)</f>
        <v>Tetraanatoxin</v>
      </c>
      <c r="C160" s="41" t="s">
        <v>1095</v>
      </c>
      <c r="D160" s="41" t="s">
        <v>1096</v>
      </c>
      <c r="E160" s="15">
        <v>45546.0</v>
      </c>
      <c r="F160" s="6"/>
      <c r="G160" s="6"/>
      <c r="H160" s="36" t="s">
        <v>482</v>
      </c>
      <c r="I160" s="15">
        <v>45497.0</v>
      </c>
      <c r="J160" s="15">
        <v>45581.0</v>
      </c>
    </row>
    <row r="161">
      <c r="A161" s="23">
        <v>163.0</v>
      </c>
      <c r="B161" s="6" t="str">
        <f>VLOOKUP(A161,vaccines!A:B,2)</f>
        <v>Staphylococcus_Gamaleya</v>
      </c>
      <c r="C161" s="14" t="s">
        <v>1097</v>
      </c>
      <c r="D161" s="14" t="s">
        <v>1098</v>
      </c>
      <c r="E161" s="15">
        <v>45799.0</v>
      </c>
      <c r="F161" s="5">
        <v>1.0</v>
      </c>
      <c r="G161" s="5">
        <v>0.0</v>
      </c>
      <c r="H161" s="32" t="s">
        <v>485</v>
      </c>
      <c r="I161" s="15">
        <v>45497.0</v>
      </c>
      <c r="J161" s="31">
        <v>45830.0</v>
      </c>
    </row>
    <row r="162">
      <c r="A162" s="23">
        <v>164.0</v>
      </c>
      <c r="B162" s="6" t="str">
        <f>VLOOKUP(A162,vaccines!A:B,2)</f>
        <v>Staphylococcus_therapeutic_Gamaleya</v>
      </c>
      <c r="C162" s="14" t="s">
        <v>1099</v>
      </c>
      <c r="D162" s="14" t="s">
        <v>1100</v>
      </c>
      <c r="E162" s="15">
        <v>45799.0</v>
      </c>
      <c r="F162" s="5">
        <v>1.0</v>
      </c>
      <c r="G162" s="5">
        <v>0.0</v>
      </c>
      <c r="H162" s="32" t="s">
        <v>488</v>
      </c>
      <c r="I162" s="15">
        <v>45497.0</v>
      </c>
      <c r="J162" s="15">
        <v>45830.0</v>
      </c>
    </row>
    <row r="163">
      <c r="A163" s="23">
        <v>165.0</v>
      </c>
      <c r="B163" s="6" t="str">
        <f>VLOOKUP(A163,vaccines!A:B,2)</f>
        <v>Imuron_vac_therapeutic</v>
      </c>
      <c r="C163" s="14" t="s">
        <v>1101</v>
      </c>
      <c r="D163" s="14" t="s">
        <v>1102</v>
      </c>
      <c r="E163" s="15">
        <v>45811.0</v>
      </c>
      <c r="F163" s="5">
        <v>1.0</v>
      </c>
      <c r="G163" s="5">
        <v>0.0</v>
      </c>
      <c r="H163" s="32" t="s">
        <v>491</v>
      </c>
      <c r="I163" s="15">
        <v>45497.0</v>
      </c>
      <c r="J163" s="15">
        <v>45861.0</v>
      </c>
    </row>
    <row r="164">
      <c r="A164" s="23">
        <v>166.0</v>
      </c>
      <c r="B164" s="6" t="str">
        <f>VLOOKUP(A164,vaccines!A:B,2)</f>
        <v>HepB_Serum_India_1_0</v>
      </c>
      <c r="C164" s="40" t="s">
        <v>860</v>
      </c>
      <c r="D164" s="14" t="s">
        <v>861</v>
      </c>
      <c r="E164" s="15">
        <v>45981.0</v>
      </c>
      <c r="F164" s="5">
        <v>1.0</v>
      </c>
      <c r="G164" s="5">
        <v>0.0</v>
      </c>
      <c r="H164" s="32" t="s">
        <v>433</v>
      </c>
      <c r="I164" s="15">
        <v>45466.0</v>
      </c>
      <c r="J164" s="31">
        <v>46053.0</v>
      </c>
    </row>
    <row r="165">
      <c r="A165" s="23">
        <v>167.0</v>
      </c>
      <c r="B165" s="6" t="str">
        <f>VLOOKUP(A165,vaccines!A:B,2)</f>
        <v>Hexaxim</v>
      </c>
      <c r="C165" s="14" t="s">
        <v>1103</v>
      </c>
      <c r="D165" s="14" t="s">
        <v>1104</v>
      </c>
      <c r="E165" s="15">
        <v>45504.0</v>
      </c>
      <c r="F165" s="6"/>
      <c r="G165" s="6"/>
      <c r="H165" s="36" t="s">
        <v>496</v>
      </c>
      <c r="I165" s="15">
        <v>45558.0</v>
      </c>
      <c r="J165" s="10"/>
    </row>
    <row r="166">
      <c r="A166" s="23">
        <v>168.0</v>
      </c>
      <c r="B166" s="6" t="str">
        <f>VLOOKUP(A166,vaccines!A:B,2)</f>
        <v>Gam_VLP_multivac</v>
      </c>
      <c r="C166" s="14" t="s">
        <v>1105</v>
      </c>
      <c r="D166" s="14" t="s">
        <v>1106</v>
      </c>
      <c r="E166" s="15">
        <v>45632.0</v>
      </c>
      <c r="F166" s="5">
        <v>1.0</v>
      </c>
      <c r="G166" s="5">
        <v>0.0</v>
      </c>
      <c r="H166" s="36" t="s">
        <v>499</v>
      </c>
      <c r="I166" s="15">
        <v>45678.0</v>
      </c>
      <c r="J166" s="10"/>
    </row>
    <row r="167">
      <c r="A167" s="23">
        <v>169.0</v>
      </c>
      <c r="B167" s="6" t="str">
        <f>VLOOKUP(A167,vaccines!A:B,2)</f>
        <v>Gam_VLP_multivac_nasal</v>
      </c>
      <c r="C167" s="14" t="s">
        <v>1107</v>
      </c>
      <c r="D167" s="14" t="s">
        <v>1108</v>
      </c>
      <c r="E167" s="15">
        <v>45737.0</v>
      </c>
      <c r="F167" s="5">
        <v>1.0</v>
      </c>
      <c r="G167" s="5">
        <v>0.0</v>
      </c>
      <c r="H167" s="32" t="s">
        <v>502</v>
      </c>
      <c r="I167" s="15">
        <v>45742.0</v>
      </c>
      <c r="J167" s="10"/>
    </row>
    <row r="168">
      <c r="A168" s="23">
        <v>170.0</v>
      </c>
      <c r="B168" s="6" t="str">
        <f>VLOOKUP(A168,vaccines!A:B,2)</f>
        <v>Cegardex</v>
      </c>
      <c r="C168" s="14" t="s">
        <v>1109</v>
      </c>
      <c r="D168" s="14" t="s">
        <v>1110</v>
      </c>
      <c r="E168" s="15">
        <v>45721.0</v>
      </c>
      <c r="F168" s="5">
        <v>1.0</v>
      </c>
      <c r="G168" s="5">
        <v>0.0</v>
      </c>
      <c r="H168" s="32" t="s">
        <v>505</v>
      </c>
      <c r="I168" s="15">
        <v>45742.0</v>
      </c>
      <c r="J168" s="10"/>
    </row>
    <row r="169">
      <c r="A169" s="23">
        <v>171.0</v>
      </c>
      <c r="B169" s="6" t="str">
        <f>VLOOKUP(A169,vaccines!A:B,2)</f>
        <v>Menvaid</v>
      </c>
      <c r="C169" s="14" t="s">
        <v>1111</v>
      </c>
      <c r="D169" s="14" t="s">
        <v>1112</v>
      </c>
      <c r="E169" s="15">
        <v>45740.0</v>
      </c>
      <c r="F169" s="5">
        <v>1.0</v>
      </c>
      <c r="G169" s="5">
        <v>0.0</v>
      </c>
      <c r="H169" s="32" t="s">
        <v>508</v>
      </c>
      <c r="I169" s="15">
        <v>45755.0</v>
      </c>
      <c r="J169" s="10"/>
    </row>
    <row r="170">
      <c r="A170" s="23">
        <v>172.0</v>
      </c>
      <c r="B170" s="6" t="str">
        <f>VLOOKUP(A170,vaccines!A:B,2)</f>
        <v>ChiroRab</v>
      </c>
      <c r="C170" s="14" t="s">
        <v>994</v>
      </c>
      <c r="D170" s="14" t="s">
        <v>995</v>
      </c>
      <c r="E170" s="22">
        <v>42996.0</v>
      </c>
      <c r="F170" s="23">
        <v>1.0</v>
      </c>
      <c r="G170" s="23">
        <v>0.0</v>
      </c>
      <c r="H170" s="25" t="s">
        <v>261</v>
      </c>
      <c r="I170" s="22">
        <v>45818.0</v>
      </c>
      <c r="J170" s="10"/>
      <c r="K170" s="37" t="s">
        <v>511</v>
      </c>
    </row>
    <row r="171">
      <c r="A171" s="23">
        <v>173.0</v>
      </c>
      <c r="B171" s="6" t="str">
        <f>VLOOKUP(A171,vaccines!A:B,2)</f>
        <v>Prevenar_20</v>
      </c>
      <c r="C171" s="14" t="s">
        <v>1113</v>
      </c>
      <c r="D171" s="14" t="s">
        <v>1114</v>
      </c>
      <c r="E171" s="15">
        <v>45835.0</v>
      </c>
      <c r="F171" s="5">
        <v>1.0</v>
      </c>
      <c r="G171" s="5">
        <v>0.0</v>
      </c>
      <c r="H171" s="32" t="s">
        <v>514</v>
      </c>
      <c r="I171" s="15">
        <v>45861.0</v>
      </c>
      <c r="J171" s="10"/>
    </row>
    <row r="172">
      <c r="A172" s="23">
        <v>174.0</v>
      </c>
      <c r="B172" s="6" t="str">
        <f>VLOOKUP(A172,vaccines!A:B,2)</f>
        <v>aAKDS_M</v>
      </c>
      <c r="C172" s="14" t="s">
        <v>1115</v>
      </c>
      <c r="D172" s="14" t="s">
        <v>1116</v>
      </c>
      <c r="E172" s="15">
        <v>46104.0</v>
      </c>
      <c r="F172" s="5">
        <v>1.0</v>
      </c>
      <c r="G172" s="5">
        <v>0.0</v>
      </c>
      <c r="H172" s="32" t="s">
        <v>517</v>
      </c>
      <c r="I172" s="15">
        <v>46131.0</v>
      </c>
      <c r="J172" s="10"/>
    </row>
    <row r="173">
      <c r="A173" s="23">
        <v>175.0</v>
      </c>
      <c r="B173" s="6" t="str">
        <f>VLOOKUP(A173,vaccines!A:B,2)</f>
        <v>Nimenrix</v>
      </c>
      <c r="C173" s="14" t="s">
        <v>1117</v>
      </c>
      <c r="D173" s="14" t="s">
        <v>1118</v>
      </c>
      <c r="E173" s="15">
        <v>46111.0</v>
      </c>
      <c r="F173" s="5">
        <v>1.0</v>
      </c>
      <c r="G173" s="5">
        <v>0.0</v>
      </c>
      <c r="H173" s="32" t="s">
        <v>520</v>
      </c>
      <c r="I173" s="15">
        <v>46131.0</v>
      </c>
      <c r="J173" s="10"/>
    </row>
    <row r="174">
      <c r="C174" s="38"/>
      <c r="D174" s="38"/>
      <c r="E174" s="10"/>
      <c r="I174" s="10"/>
      <c r="J174" s="10"/>
    </row>
    <row r="175">
      <c r="C175" s="38"/>
      <c r="D175" s="38"/>
      <c r="E175" s="10"/>
      <c r="I175" s="10"/>
      <c r="J175" s="10"/>
    </row>
    <row r="176">
      <c r="C176" s="38"/>
      <c r="D176" s="38"/>
      <c r="E176" s="10"/>
      <c r="I176" s="10"/>
      <c r="J176" s="10"/>
    </row>
    <row r="177">
      <c r="C177" s="38"/>
      <c r="D177" s="38"/>
      <c r="E177" s="10"/>
      <c r="I177" s="10"/>
      <c r="J177" s="10"/>
    </row>
    <row r="178">
      <c r="C178" s="38"/>
      <c r="D178" s="38"/>
      <c r="E178" s="10"/>
      <c r="I178" s="10"/>
      <c r="J178" s="10"/>
    </row>
    <row r="179">
      <c r="C179" s="38"/>
      <c r="D179" s="38"/>
      <c r="E179" s="10"/>
      <c r="I179" s="10"/>
      <c r="J179" s="10"/>
    </row>
    <row r="180">
      <c r="C180" s="38"/>
      <c r="D180" s="38"/>
      <c r="E180" s="10"/>
      <c r="I180" s="10"/>
      <c r="J180" s="10"/>
    </row>
    <row r="181">
      <c r="C181" s="38"/>
      <c r="D181" s="38"/>
      <c r="E181" s="10"/>
      <c r="I181" s="10"/>
      <c r="J181" s="10"/>
    </row>
    <row r="182">
      <c r="C182" s="38"/>
      <c r="D182" s="38"/>
      <c r="E182" s="10"/>
      <c r="I182" s="10"/>
      <c r="J182" s="10"/>
    </row>
    <row r="183">
      <c r="C183" s="38"/>
      <c r="D183" s="38"/>
      <c r="E183" s="10"/>
      <c r="I183" s="10"/>
      <c r="J183" s="10"/>
    </row>
    <row r="184">
      <c r="C184" s="38"/>
      <c r="D184" s="38"/>
      <c r="E184" s="10"/>
      <c r="I184" s="10"/>
      <c r="J184" s="10"/>
    </row>
    <row r="185">
      <c r="C185" s="38"/>
      <c r="D185" s="38"/>
      <c r="E185" s="10"/>
      <c r="I185" s="10"/>
      <c r="J185" s="10"/>
    </row>
    <row r="186">
      <c r="C186" s="38"/>
      <c r="D186" s="38"/>
      <c r="E186" s="10"/>
      <c r="I186" s="10"/>
      <c r="J186" s="10"/>
    </row>
    <row r="187">
      <c r="C187" s="38"/>
      <c r="D187" s="38"/>
      <c r="E187" s="10"/>
      <c r="I187" s="10"/>
      <c r="J187" s="10"/>
    </row>
    <row r="188">
      <c r="C188" s="38"/>
      <c r="D188" s="38"/>
      <c r="E188" s="10"/>
      <c r="I188" s="10"/>
      <c r="J188" s="10"/>
    </row>
    <row r="189">
      <c r="C189" s="38"/>
      <c r="D189" s="38"/>
      <c r="E189" s="10"/>
      <c r="I189" s="10"/>
      <c r="J189" s="10"/>
    </row>
    <row r="190">
      <c r="C190" s="38"/>
      <c r="D190" s="38"/>
      <c r="E190" s="10"/>
      <c r="I190" s="10"/>
      <c r="J190" s="10"/>
    </row>
    <row r="191">
      <c r="C191" s="38"/>
      <c r="D191" s="38"/>
      <c r="E191" s="10"/>
      <c r="I191" s="10"/>
      <c r="J191" s="10"/>
    </row>
    <row r="192">
      <c r="C192" s="38"/>
      <c r="D192" s="38"/>
      <c r="E192" s="10"/>
      <c r="I192" s="10"/>
      <c r="J192" s="10"/>
    </row>
    <row r="193">
      <c r="C193" s="38"/>
      <c r="D193" s="38"/>
      <c r="E193" s="10"/>
      <c r="I193" s="10"/>
      <c r="J193" s="10"/>
    </row>
    <row r="194">
      <c r="C194" s="38"/>
      <c r="D194" s="38"/>
      <c r="E194" s="10"/>
      <c r="I194" s="10"/>
      <c r="J194" s="10"/>
    </row>
    <row r="195">
      <c r="C195" s="38"/>
      <c r="D195" s="38"/>
      <c r="E195" s="10"/>
      <c r="I195" s="10"/>
      <c r="J195" s="10"/>
    </row>
    <row r="196">
      <c r="C196" s="38"/>
      <c r="D196" s="38"/>
      <c r="E196" s="10"/>
      <c r="I196" s="10"/>
      <c r="J196" s="10"/>
    </row>
    <row r="197">
      <c r="C197" s="38"/>
      <c r="D197" s="38"/>
      <c r="E197" s="10"/>
      <c r="I197" s="10"/>
      <c r="J197" s="10"/>
    </row>
    <row r="198">
      <c r="C198" s="38"/>
      <c r="D198" s="38"/>
      <c r="E198" s="10"/>
      <c r="I198" s="10"/>
      <c r="J198" s="10"/>
    </row>
    <row r="199">
      <c r="C199" s="38"/>
      <c r="D199" s="38"/>
      <c r="E199" s="10"/>
      <c r="I199" s="10"/>
      <c r="J199" s="10"/>
    </row>
    <row r="200">
      <c r="C200" s="38"/>
      <c r="D200" s="38"/>
      <c r="E200" s="10"/>
      <c r="I200" s="10"/>
      <c r="J200" s="10"/>
    </row>
    <row r="201">
      <c r="C201" s="38"/>
      <c r="D201" s="38"/>
      <c r="E201" s="10"/>
      <c r="I201" s="10"/>
      <c r="J201" s="10"/>
    </row>
    <row r="202">
      <c r="C202" s="38"/>
      <c r="D202" s="38"/>
      <c r="E202" s="10"/>
      <c r="I202" s="10"/>
      <c r="J202" s="10"/>
    </row>
    <row r="203">
      <c r="C203" s="38"/>
      <c r="D203" s="38"/>
      <c r="E203" s="10"/>
      <c r="I203" s="10"/>
      <c r="J203" s="10"/>
    </row>
    <row r="204">
      <c r="C204" s="38"/>
      <c r="D204" s="38"/>
      <c r="E204" s="10"/>
      <c r="I204" s="10"/>
      <c r="J204" s="10"/>
    </row>
    <row r="205">
      <c r="C205" s="38"/>
      <c r="D205" s="38"/>
      <c r="E205" s="10"/>
      <c r="I205" s="10"/>
      <c r="J205" s="10"/>
    </row>
    <row r="206">
      <c r="C206" s="38"/>
      <c r="D206" s="38"/>
      <c r="E206" s="10"/>
      <c r="I206" s="10"/>
      <c r="J206" s="10"/>
    </row>
    <row r="207">
      <c r="C207" s="38"/>
      <c r="D207" s="38"/>
      <c r="E207" s="10"/>
      <c r="I207" s="10"/>
      <c r="J207" s="10"/>
    </row>
    <row r="208">
      <c r="C208" s="38"/>
      <c r="D208" s="38"/>
      <c r="E208" s="10"/>
      <c r="I208" s="10"/>
      <c r="J208" s="10"/>
    </row>
    <row r="209">
      <c r="C209" s="38"/>
      <c r="D209" s="38"/>
      <c r="E209" s="10"/>
      <c r="I209" s="10"/>
      <c r="J209" s="10"/>
    </row>
    <row r="210">
      <c r="C210" s="38"/>
      <c r="D210" s="38"/>
      <c r="E210" s="10"/>
      <c r="I210" s="10"/>
      <c r="J210" s="10"/>
    </row>
    <row r="211">
      <c r="C211" s="38"/>
      <c r="D211" s="38"/>
      <c r="E211" s="10"/>
      <c r="I211" s="10"/>
      <c r="J211" s="10"/>
    </row>
    <row r="212">
      <c r="C212" s="38"/>
      <c r="D212" s="38"/>
      <c r="E212" s="10"/>
      <c r="I212" s="10"/>
      <c r="J212" s="10"/>
    </row>
    <row r="213">
      <c r="C213" s="38"/>
      <c r="D213" s="38"/>
      <c r="E213" s="10"/>
      <c r="I213" s="10"/>
      <c r="J213" s="10"/>
    </row>
    <row r="214">
      <c r="C214" s="38"/>
      <c r="D214" s="38"/>
      <c r="E214" s="10"/>
      <c r="I214" s="10"/>
      <c r="J214" s="10"/>
    </row>
    <row r="215">
      <c r="C215" s="38"/>
      <c r="D215" s="38"/>
      <c r="E215" s="10"/>
      <c r="I215" s="10"/>
      <c r="J215" s="10"/>
    </row>
    <row r="216">
      <c r="C216" s="38"/>
      <c r="D216" s="38"/>
      <c r="E216" s="10"/>
      <c r="I216" s="10"/>
      <c r="J216" s="10"/>
    </row>
    <row r="217">
      <c r="C217" s="38"/>
      <c r="D217" s="38"/>
      <c r="E217" s="10"/>
      <c r="I217" s="10"/>
      <c r="J217" s="10"/>
    </row>
    <row r="218">
      <c r="C218" s="38"/>
      <c r="D218" s="38"/>
      <c r="E218" s="10"/>
      <c r="I218" s="10"/>
      <c r="J218" s="10"/>
    </row>
    <row r="219">
      <c r="C219" s="38"/>
      <c r="D219" s="38"/>
      <c r="E219" s="10"/>
      <c r="I219" s="10"/>
      <c r="J219" s="10"/>
    </row>
    <row r="220">
      <c r="C220" s="38"/>
      <c r="D220" s="38"/>
      <c r="E220" s="10"/>
      <c r="I220" s="10"/>
      <c r="J220" s="10"/>
    </row>
    <row r="221">
      <c r="C221" s="38"/>
      <c r="D221" s="38"/>
      <c r="E221" s="10"/>
      <c r="I221" s="10"/>
      <c r="J221" s="10"/>
    </row>
    <row r="222">
      <c r="C222" s="38"/>
      <c r="D222" s="38"/>
      <c r="E222" s="10"/>
      <c r="I222" s="10"/>
      <c r="J222" s="10"/>
    </row>
    <row r="223">
      <c r="C223" s="38"/>
      <c r="D223" s="38"/>
      <c r="E223" s="10"/>
      <c r="I223" s="10"/>
      <c r="J223" s="10"/>
    </row>
    <row r="224">
      <c r="C224" s="38"/>
      <c r="D224" s="38"/>
      <c r="E224" s="10"/>
      <c r="I224" s="10"/>
      <c r="J224" s="10"/>
    </row>
    <row r="225">
      <c r="C225" s="38"/>
      <c r="D225" s="38"/>
      <c r="E225" s="10"/>
      <c r="I225" s="10"/>
      <c r="J225" s="10"/>
    </row>
    <row r="226">
      <c r="C226" s="38"/>
      <c r="D226" s="38"/>
      <c r="E226" s="10"/>
      <c r="I226" s="10"/>
      <c r="J226" s="10"/>
    </row>
    <row r="227">
      <c r="C227" s="38"/>
      <c r="D227" s="38"/>
      <c r="E227" s="10"/>
      <c r="I227" s="10"/>
      <c r="J227" s="10"/>
    </row>
    <row r="228">
      <c r="C228" s="38"/>
      <c r="D228" s="38"/>
      <c r="E228" s="10"/>
      <c r="I228" s="10"/>
      <c r="J228" s="10"/>
    </row>
    <row r="229">
      <c r="C229" s="38"/>
      <c r="D229" s="38"/>
      <c r="E229" s="10"/>
      <c r="I229" s="10"/>
      <c r="J229" s="10"/>
    </row>
    <row r="230">
      <c r="C230" s="38"/>
      <c r="D230" s="38"/>
      <c r="E230" s="10"/>
      <c r="I230" s="10"/>
      <c r="J230" s="10"/>
    </row>
    <row r="231">
      <c r="C231" s="38"/>
      <c r="D231" s="38"/>
      <c r="E231" s="10"/>
      <c r="I231" s="10"/>
      <c r="J231" s="10"/>
    </row>
    <row r="232">
      <c r="C232" s="38"/>
      <c r="D232" s="38"/>
      <c r="E232" s="10"/>
      <c r="I232" s="10"/>
      <c r="J232" s="10"/>
    </row>
    <row r="233">
      <c r="C233" s="38"/>
      <c r="D233" s="38"/>
      <c r="E233" s="10"/>
      <c r="I233" s="10"/>
      <c r="J233" s="10"/>
    </row>
    <row r="234">
      <c r="C234" s="38"/>
      <c r="D234" s="38"/>
      <c r="E234" s="10"/>
      <c r="I234" s="10"/>
      <c r="J234" s="10"/>
    </row>
    <row r="235">
      <c r="C235" s="38"/>
      <c r="D235" s="38"/>
      <c r="E235" s="10"/>
      <c r="I235" s="10"/>
      <c r="J235" s="10"/>
    </row>
    <row r="236">
      <c r="C236" s="38"/>
      <c r="D236" s="38"/>
      <c r="E236" s="10"/>
      <c r="I236" s="10"/>
      <c r="J236" s="10"/>
    </row>
    <row r="237">
      <c r="C237" s="38"/>
      <c r="D237" s="38"/>
      <c r="E237" s="10"/>
      <c r="I237" s="10"/>
      <c r="J237" s="10"/>
    </row>
    <row r="238">
      <c r="C238" s="38"/>
      <c r="D238" s="38"/>
      <c r="E238" s="10"/>
      <c r="I238" s="10"/>
      <c r="J238" s="10"/>
    </row>
    <row r="239">
      <c r="C239" s="38"/>
      <c r="D239" s="38"/>
      <c r="E239" s="10"/>
      <c r="I239" s="10"/>
      <c r="J239" s="10"/>
    </row>
    <row r="240">
      <c r="C240" s="38"/>
      <c r="D240" s="38"/>
      <c r="E240" s="10"/>
      <c r="I240" s="10"/>
      <c r="J240" s="10"/>
    </row>
    <row r="241">
      <c r="C241" s="38"/>
      <c r="D241" s="38"/>
      <c r="E241" s="10"/>
      <c r="I241" s="10"/>
      <c r="J241" s="10"/>
    </row>
    <row r="242">
      <c r="C242" s="38"/>
      <c r="D242" s="38"/>
      <c r="E242" s="10"/>
      <c r="I242" s="10"/>
      <c r="J242" s="10"/>
    </row>
    <row r="243">
      <c r="C243" s="38"/>
      <c r="D243" s="38"/>
      <c r="E243" s="10"/>
      <c r="I243" s="10"/>
      <c r="J243" s="10"/>
    </row>
    <row r="244">
      <c r="C244" s="38"/>
      <c r="D244" s="38"/>
      <c r="E244" s="10"/>
      <c r="I244" s="10"/>
      <c r="J244" s="10"/>
    </row>
    <row r="245">
      <c r="C245" s="38"/>
      <c r="D245" s="38"/>
      <c r="E245" s="10"/>
      <c r="I245" s="10"/>
      <c r="J245" s="10"/>
    </row>
    <row r="246">
      <c r="C246" s="38"/>
      <c r="D246" s="38"/>
      <c r="E246" s="10"/>
      <c r="I246" s="10"/>
      <c r="J246" s="10"/>
    </row>
    <row r="247">
      <c r="C247" s="38"/>
      <c r="D247" s="38"/>
      <c r="E247" s="10"/>
      <c r="I247" s="10"/>
      <c r="J247" s="10"/>
    </row>
    <row r="248">
      <c r="C248" s="38"/>
      <c r="D248" s="38"/>
      <c r="E248" s="10"/>
      <c r="I248" s="10"/>
      <c r="J248" s="10"/>
    </row>
    <row r="249">
      <c r="C249" s="38"/>
      <c r="D249" s="38"/>
      <c r="E249" s="10"/>
      <c r="I249" s="10"/>
      <c r="J249" s="10"/>
    </row>
    <row r="250">
      <c r="C250" s="38"/>
      <c r="D250" s="38"/>
      <c r="E250" s="10"/>
      <c r="I250" s="10"/>
      <c r="J250" s="10"/>
    </row>
    <row r="251">
      <c r="C251" s="38"/>
      <c r="D251" s="38"/>
      <c r="E251" s="10"/>
      <c r="I251" s="10"/>
      <c r="J251" s="10"/>
    </row>
    <row r="252">
      <c r="C252" s="38"/>
      <c r="D252" s="38"/>
      <c r="E252" s="10"/>
      <c r="I252" s="10"/>
      <c r="J252" s="10"/>
    </row>
    <row r="253">
      <c r="C253" s="38"/>
      <c r="D253" s="38"/>
      <c r="E253" s="10"/>
      <c r="I253" s="10"/>
      <c r="J253" s="10"/>
    </row>
    <row r="254">
      <c r="C254" s="38"/>
      <c r="D254" s="38"/>
      <c r="E254" s="10"/>
      <c r="I254" s="10"/>
      <c r="J254" s="10"/>
    </row>
    <row r="255">
      <c r="C255" s="38"/>
      <c r="D255" s="38"/>
      <c r="E255" s="10"/>
      <c r="I255" s="10"/>
      <c r="J255" s="10"/>
    </row>
    <row r="256">
      <c r="C256" s="38"/>
      <c r="D256" s="38"/>
      <c r="E256" s="10"/>
      <c r="I256" s="10"/>
      <c r="J256" s="10"/>
    </row>
    <row r="257">
      <c r="C257" s="38"/>
      <c r="D257" s="38"/>
      <c r="E257" s="10"/>
      <c r="I257" s="10"/>
      <c r="J257" s="10"/>
    </row>
    <row r="258">
      <c r="C258" s="38"/>
      <c r="D258" s="38"/>
      <c r="E258" s="10"/>
      <c r="I258" s="10"/>
      <c r="J258" s="10"/>
    </row>
    <row r="259">
      <c r="C259" s="38"/>
      <c r="D259" s="38"/>
      <c r="E259" s="10"/>
      <c r="I259" s="10"/>
      <c r="J259" s="10"/>
    </row>
    <row r="260">
      <c r="C260" s="38"/>
      <c r="D260" s="38"/>
      <c r="E260" s="10"/>
      <c r="I260" s="10"/>
      <c r="J260" s="10"/>
    </row>
    <row r="261">
      <c r="C261" s="38"/>
      <c r="D261" s="38"/>
      <c r="E261" s="10"/>
      <c r="I261" s="10"/>
      <c r="J261" s="10"/>
    </row>
    <row r="262">
      <c r="C262" s="38"/>
      <c r="D262" s="38"/>
      <c r="E262" s="10"/>
      <c r="I262" s="10"/>
      <c r="J262" s="10"/>
    </row>
    <row r="263">
      <c r="C263" s="38"/>
      <c r="D263" s="38"/>
      <c r="E263" s="10"/>
      <c r="I263" s="10"/>
      <c r="J263" s="10"/>
    </row>
    <row r="264">
      <c r="C264" s="38"/>
      <c r="D264" s="38"/>
      <c r="E264" s="10"/>
      <c r="I264" s="10"/>
      <c r="J264" s="10"/>
    </row>
    <row r="265">
      <c r="C265" s="38"/>
      <c r="D265" s="38"/>
      <c r="E265" s="10"/>
      <c r="I265" s="10"/>
      <c r="J265" s="10"/>
    </row>
    <row r="266">
      <c r="C266" s="38"/>
      <c r="D266" s="38"/>
      <c r="E266" s="10"/>
      <c r="I266" s="10"/>
      <c r="J266" s="10"/>
    </row>
    <row r="267">
      <c r="C267" s="38"/>
      <c r="D267" s="38"/>
      <c r="E267" s="10"/>
      <c r="I267" s="10"/>
      <c r="J267" s="10"/>
    </row>
    <row r="268">
      <c r="C268" s="38"/>
      <c r="D268" s="38"/>
      <c r="E268" s="10"/>
      <c r="I268" s="10"/>
      <c r="J268" s="10"/>
    </row>
    <row r="269">
      <c r="C269" s="38"/>
      <c r="D269" s="38"/>
      <c r="E269" s="10"/>
      <c r="I269" s="10"/>
      <c r="J269" s="10"/>
    </row>
    <row r="270">
      <c r="C270" s="38"/>
      <c r="D270" s="38"/>
      <c r="E270" s="10"/>
      <c r="I270" s="10"/>
      <c r="J270" s="10"/>
    </row>
    <row r="271">
      <c r="C271" s="38"/>
      <c r="D271" s="38"/>
      <c r="E271" s="10"/>
      <c r="I271" s="10"/>
      <c r="J271" s="10"/>
    </row>
    <row r="272">
      <c r="C272" s="38"/>
      <c r="D272" s="38"/>
      <c r="E272" s="10"/>
      <c r="I272" s="10"/>
      <c r="J272" s="10"/>
    </row>
    <row r="273">
      <c r="C273" s="38"/>
      <c r="D273" s="38"/>
      <c r="E273" s="10"/>
      <c r="I273" s="10"/>
      <c r="J273" s="10"/>
    </row>
    <row r="274">
      <c r="C274" s="38"/>
      <c r="D274" s="38"/>
      <c r="E274" s="10"/>
      <c r="I274" s="10"/>
      <c r="J274" s="10"/>
    </row>
    <row r="275">
      <c r="C275" s="38"/>
      <c r="D275" s="38"/>
      <c r="E275" s="10"/>
      <c r="I275" s="10"/>
      <c r="J275" s="10"/>
    </row>
    <row r="276">
      <c r="C276" s="38"/>
      <c r="D276" s="38"/>
      <c r="E276" s="10"/>
      <c r="I276" s="10"/>
      <c r="J276" s="10"/>
    </row>
    <row r="277">
      <c r="C277" s="38"/>
      <c r="D277" s="38"/>
      <c r="E277" s="10"/>
      <c r="I277" s="10"/>
      <c r="J277" s="10"/>
    </row>
    <row r="278">
      <c r="C278" s="38"/>
      <c r="D278" s="38"/>
      <c r="E278" s="10"/>
      <c r="I278" s="10"/>
      <c r="J278" s="10"/>
    </row>
    <row r="279">
      <c r="C279" s="38"/>
      <c r="D279" s="38"/>
      <c r="E279" s="10"/>
      <c r="I279" s="10"/>
      <c r="J279" s="10"/>
    </row>
    <row r="280">
      <c r="C280" s="38"/>
      <c r="D280" s="38"/>
      <c r="E280" s="10"/>
      <c r="I280" s="10"/>
      <c r="J280" s="10"/>
    </row>
    <row r="281">
      <c r="C281" s="38"/>
      <c r="D281" s="38"/>
      <c r="E281" s="10"/>
      <c r="I281" s="10"/>
      <c r="J281" s="10"/>
    </row>
    <row r="282">
      <c r="C282" s="38"/>
      <c r="D282" s="38"/>
      <c r="E282" s="10"/>
      <c r="I282" s="10"/>
      <c r="J282" s="10"/>
    </row>
    <row r="283">
      <c r="C283" s="38"/>
      <c r="D283" s="38"/>
      <c r="E283" s="10"/>
      <c r="I283" s="10"/>
      <c r="J283" s="10"/>
    </row>
    <row r="284">
      <c r="C284" s="38"/>
      <c r="D284" s="38"/>
      <c r="E284" s="10"/>
      <c r="I284" s="10"/>
      <c r="J284" s="10"/>
    </row>
    <row r="285">
      <c r="C285" s="38"/>
      <c r="D285" s="38"/>
      <c r="E285" s="10"/>
      <c r="I285" s="10"/>
      <c r="J285" s="10"/>
    </row>
    <row r="286">
      <c r="C286" s="38"/>
      <c r="D286" s="38"/>
      <c r="E286" s="10"/>
      <c r="I286" s="10"/>
      <c r="J286" s="10"/>
    </row>
    <row r="287">
      <c r="C287" s="38"/>
      <c r="D287" s="38"/>
      <c r="E287" s="10"/>
      <c r="I287" s="10"/>
      <c r="J287" s="10"/>
    </row>
    <row r="288">
      <c r="C288" s="38"/>
      <c r="D288" s="38"/>
      <c r="E288" s="10"/>
      <c r="I288" s="10"/>
      <c r="J288" s="10"/>
    </row>
    <row r="289">
      <c r="C289" s="38"/>
      <c r="D289" s="38"/>
      <c r="E289" s="10"/>
      <c r="I289" s="10"/>
      <c r="J289" s="10"/>
    </row>
    <row r="290">
      <c r="C290" s="38"/>
      <c r="D290" s="38"/>
      <c r="E290" s="10"/>
      <c r="I290" s="10"/>
      <c r="J290" s="10"/>
    </row>
    <row r="291">
      <c r="C291" s="38"/>
      <c r="D291" s="38"/>
      <c r="E291" s="10"/>
      <c r="I291" s="10"/>
      <c r="J291" s="10"/>
    </row>
    <row r="292">
      <c r="C292" s="38"/>
      <c r="D292" s="38"/>
      <c r="E292" s="10"/>
      <c r="I292" s="10"/>
      <c r="J292" s="10"/>
    </row>
    <row r="293">
      <c r="C293" s="38"/>
      <c r="D293" s="38"/>
      <c r="E293" s="10"/>
      <c r="I293" s="10"/>
      <c r="J293" s="10"/>
    </row>
    <row r="294">
      <c r="C294" s="38"/>
      <c r="D294" s="38"/>
      <c r="E294" s="10"/>
      <c r="I294" s="10"/>
      <c r="J294" s="10"/>
    </row>
    <row r="295">
      <c r="C295" s="38"/>
      <c r="D295" s="38"/>
      <c r="E295" s="10"/>
      <c r="I295" s="10"/>
      <c r="J295" s="10"/>
    </row>
    <row r="296">
      <c r="C296" s="38"/>
      <c r="D296" s="38"/>
      <c r="E296" s="10"/>
      <c r="I296" s="10"/>
      <c r="J296" s="10"/>
    </row>
    <row r="297">
      <c r="C297" s="38"/>
      <c r="D297" s="38"/>
      <c r="E297" s="10"/>
      <c r="I297" s="10"/>
      <c r="J297" s="10"/>
    </row>
    <row r="298">
      <c r="C298" s="38"/>
      <c r="D298" s="38"/>
      <c r="E298" s="10"/>
      <c r="I298" s="10"/>
      <c r="J298" s="10"/>
    </row>
    <row r="299">
      <c r="C299" s="38"/>
      <c r="D299" s="38"/>
      <c r="E299" s="10"/>
      <c r="I299" s="10"/>
      <c r="J299" s="10"/>
    </row>
    <row r="300">
      <c r="C300" s="38"/>
      <c r="D300" s="38"/>
      <c r="E300" s="10"/>
      <c r="I300" s="10"/>
      <c r="J300" s="10"/>
    </row>
    <row r="301">
      <c r="C301" s="38"/>
      <c r="D301" s="38"/>
      <c r="E301" s="10"/>
      <c r="I301" s="10"/>
      <c r="J301" s="10"/>
    </row>
    <row r="302">
      <c r="C302" s="38"/>
      <c r="D302" s="38"/>
      <c r="E302" s="10"/>
      <c r="I302" s="10"/>
      <c r="J302" s="10"/>
    </row>
    <row r="303">
      <c r="C303" s="38"/>
      <c r="D303" s="38"/>
      <c r="E303" s="10"/>
      <c r="I303" s="10"/>
      <c r="J303" s="10"/>
    </row>
    <row r="304">
      <c r="C304" s="38"/>
      <c r="D304" s="38"/>
      <c r="E304" s="10"/>
      <c r="I304" s="10"/>
      <c r="J304" s="10"/>
    </row>
    <row r="305">
      <c r="C305" s="38"/>
      <c r="D305" s="38"/>
      <c r="E305" s="10"/>
      <c r="I305" s="10"/>
      <c r="J305" s="10"/>
    </row>
    <row r="306">
      <c r="C306" s="38"/>
      <c r="D306" s="38"/>
      <c r="E306" s="10"/>
      <c r="I306" s="10"/>
      <c r="J306" s="10"/>
    </row>
    <row r="307">
      <c r="C307" s="38"/>
      <c r="D307" s="38"/>
      <c r="E307" s="10"/>
      <c r="I307" s="10"/>
      <c r="J307" s="10"/>
    </row>
    <row r="308">
      <c r="C308" s="38"/>
      <c r="D308" s="38"/>
      <c r="E308" s="10"/>
      <c r="I308" s="10"/>
      <c r="J308" s="10"/>
    </row>
    <row r="309">
      <c r="C309" s="38"/>
      <c r="D309" s="38"/>
      <c r="E309" s="10"/>
      <c r="I309" s="10"/>
      <c r="J309" s="10"/>
    </row>
    <row r="310">
      <c r="C310" s="38"/>
      <c r="D310" s="38"/>
      <c r="E310" s="10"/>
      <c r="I310" s="10"/>
      <c r="J310" s="10"/>
    </row>
    <row r="311">
      <c r="C311" s="38"/>
      <c r="D311" s="38"/>
      <c r="E311" s="10"/>
      <c r="I311" s="10"/>
      <c r="J311" s="10"/>
    </row>
    <row r="312">
      <c r="C312" s="38"/>
      <c r="D312" s="38"/>
      <c r="E312" s="10"/>
      <c r="I312" s="10"/>
      <c r="J312" s="10"/>
    </row>
    <row r="313">
      <c r="C313" s="38"/>
      <c r="D313" s="38"/>
      <c r="E313" s="10"/>
      <c r="I313" s="10"/>
      <c r="J313" s="10"/>
    </row>
    <row r="314">
      <c r="C314" s="38"/>
      <c r="D314" s="38"/>
      <c r="E314" s="10"/>
      <c r="I314" s="10"/>
      <c r="J314" s="10"/>
    </row>
    <row r="315">
      <c r="C315" s="38"/>
      <c r="D315" s="38"/>
      <c r="E315" s="10"/>
      <c r="I315" s="10"/>
      <c r="J315" s="10"/>
    </row>
    <row r="316">
      <c r="C316" s="38"/>
      <c r="D316" s="38"/>
      <c r="E316" s="10"/>
      <c r="I316" s="10"/>
      <c r="J316" s="10"/>
    </row>
    <row r="317">
      <c r="C317" s="38"/>
      <c r="D317" s="38"/>
      <c r="E317" s="10"/>
      <c r="I317" s="10"/>
      <c r="J317" s="10"/>
    </row>
    <row r="318">
      <c r="C318" s="38"/>
      <c r="D318" s="38"/>
      <c r="E318" s="10"/>
      <c r="I318" s="10"/>
      <c r="J318" s="10"/>
    </row>
    <row r="319">
      <c r="C319" s="38"/>
      <c r="D319" s="38"/>
      <c r="E319" s="10"/>
      <c r="I319" s="10"/>
      <c r="J319" s="10"/>
    </row>
    <row r="320">
      <c r="C320" s="38"/>
      <c r="D320" s="38"/>
      <c r="E320" s="10"/>
      <c r="I320" s="10"/>
      <c r="J320" s="10"/>
    </row>
    <row r="321">
      <c r="C321" s="38"/>
      <c r="D321" s="38"/>
      <c r="E321" s="10"/>
      <c r="I321" s="10"/>
      <c r="J321" s="10"/>
    </row>
    <row r="322">
      <c r="C322" s="38"/>
      <c r="D322" s="38"/>
      <c r="E322" s="10"/>
      <c r="I322" s="10"/>
      <c r="J322" s="10"/>
    </row>
    <row r="323">
      <c r="C323" s="38"/>
      <c r="D323" s="38"/>
      <c r="E323" s="10"/>
      <c r="I323" s="10"/>
      <c r="J323" s="10"/>
    </row>
    <row r="324">
      <c r="C324" s="38"/>
      <c r="D324" s="38"/>
      <c r="E324" s="10"/>
      <c r="I324" s="10"/>
      <c r="J324" s="10"/>
    </row>
    <row r="325">
      <c r="C325" s="38"/>
      <c r="D325" s="38"/>
      <c r="E325" s="10"/>
      <c r="I325" s="10"/>
      <c r="J325" s="10"/>
    </row>
    <row r="326">
      <c r="C326" s="38"/>
      <c r="D326" s="38"/>
      <c r="E326" s="10"/>
      <c r="I326" s="10"/>
      <c r="J326" s="10"/>
    </row>
    <row r="327">
      <c r="C327" s="38"/>
      <c r="D327" s="38"/>
      <c r="E327" s="10"/>
      <c r="I327" s="10"/>
      <c r="J327" s="10"/>
    </row>
    <row r="328">
      <c r="C328" s="38"/>
      <c r="D328" s="38"/>
      <c r="E328" s="10"/>
      <c r="I328" s="10"/>
      <c r="J328" s="10"/>
    </row>
    <row r="329">
      <c r="C329" s="38"/>
      <c r="D329" s="38"/>
      <c r="E329" s="10"/>
      <c r="I329" s="10"/>
      <c r="J329" s="10"/>
    </row>
    <row r="330">
      <c r="C330" s="38"/>
      <c r="D330" s="38"/>
      <c r="E330" s="10"/>
      <c r="I330" s="10"/>
      <c r="J330" s="10"/>
    </row>
    <row r="331">
      <c r="C331" s="38"/>
      <c r="D331" s="38"/>
      <c r="E331" s="10"/>
      <c r="I331" s="10"/>
      <c r="J331" s="10"/>
    </row>
    <row r="332">
      <c r="C332" s="38"/>
      <c r="D332" s="38"/>
      <c r="E332" s="10"/>
      <c r="I332" s="10"/>
      <c r="J332" s="10"/>
    </row>
    <row r="333">
      <c r="C333" s="38"/>
      <c r="D333" s="38"/>
      <c r="E333" s="10"/>
      <c r="I333" s="10"/>
      <c r="J333" s="10"/>
    </row>
    <row r="334">
      <c r="C334" s="38"/>
      <c r="D334" s="38"/>
      <c r="E334" s="10"/>
      <c r="I334" s="10"/>
      <c r="J334" s="10"/>
    </row>
    <row r="335">
      <c r="C335" s="38"/>
      <c r="D335" s="38"/>
      <c r="E335" s="10"/>
      <c r="I335" s="10"/>
      <c r="J335" s="10"/>
    </row>
    <row r="336">
      <c r="C336" s="38"/>
      <c r="D336" s="38"/>
      <c r="E336" s="10"/>
      <c r="I336" s="10"/>
      <c r="J336" s="10"/>
    </row>
    <row r="337">
      <c r="C337" s="38"/>
      <c r="D337" s="38"/>
      <c r="E337" s="10"/>
      <c r="I337" s="10"/>
      <c r="J337" s="10"/>
    </row>
    <row r="338">
      <c r="C338" s="38"/>
      <c r="D338" s="38"/>
      <c r="E338" s="10"/>
      <c r="I338" s="10"/>
      <c r="J338" s="10"/>
    </row>
    <row r="339">
      <c r="C339" s="38"/>
      <c r="D339" s="38"/>
      <c r="E339" s="10"/>
      <c r="I339" s="10"/>
      <c r="J339" s="10"/>
    </row>
    <row r="340">
      <c r="C340" s="38"/>
      <c r="D340" s="38"/>
      <c r="E340" s="10"/>
      <c r="I340" s="10"/>
      <c r="J340" s="10"/>
    </row>
    <row r="341">
      <c r="C341" s="38"/>
      <c r="D341" s="38"/>
      <c r="E341" s="10"/>
      <c r="I341" s="10"/>
      <c r="J341" s="10"/>
    </row>
    <row r="342">
      <c r="C342" s="38"/>
      <c r="D342" s="38"/>
      <c r="E342" s="10"/>
      <c r="I342" s="10"/>
      <c r="J342" s="10"/>
    </row>
    <row r="343">
      <c r="C343" s="38"/>
      <c r="D343" s="38"/>
      <c r="E343" s="10"/>
      <c r="I343" s="10"/>
      <c r="J343" s="10"/>
    </row>
    <row r="344">
      <c r="C344" s="38"/>
      <c r="D344" s="38"/>
      <c r="E344" s="10"/>
      <c r="I344" s="10"/>
      <c r="J344" s="10"/>
    </row>
    <row r="345">
      <c r="C345" s="38"/>
      <c r="D345" s="38"/>
      <c r="E345" s="10"/>
      <c r="I345" s="10"/>
      <c r="J345" s="10"/>
    </row>
    <row r="346">
      <c r="C346" s="38"/>
      <c r="D346" s="38"/>
      <c r="E346" s="10"/>
      <c r="I346" s="10"/>
      <c r="J346" s="10"/>
    </row>
    <row r="347">
      <c r="C347" s="38"/>
      <c r="D347" s="38"/>
      <c r="E347" s="10"/>
      <c r="I347" s="10"/>
      <c r="J347" s="10"/>
    </row>
    <row r="348">
      <c r="C348" s="38"/>
      <c r="D348" s="38"/>
      <c r="E348" s="10"/>
      <c r="I348" s="10"/>
      <c r="J348" s="10"/>
    </row>
    <row r="349">
      <c r="C349" s="38"/>
      <c r="D349" s="38"/>
      <c r="E349" s="10"/>
      <c r="I349" s="10"/>
      <c r="J349" s="10"/>
    </row>
    <row r="350">
      <c r="C350" s="38"/>
      <c r="D350" s="38"/>
      <c r="E350" s="10"/>
      <c r="I350" s="10"/>
      <c r="J350" s="10"/>
    </row>
    <row r="351">
      <c r="C351" s="38"/>
      <c r="D351" s="38"/>
      <c r="E351" s="10"/>
      <c r="I351" s="10"/>
      <c r="J351" s="10"/>
    </row>
    <row r="352">
      <c r="C352" s="38"/>
      <c r="D352" s="38"/>
      <c r="E352" s="10"/>
      <c r="I352" s="10"/>
      <c r="J352" s="10"/>
    </row>
    <row r="353">
      <c r="C353" s="38"/>
      <c r="D353" s="38"/>
      <c r="E353" s="10"/>
      <c r="I353" s="10"/>
      <c r="J353" s="10"/>
    </row>
    <row r="354">
      <c r="C354" s="38"/>
      <c r="D354" s="38"/>
      <c r="E354" s="10"/>
      <c r="I354" s="10"/>
      <c r="J354" s="10"/>
    </row>
    <row r="355">
      <c r="C355" s="38"/>
      <c r="D355" s="38"/>
      <c r="E355" s="10"/>
      <c r="I355" s="10"/>
      <c r="J355" s="10"/>
    </row>
    <row r="356">
      <c r="C356" s="38"/>
      <c r="D356" s="38"/>
      <c r="E356" s="10"/>
      <c r="I356" s="10"/>
      <c r="J356" s="10"/>
    </row>
    <row r="357">
      <c r="C357" s="38"/>
      <c r="D357" s="38"/>
      <c r="E357" s="10"/>
      <c r="I357" s="10"/>
      <c r="J357" s="10"/>
    </row>
    <row r="358">
      <c r="C358" s="38"/>
      <c r="D358" s="38"/>
      <c r="E358" s="10"/>
      <c r="I358" s="10"/>
      <c r="J358" s="10"/>
    </row>
    <row r="359">
      <c r="C359" s="38"/>
      <c r="D359" s="38"/>
      <c r="E359" s="10"/>
      <c r="I359" s="10"/>
      <c r="J359" s="10"/>
    </row>
    <row r="360">
      <c r="C360" s="38"/>
      <c r="D360" s="38"/>
      <c r="E360" s="10"/>
      <c r="I360" s="10"/>
      <c r="J360" s="10"/>
    </row>
    <row r="361">
      <c r="C361" s="38"/>
      <c r="D361" s="38"/>
      <c r="E361" s="10"/>
      <c r="I361" s="10"/>
      <c r="J361" s="10"/>
    </row>
    <row r="362">
      <c r="C362" s="38"/>
      <c r="D362" s="38"/>
      <c r="E362" s="10"/>
      <c r="I362" s="10"/>
      <c r="J362" s="10"/>
    </row>
    <row r="363">
      <c r="C363" s="38"/>
      <c r="D363" s="38"/>
      <c r="E363" s="10"/>
      <c r="I363" s="10"/>
      <c r="J363" s="10"/>
    </row>
    <row r="364">
      <c r="C364" s="38"/>
      <c r="D364" s="38"/>
      <c r="E364" s="10"/>
      <c r="I364" s="10"/>
      <c r="J364" s="10"/>
    </row>
    <row r="365">
      <c r="C365" s="38"/>
      <c r="D365" s="38"/>
      <c r="E365" s="10"/>
      <c r="I365" s="10"/>
      <c r="J365" s="10"/>
    </row>
    <row r="366">
      <c r="C366" s="38"/>
      <c r="D366" s="38"/>
      <c r="E366" s="10"/>
      <c r="I366" s="10"/>
      <c r="J366" s="10"/>
    </row>
    <row r="367">
      <c r="C367" s="38"/>
      <c r="D367" s="38"/>
      <c r="E367" s="10"/>
      <c r="I367" s="10"/>
      <c r="J367" s="10"/>
    </row>
    <row r="368">
      <c r="C368" s="38"/>
      <c r="D368" s="38"/>
      <c r="E368" s="10"/>
      <c r="I368" s="10"/>
      <c r="J368" s="10"/>
    </row>
    <row r="369">
      <c r="C369" s="38"/>
      <c r="D369" s="38"/>
      <c r="E369" s="10"/>
      <c r="I369" s="10"/>
      <c r="J369" s="10"/>
    </row>
    <row r="370">
      <c r="C370" s="38"/>
      <c r="D370" s="38"/>
      <c r="E370" s="10"/>
      <c r="I370" s="10"/>
      <c r="J370" s="10"/>
    </row>
    <row r="371">
      <c r="C371" s="38"/>
      <c r="D371" s="38"/>
      <c r="E371" s="10"/>
      <c r="I371" s="10"/>
      <c r="J371" s="10"/>
    </row>
    <row r="372">
      <c r="C372" s="38"/>
      <c r="D372" s="38"/>
      <c r="E372" s="10"/>
      <c r="I372" s="10"/>
      <c r="J372" s="10"/>
    </row>
    <row r="373">
      <c r="C373" s="38"/>
      <c r="D373" s="38"/>
      <c r="E373" s="10"/>
      <c r="I373" s="10"/>
      <c r="J373" s="10"/>
    </row>
    <row r="374">
      <c r="C374" s="38"/>
      <c r="D374" s="38"/>
      <c r="E374" s="10"/>
      <c r="I374" s="10"/>
      <c r="J374" s="10"/>
    </row>
    <row r="375">
      <c r="C375" s="38"/>
      <c r="D375" s="38"/>
      <c r="E375" s="10"/>
      <c r="I375" s="10"/>
      <c r="J375" s="10"/>
    </row>
    <row r="376">
      <c r="C376" s="38"/>
      <c r="D376" s="38"/>
      <c r="E376" s="10"/>
      <c r="I376" s="10"/>
      <c r="J376" s="10"/>
    </row>
    <row r="377">
      <c r="C377" s="38"/>
      <c r="D377" s="38"/>
      <c r="E377" s="10"/>
      <c r="I377" s="10"/>
      <c r="J377" s="10"/>
    </row>
    <row r="378">
      <c r="C378" s="38"/>
      <c r="D378" s="38"/>
      <c r="E378" s="10"/>
      <c r="I378" s="10"/>
      <c r="J378" s="10"/>
    </row>
    <row r="379">
      <c r="C379" s="38"/>
      <c r="D379" s="38"/>
      <c r="E379" s="10"/>
      <c r="I379" s="10"/>
      <c r="J379" s="10"/>
    </row>
    <row r="380">
      <c r="C380" s="38"/>
      <c r="D380" s="38"/>
      <c r="E380" s="10"/>
      <c r="I380" s="10"/>
      <c r="J380" s="10"/>
    </row>
    <row r="381">
      <c r="C381" s="38"/>
      <c r="D381" s="38"/>
      <c r="E381" s="10"/>
      <c r="I381" s="10"/>
      <c r="J381" s="10"/>
    </row>
    <row r="382">
      <c r="C382" s="38"/>
      <c r="D382" s="38"/>
      <c r="E382" s="10"/>
      <c r="I382" s="10"/>
      <c r="J382" s="10"/>
    </row>
    <row r="383">
      <c r="C383" s="38"/>
      <c r="D383" s="38"/>
      <c r="E383" s="10"/>
      <c r="I383" s="10"/>
      <c r="J383" s="10"/>
    </row>
    <row r="384">
      <c r="C384" s="38"/>
      <c r="D384" s="38"/>
      <c r="E384" s="10"/>
      <c r="I384" s="10"/>
      <c r="J384" s="10"/>
    </row>
    <row r="385">
      <c r="C385" s="38"/>
      <c r="D385" s="38"/>
      <c r="E385" s="10"/>
      <c r="I385" s="10"/>
      <c r="J385" s="10"/>
    </row>
    <row r="386">
      <c r="C386" s="38"/>
      <c r="D386" s="38"/>
      <c r="E386" s="10"/>
      <c r="I386" s="10"/>
      <c r="J386" s="10"/>
    </row>
    <row r="387">
      <c r="C387" s="38"/>
      <c r="D387" s="38"/>
      <c r="E387" s="10"/>
      <c r="I387" s="10"/>
      <c r="J387" s="10"/>
    </row>
    <row r="388">
      <c r="C388" s="38"/>
      <c r="D388" s="38"/>
      <c r="E388" s="10"/>
      <c r="I388" s="10"/>
      <c r="J388" s="10"/>
    </row>
    <row r="389">
      <c r="C389" s="38"/>
      <c r="D389" s="38"/>
      <c r="E389" s="10"/>
      <c r="I389" s="10"/>
      <c r="J389" s="10"/>
    </row>
    <row r="390">
      <c r="C390" s="38"/>
      <c r="D390" s="38"/>
      <c r="E390" s="10"/>
      <c r="I390" s="10"/>
      <c r="J390" s="10"/>
    </row>
    <row r="391">
      <c r="C391" s="38"/>
      <c r="D391" s="38"/>
      <c r="E391" s="10"/>
      <c r="I391" s="10"/>
      <c r="J391" s="10"/>
    </row>
    <row r="392">
      <c r="C392" s="38"/>
      <c r="D392" s="38"/>
      <c r="E392" s="10"/>
      <c r="I392" s="10"/>
      <c r="J392" s="10"/>
    </row>
    <row r="393">
      <c r="C393" s="38"/>
      <c r="D393" s="38"/>
      <c r="E393" s="10"/>
      <c r="I393" s="10"/>
      <c r="J393" s="10"/>
    </row>
    <row r="394">
      <c r="C394" s="38"/>
      <c r="D394" s="38"/>
      <c r="E394" s="10"/>
      <c r="I394" s="10"/>
      <c r="J394" s="10"/>
    </row>
    <row r="395">
      <c r="C395" s="38"/>
      <c r="D395" s="38"/>
      <c r="E395" s="10"/>
      <c r="I395" s="10"/>
      <c r="J395" s="10"/>
    </row>
    <row r="396">
      <c r="C396" s="38"/>
      <c r="D396" s="38"/>
      <c r="E396" s="10"/>
      <c r="I396" s="10"/>
      <c r="J396" s="10"/>
    </row>
    <row r="397">
      <c r="C397" s="38"/>
      <c r="D397" s="38"/>
      <c r="E397" s="10"/>
      <c r="I397" s="10"/>
      <c r="J397" s="10"/>
    </row>
    <row r="398">
      <c r="C398" s="38"/>
      <c r="D398" s="38"/>
      <c r="E398" s="10"/>
      <c r="I398" s="10"/>
      <c r="J398" s="10"/>
    </row>
    <row r="399">
      <c r="C399" s="38"/>
      <c r="D399" s="38"/>
      <c r="E399" s="10"/>
      <c r="I399" s="10"/>
      <c r="J399" s="10"/>
    </row>
    <row r="400">
      <c r="C400" s="38"/>
      <c r="D400" s="38"/>
      <c r="E400" s="10"/>
      <c r="I400" s="10"/>
      <c r="J400" s="10"/>
    </row>
    <row r="401">
      <c r="C401" s="38"/>
      <c r="D401" s="38"/>
      <c r="E401" s="10"/>
      <c r="I401" s="10"/>
      <c r="J401" s="10"/>
    </row>
    <row r="402">
      <c r="C402" s="38"/>
      <c r="D402" s="38"/>
      <c r="E402" s="10"/>
      <c r="I402" s="10"/>
      <c r="J402" s="10"/>
    </row>
    <row r="403">
      <c r="C403" s="38"/>
      <c r="D403" s="38"/>
      <c r="E403" s="10"/>
      <c r="I403" s="10"/>
      <c r="J403" s="10"/>
    </row>
    <row r="404">
      <c r="C404" s="38"/>
      <c r="D404" s="38"/>
      <c r="E404" s="10"/>
      <c r="I404" s="10"/>
      <c r="J404" s="10"/>
    </row>
    <row r="405">
      <c r="C405" s="38"/>
      <c r="D405" s="38"/>
      <c r="E405" s="10"/>
      <c r="I405" s="10"/>
      <c r="J405" s="10"/>
    </row>
    <row r="406">
      <c r="C406" s="38"/>
      <c r="D406" s="38"/>
      <c r="E406" s="10"/>
      <c r="I406" s="10"/>
      <c r="J406" s="10"/>
    </row>
    <row r="407">
      <c r="C407" s="38"/>
      <c r="D407" s="38"/>
      <c r="E407" s="10"/>
      <c r="I407" s="10"/>
      <c r="J407" s="10"/>
    </row>
    <row r="408">
      <c r="C408" s="38"/>
      <c r="D408" s="38"/>
      <c r="E408" s="10"/>
      <c r="I408" s="10"/>
      <c r="J408" s="10"/>
    </row>
    <row r="409">
      <c r="C409" s="38"/>
      <c r="D409" s="38"/>
      <c r="E409" s="10"/>
      <c r="I409" s="10"/>
      <c r="J409" s="10"/>
    </row>
    <row r="410">
      <c r="C410" s="38"/>
      <c r="D410" s="38"/>
      <c r="E410" s="10"/>
      <c r="I410" s="10"/>
      <c r="J410" s="10"/>
    </row>
    <row r="411">
      <c r="C411" s="38"/>
      <c r="D411" s="38"/>
      <c r="E411" s="10"/>
      <c r="I411" s="10"/>
      <c r="J411" s="10"/>
    </row>
    <row r="412">
      <c r="C412" s="38"/>
      <c r="D412" s="38"/>
      <c r="E412" s="10"/>
      <c r="I412" s="10"/>
      <c r="J412" s="10"/>
    </row>
    <row r="413">
      <c r="C413" s="38"/>
      <c r="D413" s="38"/>
      <c r="E413" s="10"/>
      <c r="I413" s="10"/>
      <c r="J413" s="10"/>
    </row>
    <row r="414">
      <c r="C414" s="38"/>
      <c r="D414" s="38"/>
      <c r="E414" s="10"/>
      <c r="I414" s="10"/>
      <c r="J414" s="10"/>
    </row>
    <row r="415">
      <c r="C415" s="38"/>
      <c r="D415" s="38"/>
      <c r="E415" s="10"/>
      <c r="I415" s="10"/>
      <c r="J415" s="10"/>
    </row>
    <row r="416">
      <c r="C416" s="38"/>
      <c r="D416" s="38"/>
      <c r="E416" s="10"/>
      <c r="I416" s="10"/>
      <c r="J416" s="10"/>
    </row>
    <row r="417">
      <c r="C417" s="38"/>
      <c r="D417" s="38"/>
      <c r="E417" s="10"/>
      <c r="I417" s="10"/>
      <c r="J417" s="10"/>
    </row>
    <row r="418">
      <c r="C418" s="38"/>
      <c r="D418" s="38"/>
      <c r="E418" s="10"/>
      <c r="I418" s="10"/>
      <c r="J418" s="10"/>
    </row>
    <row r="419">
      <c r="C419" s="38"/>
      <c r="D419" s="38"/>
      <c r="E419" s="10"/>
      <c r="I419" s="10"/>
      <c r="J419" s="10"/>
    </row>
    <row r="420">
      <c r="C420" s="38"/>
      <c r="D420" s="38"/>
      <c r="E420" s="10"/>
      <c r="I420" s="10"/>
      <c r="J420" s="10"/>
    </row>
    <row r="421">
      <c r="C421" s="38"/>
      <c r="D421" s="38"/>
      <c r="E421" s="10"/>
      <c r="I421" s="10"/>
      <c r="J421" s="10"/>
    </row>
    <row r="422">
      <c r="C422" s="38"/>
      <c r="D422" s="38"/>
      <c r="E422" s="10"/>
      <c r="I422" s="10"/>
      <c r="J422" s="10"/>
    </row>
    <row r="423">
      <c r="C423" s="38"/>
      <c r="D423" s="38"/>
      <c r="E423" s="10"/>
      <c r="I423" s="10"/>
      <c r="J423" s="10"/>
    </row>
    <row r="424">
      <c r="C424" s="38"/>
      <c r="D424" s="38"/>
      <c r="E424" s="10"/>
      <c r="I424" s="10"/>
      <c r="J424" s="10"/>
    </row>
    <row r="425">
      <c r="C425" s="38"/>
      <c r="D425" s="38"/>
      <c r="E425" s="10"/>
      <c r="I425" s="10"/>
      <c r="J425" s="10"/>
    </row>
    <row r="426">
      <c r="C426" s="38"/>
      <c r="D426" s="38"/>
      <c r="E426" s="10"/>
      <c r="I426" s="10"/>
      <c r="J426" s="10"/>
    </row>
    <row r="427">
      <c r="C427" s="38"/>
      <c r="D427" s="38"/>
      <c r="E427" s="10"/>
      <c r="I427" s="10"/>
      <c r="J427" s="10"/>
    </row>
    <row r="428">
      <c r="C428" s="38"/>
      <c r="D428" s="38"/>
      <c r="E428" s="10"/>
      <c r="I428" s="10"/>
      <c r="J428" s="10"/>
    </row>
    <row r="429">
      <c r="C429" s="38"/>
      <c r="D429" s="38"/>
      <c r="E429" s="10"/>
      <c r="I429" s="10"/>
      <c r="J429" s="10"/>
    </row>
    <row r="430">
      <c r="C430" s="38"/>
      <c r="D430" s="38"/>
      <c r="E430" s="10"/>
      <c r="I430" s="10"/>
      <c r="J430" s="10"/>
    </row>
    <row r="431">
      <c r="C431" s="38"/>
      <c r="D431" s="38"/>
      <c r="E431" s="10"/>
      <c r="I431" s="10"/>
      <c r="J431" s="10"/>
    </row>
    <row r="432">
      <c r="C432" s="38"/>
      <c r="D432" s="38"/>
      <c r="E432" s="10"/>
      <c r="I432" s="10"/>
      <c r="J432" s="10"/>
    </row>
    <row r="433">
      <c r="C433" s="38"/>
      <c r="D433" s="38"/>
      <c r="E433" s="10"/>
      <c r="I433" s="10"/>
      <c r="J433" s="10"/>
    </row>
    <row r="434">
      <c r="C434" s="38"/>
      <c r="D434" s="38"/>
      <c r="E434" s="10"/>
      <c r="I434" s="10"/>
      <c r="J434" s="10"/>
    </row>
    <row r="435">
      <c r="C435" s="38"/>
      <c r="D435" s="38"/>
      <c r="E435" s="10"/>
      <c r="I435" s="10"/>
      <c r="J435" s="10"/>
    </row>
    <row r="436">
      <c r="C436" s="38"/>
      <c r="D436" s="38"/>
      <c r="E436" s="10"/>
      <c r="I436" s="10"/>
      <c r="J436" s="10"/>
    </row>
    <row r="437">
      <c r="C437" s="38"/>
      <c r="D437" s="38"/>
      <c r="E437" s="10"/>
      <c r="I437" s="10"/>
      <c r="J437" s="10"/>
    </row>
    <row r="438">
      <c r="C438" s="38"/>
      <c r="D438" s="38"/>
      <c r="E438" s="10"/>
      <c r="I438" s="10"/>
      <c r="J438" s="10"/>
    </row>
    <row r="439">
      <c r="C439" s="38"/>
      <c r="D439" s="38"/>
      <c r="E439" s="10"/>
      <c r="I439" s="10"/>
      <c r="J439" s="10"/>
    </row>
    <row r="440">
      <c r="C440" s="38"/>
      <c r="D440" s="38"/>
      <c r="E440" s="10"/>
      <c r="I440" s="10"/>
      <c r="J440" s="10"/>
    </row>
    <row r="441">
      <c r="C441" s="38"/>
      <c r="D441" s="38"/>
      <c r="E441" s="10"/>
      <c r="I441" s="10"/>
      <c r="J441" s="10"/>
    </row>
    <row r="442">
      <c r="C442" s="38"/>
      <c r="D442" s="38"/>
      <c r="E442" s="10"/>
      <c r="I442" s="10"/>
      <c r="J442" s="10"/>
    </row>
    <row r="443">
      <c r="C443" s="38"/>
      <c r="D443" s="38"/>
      <c r="E443" s="10"/>
      <c r="I443" s="10"/>
      <c r="J443" s="10"/>
    </row>
    <row r="444">
      <c r="C444" s="38"/>
      <c r="D444" s="38"/>
      <c r="E444" s="10"/>
      <c r="I444" s="10"/>
      <c r="J444" s="10"/>
    </row>
    <row r="445">
      <c r="C445" s="38"/>
      <c r="D445" s="38"/>
      <c r="E445" s="10"/>
      <c r="I445" s="10"/>
      <c r="J445" s="10"/>
    </row>
    <row r="446">
      <c r="C446" s="38"/>
      <c r="D446" s="38"/>
      <c r="E446" s="10"/>
      <c r="I446" s="10"/>
      <c r="J446" s="10"/>
    </row>
    <row r="447">
      <c r="C447" s="38"/>
      <c r="D447" s="38"/>
      <c r="E447" s="10"/>
      <c r="I447" s="10"/>
      <c r="J447" s="10"/>
    </row>
    <row r="448">
      <c r="C448" s="38"/>
      <c r="D448" s="38"/>
      <c r="E448" s="10"/>
      <c r="I448" s="10"/>
      <c r="J448" s="10"/>
    </row>
    <row r="449">
      <c r="C449" s="38"/>
      <c r="D449" s="38"/>
      <c r="E449" s="10"/>
      <c r="I449" s="10"/>
      <c r="J449" s="10"/>
    </row>
    <row r="450">
      <c r="C450" s="38"/>
      <c r="D450" s="38"/>
      <c r="E450" s="10"/>
      <c r="I450" s="10"/>
      <c r="J450" s="10"/>
    </row>
    <row r="451">
      <c r="C451" s="38"/>
      <c r="D451" s="38"/>
      <c r="E451" s="10"/>
      <c r="I451" s="10"/>
      <c r="J451" s="10"/>
    </row>
    <row r="452">
      <c r="C452" s="38"/>
      <c r="D452" s="38"/>
      <c r="E452" s="10"/>
      <c r="I452" s="10"/>
      <c r="J452" s="10"/>
    </row>
    <row r="453">
      <c r="C453" s="38"/>
      <c r="D453" s="38"/>
      <c r="E453" s="10"/>
      <c r="I453" s="10"/>
      <c r="J453" s="10"/>
    </row>
    <row r="454">
      <c r="C454" s="38"/>
      <c r="D454" s="38"/>
      <c r="E454" s="10"/>
      <c r="I454" s="10"/>
      <c r="J454" s="10"/>
    </row>
    <row r="455">
      <c r="C455" s="38"/>
      <c r="D455" s="38"/>
      <c r="E455" s="10"/>
      <c r="I455" s="10"/>
      <c r="J455" s="10"/>
    </row>
    <row r="456">
      <c r="C456" s="38"/>
      <c r="D456" s="38"/>
      <c r="E456" s="10"/>
      <c r="I456" s="10"/>
      <c r="J456" s="10"/>
    </row>
    <row r="457">
      <c r="C457" s="38"/>
      <c r="D457" s="38"/>
      <c r="E457" s="10"/>
      <c r="I457" s="10"/>
      <c r="J457" s="10"/>
    </row>
    <row r="458">
      <c r="C458" s="38"/>
      <c r="D458" s="38"/>
      <c r="E458" s="10"/>
      <c r="I458" s="10"/>
      <c r="J458" s="10"/>
    </row>
    <row r="459">
      <c r="C459" s="38"/>
      <c r="D459" s="38"/>
      <c r="E459" s="10"/>
      <c r="I459" s="10"/>
      <c r="J459" s="10"/>
    </row>
    <row r="460">
      <c r="C460" s="38"/>
      <c r="D460" s="38"/>
      <c r="E460" s="10"/>
      <c r="I460" s="10"/>
      <c r="J460" s="10"/>
    </row>
    <row r="461">
      <c r="C461" s="38"/>
      <c r="D461" s="38"/>
      <c r="E461" s="10"/>
      <c r="I461" s="10"/>
      <c r="J461" s="10"/>
    </row>
    <row r="462">
      <c r="C462" s="38"/>
      <c r="D462" s="38"/>
      <c r="E462" s="10"/>
      <c r="I462" s="10"/>
      <c r="J462" s="10"/>
    </row>
    <row r="463">
      <c r="C463" s="38"/>
      <c r="D463" s="38"/>
      <c r="E463" s="10"/>
      <c r="I463" s="10"/>
      <c r="J463" s="10"/>
    </row>
    <row r="464">
      <c r="C464" s="38"/>
      <c r="D464" s="38"/>
      <c r="E464" s="10"/>
      <c r="I464" s="10"/>
      <c r="J464" s="10"/>
    </row>
    <row r="465">
      <c r="C465" s="38"/>
      <c r="D465" s="38"/>
      <c r="E465" s="10"/>
      <c r="I465" s="10"/>
      <c r="J465" s="10"/>
    </row>
    <row r="466">
      <c r="C466" s="38"/>
      <c r="D466" s="38"/>
      <c r="E466" s="10"/>
      <c r="I466" s="10"/>
      <c r="J466" s="10"/>
    </row>
    <row r="467">
      <c r="C467" s="38"/>
      <c r="D467" s="38"/>
      <c r="E467" s="10"/>
      <c r="I467" s="10"/>
      <c r="J467" s="10"/>
    </row>
    <row r="468">
      <c r="C468" s="38"/>
      <c r="D468" s="38"/>
      <c r="E468" s="10"/>
      <c r="I468" s="10"/>
      <c r="J468" s="10"/>
    </row>
    <row r="469">
      <c r="C469" s="38"/>
      <c r="D469" s="38"/>
      <c r="E469" s="10"/>
      <c r="I469" s="10"/>
      <c r="J469" s="10"/>
    </row>
    <row r="470">
      <c r="C470" s="38"/>
      <c r="D470" s="38"/>
      <c r="E470" s="10"/>
      <c r="I470" s="10"/>
      <c r="J470" s="10"/>
    </row>
    <row r="471">
      <c r="C471" s="38"/>
      <c r="D471" s="38"/>
      <c r="E471" s="10"/>
      <c r="I471" s="10"/>
      <c r="J471" s="10"/>
    </row>
    <row r="472">
      <c r="C472" s="38"/>
      <c r="D472" s="38"/>
      <c r="E472" s="10"/>
      <c r="I472" s="10"/>
      <c r="J472" s="10"/>
    </row>
    <row r="473">
      <c r="C473" s="38"/>
      <c r="D473" s="38"/>
      <c r="E473" s="10"/>
      <c r="I473" s="10"/>
      <c r="J473" s="10"/>
    </row>
    <row r="474">
      <c r="C474" s="38"/>
      <c r="D474" s="38"/>
      <c r="E474" s="10"/>
      <c r="I474" s="10"/>
      <c r="J474" s="10"/>
    </row>
    <row r="475">
      <c r="C475" s="38"/>
      <c r="D475" s="38"/>
      <c r="E475" s="10"/>
      <c r="I475" s="10"/>
      <c r="J475" s="10"/>
    </row>
    <row r="476">
      <c r="C476" s="38"/>
      <c r="D476" s="38"/>
      <c r="E476" s="10"/>
      <c r="I476" s="10"/>
      <c r="J476" s="10"/>
    </row>
    <row r="477">
      <c r="C477" s="38"/>
      <c r="D477" s="38"/>
      <c r="E477" s="10"/>
      <c r="I477" s="10"/>
      <c r="J477" s="10"/>
    </row>
    <row r="478">
      <c r="C478" s="38"/>
      <c r="D478" s="38"/>
      <c r="E478" s="10"/>
      <c r="I478" s="10"/>
      <c r="J478" s="10"/>
    </row>
    <row r="479">
      <c r="C479" s="38"/>
      <c r="D479" s="38"/>
      <c r="E479" s="10"/>
      <c r="I479" s="10"/>
      <c r="J479" s="10"/>
    </row>
    <row r="480">
      <c r="C480" s="38"/>
      <c r="D480" s="38"/>
      <c r="E480" s="10"/>
      <c r="I480" s="10"/>
      <c r="J480" s="10"/>
    </row>
    <row r="481">
      <c r="C481" s="38"/>
      <c r="D481" s="38"/>
      <c r="E481" s="10"/>
      <c r="I481" s="10"/>
      <c r="J481" s="10"/>
    </row>
    <row r="482">
      <c r="C482" s="38"/>
      <c r="D482" s="38"/>
      <c r="E482" s="10"/>
      <c r="I482" s="10"/>
      <c r="J482" s="10"/>
    </row>
    <row r="483">
      <c r="C483" s="38"/>
      <c r="D483" s="38"/>
      <c r="E483" s="10"/>
      <c r="I483" s="10"/>
      <c r="J483" s="10"/>
    </row>
    <row r="484">
      <c r="C484" s="38"/>
      <c r="D484" s="38"/>
      <c r="E484" s="10"/>
      <c r="I484" s="10"/>
      <c r="J484" s="10"/>
    </row>
    <row r="485">
      <c r="C485" s="38"/>
      <c r="D485" s="38"/>
      <c r="E485" s="10"/>
      <c r="I485" s="10"/>
      <c r="J485" s="10"/>
    </row>
    <row r="486">
      <c r="C486" s="38"/>
      <c r="D486" s="38"/>
      <c r="E486" s="10"/>
      <c r="I486" s="10"/>
      <c r="J486" s="10"/>
    </row>
    <row r="487">
      <c r="C487" s="38"/>
      <c r="D487" s="38"/>
      <c r="E487" s="10"/>
      <c r="I487" s="10"/>
      <c r="J487" s="10"/>
    </row>
    <row r="488">
      <c r="C488" s="38"/>
      <c r="D488" s="38"/>
      <c r="E488" s="10"/>
      <c r="I488" s="10"/>
      <c r="J488" s="10"/>
    </row>
    <row r="489">
      <c r="C489" s="38"/>
      <c r="D489" s="38"/>
      <c r="E489" s="10"/>
      <c r="I489" s="10"/>
      <c r="J489" s="10"/>
    </row>
    <row r="490">
      <c r="C490" s="38"/>
      <c r="D490" s="38"/>
      <c r="E490" s="10"/>
      <c r="I490" s="10"/>
      <c r="J490" s="10"/>
    </row>
    <row r="491">
      <c r="C491" s="38"/>
      <c r="D491" s="38"/>
      <c r="E491" s="10"/>
      <c r="I491" s="10"/>
      <c r="J491" s="10"/>
    </row>
    <row r="492">
      <c r="C492" s="38"/>
      <c r="D492" s="38"/>
      <c r="E492" s="10"/>
      <c r="I492" s="10"/>
      <c r="J492" s="10"/>
    </row>
    <row r="493">
      <c r="C493" s="38"/>
      <c r="D493" s="38"/>
      <c r="E493" s="10"/>
      <c r="I493" s="10"/>
      <c r="J493" s="10"/>
    </row>
    <row r="494">
      <c r="C494" s="38"/>
      <c r="D494" s="38"/>
      <c r="E494" s="10"/>
      <c r="I494" s="10"/>
      <c r="J494" s="10"/>
    </row>
    <row r="495">
      <c r="C495" s="38"/>
      <c r="D495" s="38"/>
      <c r="E495" s="10"/>
      <c r="I495" s="10"/>
      <c r="J495" s="10"/>
    </row>
    <row r="496">
      <c r="C496" s="38"/>
      <c r="D496" s="38"/>
      <c r="E496" s="10"/>
      <c r="I496" s="10"/>
      <c r="J496" s="10"/>
    </row>
    <row r="497">
      <c r="C497" s="38"/>
      <c r="D497" s="38"/>
      <c r="E497" s="10"/>
      <c r="I497" s="10"/>
      <c r="J497" s="10"/>
    </row>
    <row r="498">
      <c r="C498" s="38"/>
      <c r="D498" s="38"/>
      <c r="E498" s="10"/>
      <c r="I498" s="10"/>
      <c r="J498" s="10"/>
    </row>
    <row r="499">
      <c r="C499" s="38"/>
      <c r="D499" s="38"/>
      <c r="E499" s="10"/>
      <c r="I499" s="10"/>
      <c r="J499" s="10"/>
    </row>
    <row r="500">
      <c r="C500" s="38"/>
      <c r="D500" s="38"/>
      <c r="E500" s="10"/>
      <c r="I500" s="10"/>
      <c r="J500" s="10"/>
    </row>
    <row r="501">
      <c r="C501" s="38"/>
      <c r="D501" s="38"/>
      <c r="E501" s="10"/>
      <c r="I501" s="10"/>
      <c r="J501" s="10"/>
    </row>
    <row r="502">
      <c r="C502" s="38"/>
      <c r="D502" s="38"/>
      <c r="E502" s="10"/>
      <c r="I502" s="10"/>
      <c r="J502" s="10"/>
    </row>
    <row r="503">
      <c r="C503" s="38"/>
      <c r="D503" s="38"/>
      <c r="E503" s="10"/>
      <c r="I503" s="10"/>
      <c r="J503" s="10"/>
    </row>
    <row r="504">
      <c r="C504" s="38"/>
      <c r="D504" s="38"/>
      <c r="E504" s="10"/>
      <c r="I504" s="10"/>
      <c r="J504" s="10"/>
    </row>
    <row r="505">
      <c r="C505" s="38"/>
      <c r="D505" s="38"/>
      <c r="E505" s="10"/>
      <c r="I505" s="10"/>
      <c r="J505" s="10"/>
    </row>
    <row r="506">
      <c r="C506" s="38"/>
      <c r="D506" s="38"/>
      <c r="E506" s="10"/>
      <c r="I506" s="10"/>
      <c r="J506" s="10"/>
    </row>
    <row r="507">
      <c r="C507" s="38"/>
      <c r="D507" s="38"/>
      <c r="E507" s="10"/>
      <c r="I507" s="10"/>
      <c r="J507" s="10"/>
    </row>
    <row r="508">
      <c r="C508" s="38"/>
      <c r="D508" s="38"/>
      <c r="E508" s="10"/>
      <c r="I508" s="10"/>
      <c r="J508" s="10"/>
    </row>
    <row r="509">
      <c r="C509" s="38"/>
      <c r="D509" s="38"/>
      <c r="E509" s="10"/>
      <c r="I509" s="10"/>
      <c r="J509" s="10"/>
    </row>
    <row r="510">
      <c r="C510" s="38"/>
      <c r="D510" s="38"/>
      <c r="E510" s="10"/>
      <c r="I510" s="10"/>
      <c r="J510" s="10"/>
    </row>
    <row r="511">
      <c r="C511" s="38"/>
      <c r="D511" s="38"/>
      <c r="E511" s="10"/>
      <c r="I511" s="10"/>
      <c r="J511" s="10"/>
    </row>
    <row r="512">
      <c r="C512" s="38"/>
      <c r="D512" s="38"/>
      <c r="E512" s="10"/>
      <c r="I512" s="10"/>
      <c r="J512" s="10"/>
    </row>
    <row r="513">
      <c r="C513" s="38"/>
      <c r="D513" s="38"/>
      <c r="E513" s="10"/>
      <c r="I513" s="10"/>
      <c r="J513" s="10"/>
    </row>
    <row r="514">
      <c r="C514" s="38"/>
      <c r="D514" s="38"/>
      <c r="E514" s="10"/>
      <c r="I514" s="10"/>
      <c r="J514" s="10"/>
    </row>
    <row r="515">
      <c r="C515" s="38"/>
      <c r="D515" s="38"/>
      <c r="E515" s="10"/>
      <c r="I515" s="10"/>
      <c r="J515" s="10"/>
    </row>
    <row r="516">
      <c r="C516" s="38"/>
      <c r="D516" s="38"/>
      <c r="E516" s="10"/>
      <c r="I516" s="10"/>
      <c r="J516" s="10"/>
    </row>
    <row r="517">
      <c r="C517" s="38"/>
      <c r="D517" s="38"/>
      <c r="E517" s="10"/>
      <c r="I517" s="10"/>
      <c r="J517" s="10"/>
    </row>
    <row r="518">
      <c r="C518" s="38"/>
      <c r="D518" s="38"/>
      <c r="E518" s="10"/>
      <c r="I518" s="10"/>
      <c r="J518" s="10"/>
    </row>
    <row r="519">
      <c r="C519" s="38"/>
      <c r="D519" s="38"/>
      <c r="E519" s="10"/>
      <c r="I519" s="10"/>
      <c r="J519" s="10"/>
    </row>
    <row r="520">
      <c r="C520" s="38"/>
      <c r="D520" s="38"/>
      <c r="E520" s="10"/>
      <c r="I520" s="10"/>
      <c r="J520" s="10"/>
    </row>
    <row r="521">
      <c r="C521" s="38"/>
      <c r="D521" s="38"/>
      <c r="E521" s="10"/>
      <c r="I521" s="10"/>
      <c r="J521" s="10"/>
    </row>
    <row r="522">
      <c r="C522" s="38"/>
      <c r="D522" s="38"/>
      <c r="E522" s="10"/>
      <c r="I522" s="10"/>
      <c r="J522" s="10"/>
    </row>
    <row r="523">
      <c r="C523" s="38"/>
      <c r="D523" s="38"/>
      <c r="E523" s="10"/>
      <c r="I523" s="10"/>
      <c r="J523" s="10"/>
    </row>
    <row r="524">
      <c r="C524" s="38"/>
      <c r="D524" s="38"/>
      <c r="E524" s="10"/>
      <c r="I524" s="10"/>
      <c r="J524" s="10"/>
    </row>
    <row r="525">
      <c r="C525" s="38"/>
      <c r="D525" s="38"/>
      <c r="E525" s="10"/>
      <c r="I525" s="10"/>
      <c r="J525" s="10"/>
    </row>
    <row r="526">
      <c r="C526" s="38"/>
      <c r="D526" s="38"/>
      <c r="E526" s="10"/>
      <c r="I526" s="10"/>
      <c r="J526" s="10"/>
    </row>
    <row r="527">
      <c r="C527" s="38"/>
      <c r="D527" s="38"/>
      <c r="E527" s="10"/>
      <c r="I527" s="10"/>
      <c r="J527" s="10"/>
    </row>
    <row r="528">
      <c r="C528" s="38"/>
      <c r="D528" s="38"/>
      <c r="E528" s="10"/>
      <c r="I528" s="10"/>
      <c r="J528" s="10"/>
    </row>
    <row r="529">
      <c r="C529" s="38"/>
      <c r="D529" s="38"/>
      <c r="E529" s="10"/>
      <c r="I529" s="10"/>
      <c r="J529" s="10"/>
    </row>
    <row r="530">
      <c r="C530" s="38"/>
      <c r="D530" s="38"/>
      <c r="E530" s="10"/>
      <c r="I530" s="10"/>
      <c r="J530" s="10"/>
    </row>
    <row r="531">
      <c r="C531" s="38"/>
      <c r="D531" s="38"/>
      <c r="E531" s="10"/>
      <c r="I531" s="10"/>
      <c r="J531" s="10"/>
    </row>
    <row r="532">
      <c r="C532" s="38"/>
      <c r="D532" s="38"/>
      <c r="E532" s="10"/>
      <c r="I532" s="10"/>
      <c r="J532" s="10"/>
    </row>
    <row r="533">
      <c r="C533" s="38"/>
      <c r="D533" s="38"/>
      <c r="E533" s="10"/>
      <c r="I533" s="10"/>
      <c r="J533" s="10"/>
    </row>
    <row r="534">
      <c r="C534" s="38"/>
      <c r="D534" s="38"/>
      <c r="E534" s="10"/>
      <c r="I534" s="10"/>
      <c r="J534" s="10"/>
    </row>
    <row r="535">
      <c r="C535" s="38"/>
      <c r="D535" s="38"/>
      <c r="E535" s="10"/>
      <c r="I535" s="10"/>
      <c r="J535" s="10"/>
    </row>
    <row r="536">
      <c r="C536" s="38"/>
      <c r="D536" s="38"/>
      <c r="E536" s="10"/>
      <c r="I536" s="10"/>
      <c r="J536" s="10"/>
    </row>
    <row r="537">
      <c r="C537" s="38"/>
      <c r="D537" s="38"/>
      <c r="E537" s="10"/>
      <c r="I537" s="10"/>
      <c r="J537" s="10"/>
    </row>
    <row r="538">
      <c r="C538" s="38"/>
      <c r="D538" s="38"/>
      <c r="E538" s="10"/>
      <c r="I538" s="10"/>
      <c r="J538" s="10"/>
    </row>
    <row r="539">
      <c r="C539" s="38"/>
      <c r="D539" s="38"/>
      <c r="E539" s="10"/>
      <c r="I539" s="10"/>
      <c r="J539" s="10"/>
    </row>
    <row r="540">
      <c r="C540" s="38"/>
      <c r="D540" s="38"/>
      <c r="E540" s="10"/>
      <c r="I540" s="10"/>
      <c r="J540" s="10"/>
    </row>
    <row r="541">
      <c r="C541" s="38"/>
      <c r="D541" s="38"/>
      <c r="E541" s="10"/>
      <c r="I541" s="10"/>
      <c r="J541" s="10"/>
    </row>
    <row r="542">
      <c r="C542" s="38"/>
      <c r="D542" s="38"/>
      <c r="E542" s="10"/>
      <c r="I542" s="10"/>
      <c r="J542" s="10"/>
    </row>
    <row r="543">
      <c r="C543" s="38"/>
      <c r="D543" s="38"/>
      <c r="E543" s="10"/>
      <c r="I543" s="10"/>
      <c r="J543" s="10"/>
    </row>
    <row r="544">
      <c r="C544" s="38"/>
      <c r="D544" s="38"/>
      <c r="E544" s="10"/>
      <c r="I544" s="10"/>
      <c r="J544" s="10"/>
    </row>
    <row r="545">
      <c r="C545" s="38"/>
      <c r="D545" s="38"/>
      <c r="E545" s="10"/>
      <c r="I545" s="10"/>
      <c r="J545" s="10"/>
    </row>
    <row r="546">
      <c r="C546" s="38"/>
      <c r="D546" s="38"/>
      <c r="E546" s="10"/>
      <c r="I546" s="10"/>
      <c r="J546" s="10"/>
    </row>
    <row r="547">
      <c r="C547" s="38"/>
      <c r="D547" s="38"/>
      <c r="E547" s="10"/>
      <c r="I547" s="10"/>
      <c r="J547" s="10"/>
    </row>
    <row r="548">
      <c r="C548" s="38"/>
      <c r="D548" s="38"/>
      <c r="E548" s="10"/>
      <c r="I548" s="10"/>
      <c r="J548" s="10"/>
    </row>
    <row r="549">
      <c r="C549" s="38"/>
      <c r="D549" s="38"/>
      <c r="E549" s="10"/>
      <c r="I549" s="10"/>
      <c r="J549" s="10"/>
    </row>
    <row r="550">
      <c r="C550" s="38"/>
      <c r="D550" s="38"/>
      <c r="E550" s="10"/>
      <c r="I550" s="10"/>
      <c r="J550" s="10"/>
    </row>
    <row r="551">
      <c r="C551" s="38"/>
      <c r="D551" s="38"/>
      <c r="E551" s="10"/>
      <c r="I551" s="10"/>
      <c r="J551" s="10"/>
    </row>
    <row r="552">
      <c r="C552" s="38"/>
      <c r="D552" s="38"/>
      <c r="E552" s="10"/>
      <c r="I552" s="10"/>
      <c r="J552" s="10"/>
    </row>
    <row r="553">
      <c r="C553" s="38"/>
      <c r="D553" s="38"/>
      <c r="E553" s="10"/>
      <c r="I553" s="10"/>
      <c r="J553" s="10"/>
    </row>
    <row r="554">
      <c r="C554" s="38"/>
      <c r="D554" s="38"/>
      <c r="E554" s="10"/>
      <c r="I554" s="10"/>
      <c r="J554" s="10"/>
    </row>
    <row r="555">
      <c r="C555" s="38"/>
      <c r="D555" s="38"/>
      <c r="E555" s="10"/>
      <c r="I555" s="10"/>
      <c r="J555" s="10"/>
    </row>
    <row r="556">
      <c r="C556" s="38"/>
      <c r="D556" s="38"/>
      <c r="E556" s="10"/>
      <c r="I556" s="10"/>
      <c r="J556" s="10"/>
    </row>
    <row r="557">
      <c r="C557" s="38"/>
      <c r="D557" s="38"/>
      <c r="E557" s="10"/>
      <c r="I557" s="10"/>
      <c r="J557" s="10"/>
    </row>
    <row r="558">
      <c r="C558" s="38"/>
      <c r="D558" s="38"/>
      <c r="E558" s="10"/>
      <c r="I558" s="10"/>
      <c r="J558" s="10"/>
    </row>
    <row r="559">
      <c r="C559" s="38"/>
      <c r="D559" s="38"/>
      <c r="E559" s="10"/>
      <c r="I559" s="10"/>
      <c r="J559" s="10"/>
    </row>
    <row r="560">
      <c r="C560" s="38"/>
      <c r="D560" s="38"/>
      <c r="E560" s="10"/>
      <c r="I560" s="10"/>
      <c r="J560" s="10"/>
    </row>
    <row r="561">
      <c r="C561" s="38"/>
      <c r="D561" s="38"/>
      <c r="E561" s="10"/>
      <c r="I561" s="10"/>
      <c r="J561" s="10"/>
    </row>
    <row r="562">
      <c r="C562" s="38"/>
      <c r="D562" s="38"/>
      <c r="E562" s="10"/>
      <c r="I562" s="10"/>
      <c r="J562" s="10"/>
    </row>
    <row r="563">
      <c r="C563" s="38"/>
      <c r="D563" s="38"/>
      <c r="E563" s="10"/>
      <c r="I563" s="10"/>
      <c r="J563" s="10"/>
    </row>
    <row r="564">
      <c r="C564" s="38"/>
      <c r="D564" s="38"/>
      <c r="E564" s="10"/>
      <c r="I564" s="10"/>
      <c r="J564" s="10"/>
    </row>
    <row r="565">
      <c r="C565" s="38"/>
      <c r="D565" s="38"/>
      <c r="E565" s="10"/>
      <c r="I565" s="10"/>
      <c r="J565" s="10"/>
    </row>
    <row r="566">
      <c r="C566" s="38"/>
      <c r="D566" s="38"/>
      <c r="E566" s="10"/>
      <c r="I566" s="10"/>
      <c r="J566" s="10"/>
    </row>
    <row r="567">
      <c r="C567" s="38"/>
      <c r="D567" s="38"/>
      <c r="E567" s="10"/>
      <c r="I567" s="10"/>
      <c r="J567" s="10"/>
    </row>
    <row r="568">
      <c r="C568" s="38"/>
      <c r="D568" s="38"/>
      <c r="E568" s="10"/>
      <c r="I568" s="10"/>
      <c r="J568" s="10"/>
    </row>
    <row r="569">
      <c r="C569" s="38"/>
      <c r="D569" s="38"/>
      <c r="E569" s="10"/>
      <c r="I569" s="10"/>
      <c r="J569" s="10"/>
    </row>
    <row r="570">
      <c r="C570" s="38"/>
      <c r="D570" s="38"/>
      <c r="E570" s="10"/>
      <c r="I570" s="10"/>
      <c r="J570" s="10"/>
    </row>
    <row r="571">
      <c r="C571" s="38"/>
      <c r="D571" s="38"/>
      <c r="E571" s="10"/>
      <c r="I571" s="10"/>
      <c r="J571" s="10"/>
    </row>
    <row r="572">
      <c r="C572" s="38"/>
      <c r="D572" s="38"/>
      <c r="E572" s="10"/>
      <c r="I572" s="10"/>
      <c r="J572" s="10"/>
    </row>
    <row r="573">
      <c r="C573" s="38"/>
      <c r="D573" s="38"/>
      <c r="E573" s="10"/>
      <c r="I573" s="10"/>
      <c r="J573" s="10"/>
    </row>
    <row r="574">
      <c r="C574" s="38"/>
      <c r="D574" s="38"/>
      <c r="E574" s="10"/>
      <c r="I574" s="10"/>
      <c r="J574" s="10"/>
    </row>
    <row r="575">
      <c r="C575" s="38"/>
      <c r="D575" s="38"/>
      <c r="E575" s="10"/>
      <c r="I575" s="10"/>
      <c r="J575" s="10"/>
    </row>
    <row r="576">
      <c r="C576" s="38"/>
      <c r="D576" s="38"/>
      <c r="E576" s="10"/>
      <c r="I576" s="10"/>
      <c r="J576" s="10"/>
    </row>
    <row r="577">
      <c r="C577" s="38"/>
      <c r="D577" s="38"/>
      <c r="E577" s="10"/>
      <c r="I577" s="10"/>
      <c r="J577" s="10"/>
    </row>
    <row r="578">
      <c r="C578" s="38"/>
      <c r="D578" s="38"/>
      <c r="E578" s="10"/>
      <c r="I578" s="10"/>
      <c r="J578" s="10"/>
    </row>
    <row r="579">
      <c r="C579" s="38"/>
      <c r="D579" s="38"/>
      <c r="E579" s="10"/>
      <c r="I579" s="10"/>
      <c r="J579" s="10"/>
    </row>
    <row r="580">
      <c r="C580" s="38"/>
      <c r="D580" s="38"/>
      <c r="E580" s="10"/>
      <c r="I580" s="10"/>
      <c r="J580" s="10"/>
    </row>
    <row r="581">
      <c r="C581" s="38"/>
      <c r="D581" s="38"/>
      <c r="E581" s="10"/>
      <c r="I581" s="10"/>
      <c r="J581" s="10"/>
    </row>
    <row r="582">
      <c r="C582" s="38"/>
      <c r="D582" s="38"/>
      <c r="E582" s="10"/>
      <c r="I582" s="10"/>
      <c r="J582" s="10"/>
    </row>
    <row r="583">
      <c r="C583" s="38"/>
      <c r="D583" s="38"/>
      <c r="E583" s="10"/>
      <c r="I583" s="10"/>
      <c r="J583" s="10"/>
    </row>
    <row r="584">
      <c r="C584" s="38"/>
      <c r="D584" s="38"/>
      <c r="E584" s="10"/>
      <c r="I584" s="10"/>
      <c r="J584" s="10"/>
    </row>
    <row r="585">
      <c r="C585" s="38"/>
      <c r="D585" s="38"/>
      <c r="E585" s="10"/>
      <c r="I585" s="10"/>
      <c r="J585" s="10"/>
    </row>
    <row r="586">
      <c r="C586" s="38"/>
      <c r="D586" s="38"/>
      <c r="E586" s="10"/>
      <c r="I586" s="10"/>
      <c r="J586" s="10"/>
    </row>
    <row r="587">
      <c r="C587" s="38"/>
      <c r="D587" s="38"/>
      <c r="E587" s="10"/>
      <c r="I587" s="10"/>
      <c r="J587" s="10"/>
    </row>
    <row r="588">
      <c r="C588" s="38"/>
      <c r="D588" s="38"/>
      <c r="E588" s="10"/>
      <c r="I588" s="10"/>
      <c r="J588" s="10"/>
    </row>
    <row r="589">
      <c r="C589" s="38"/>
      <c r="D589" s="38"/>
      <c r="E589" s="10"/>
      <c r="I589" s="10"/>
      <c r="J589" s="10"/>
    </row>
    <row r="590">
      <c r="C590" s="38"/>
      <c r="D590" s="38"/>
      <c r="E590" s="10"/>
      <c r="I590" s="10"/>
      <c r="J590" s="10"/>
    </row>
    <row r="591">
      <c r="C591" s="38"/>
      <c r="D591" s="38"/>
      <c r="E591" s="10"/>
      <c r="I591" s="10"/>
      <c r="J591" s="10"/>
    </row>
    <row r="592">
      <c r="C592" s="38"/>
      <c r="D592" s="38"/>
      <c r="E592" s="10"/>
      <c r="I592" s="10"/>
      <c r="J592" s="10"/>
    </row>
    <row r="593">
      <c r="C593" s="38"/>
      <c r="D593" s="38"/>
      <c r="E593" s="10"/>
      <c r="I593" s="10"/>
      <c r="J593" s="10"/>
    </row>
    <row r="594">
      <c r="C594" s="38"/>
      <c r="D594" s="38"/>
      <c r="E594" s="10"/>
      <c r="I594" s="10"/>
      <c r="J594" s="10"/>
    </row>
    <row r="595">
      <c r="C595" s="38"/>
      <c r="D595" s="38"/>
      <c r="E595" s="10"/>
      <c r="I595" s="10"/>
      <c r="J595" s="10"/>
    </row>
    <row r="596">
      <c r="C596" s="38"/>
      <c r="D596" s="38"/>
      <c r="E596" s="10"/>
      <c r="I596" s="10"/>
      <c r="J596" s="10"/>
    </row>
    <row r="597">
      <c r="C597" s="38"/>
      <c r="D597" s="38"/>
      <c r="E597" s="10"/>
      <c r="I597" s="10"/>
      <c r="J597" s="10"/>
    </row>
    <row r="598">
      <c r="C598" s="38"/>
      <c r="D598" s="38"/>
      <c r="E598" s="10"/>
      <c r="I598" s="10"/>
      <c r="J598" s="10"/>
    </row>
    <row r="599">
      <c r="C599" s="38"/>
      <c r="D599" s="38"/>
      <c r="E599" s="10"/>
      <c r="I599" s="10"/>
      <c r="J599" s="10"/>
    </row>
    <row r="600">
      <c r="C600" s="38"/>
      <c r="D600" s="38"/>
      <c r="E600" s="10"/>
      <c r="I600" s="10"/>
      <c r="J600" s="10"/>
    </row>
    <row r="601">
      <c r="C601" s="38"/>
      <c r="D601" s="38"/>
      <c r="E601" s="10"/>
      <c r="I601" s="10"/>
      <c r="J601" s="10"/>
    </row>
    <row r="602">
      <c r="C602" s="38"/>
      <c r="D602" s="38"/>
      <c r="E602" s="10"/>
      <c r="I602" s="10"/>
      <c r="J602" s="10"/>
    </row>
    <row r="603">
      <c r="C603" s="38"/>
      <c r="D603" s="38"/>
      <c r="E603" s="10"/>
      <c r="I603" s="10"/>
      <c r="J603" s="10"/>
    </row>
    <row r="604">
      <c r="C604" s="38"/>
      <c r="D604" s="38"/>
      <c r="E604" s="10"/>
      <c r="I604" s="10"/>
      <c r="J604" s="10"/>
    </row>
    <row r="605">
      <c r="C605" s="38"/>
      <c r="D605" s="38"/>
      <c r="E605" s="10"/>
      <c r="I605" s="10"/>
      <c r="J605" s="10"/>
    </row>
    <row r="606">
      <c r="C606" s="38"/>
      <c r="D606" s="38"/>
      <c r="E606" s="10"/>
      <c r="I606" s="10"/>
      <c r="J606" s="10"/>
    </row>
    <row r="607">
      <c r="C607" s="38"/>
      <c r="D607" s="38"/>
      <c r="E607" s="10"/>
      <c r="I607" s="10"/>
      <c r="J607" s="10"/>
    </row>
    <row r="608">
      <c r="C608" s="38"/>
      <c r="D608" s="38"/>
      <c r="E608" s="10"/>
      <c r="I608" s="10"/>
      <c r="J608" s="10"/>
    </row>
    <row r="609">
      <c r="C609" s="38"/>
      <c r="D609" s="38"/>
      <c r="E609" s="10"/>
      <c r="I609" s="10"/>
      <c r="J609" s="10"/>
    </row>
    <row r="610">
      <c r="C610" s="38"/>
      <c r="D610" s="38"/>
      <c r="E610" s="10"/>
      <c r="I610" s="10"/>
      <c r="J610" s="10"/>
    </row>
    <row r="611">
      <c r="C611" s="38"/>
      <c r="D611" s="38"/>
      <c r="E611" s="10"/>
      <c r="I611" s="10"/>
      <c r="J611" s="10"/>
    </row>
    <row r="612">
      <c r="C612" s="38"/>
      <c r="D612" s="38"/>
      <c r="E612" s="10"/>
      <c r="I612" s="10"/>
      <c r="J612" s="10"/>
    </row>
    <row r="613">
      <c r="C613" s="38"/>
      <c r="D613" s="38"/>
      <c r="E613" s="10"/>
      <c r="I613" s="10"/>
      <c r="J613" s="10"/>
    </row>
    <row r="614">
      <c r="C614" s="38"/>
      <c r="D614" s="38"/>
      <c r="E614" s="10"/>
      <c r="I614" s="10"/>
      <c r="J614" s="10"/>
    </row>
    <row r="615">
      <c r="C615" s="38"/>
      <c r="D615" s="38"/>
      <c r="E615" s="10"/>
      <c r="I615" s="10"/>
      <c r="J615" s="10"/>
    </row>
    <row r="616">
      <c r="C616" s="38"/>
      <c r="D616" s="38"/>
      <c r="E616" s="10"/>
      <c r="I616" s="10"/>
      <c r="J616" s="10"/>
    </row>
    <row r="617">
      <c r="C617" s="38"/>
      <c r="D617" s="38"/>
      <c r="E617" s="10"/>
      <c r="I617" s="10"/>
      <c r="J617" s="10"/>
    </row>
    <row r="618">
      <c r="C618" s="38"/>
      <c r="D618" s="38"/>
      <c r="E618" s="10"/>
      <c r="I618" s="10"/>
      <c r="J618" s="10"/>
    </row>
    <row r="619">
      <c r="C619" s="38"/>
      <c r="D619" s="38"/>
      <c r="E619" s="10"/>
      <c r="I619" s="10"/>
      <c r="J619" s="10"/>
    </row>
    <row r="620">
      <c r="C620" s="38"/>
      <c r="D620" s="38"/>
      <c r="E620" s="10"/>
      <c r="I620" s="10"/>
      <c r="J620" s="10"/>
    </row>
    <row r="621">
      <c r="C621" s="38"/>
      <c r="D621" s="38"/>
      <c r="E621" s="10"/>
      <c r="I621" s="10"/>
      <c r="J621" s="10"/>
    </row>
    <row r="622">
      <c r="C622" s="38"/>
      <c r="D622" s="38"/>
      <c r="E622" s="10"/>
      <c r="I622" s="10"/>
      <c r="J622" s="10"/>
    </row>
    <row r="623">
      <c r="C623" s="38"/>
      <c r="D623" s="38"/>
      <c r="E623" s="10"/>
      <c r="I623" s="10"/>
      <c r="J623" s="10"/>
    </row>
    <row r="624">
      <c r="C624" s="38"/>
      <c r="D624" s="38"/>
      <c r="E624" s="10"/>
      <c r="I624" s="10"/>
      <c r="J624" s="10"/>
    </row>
    <row r="625">
      <c r="C625" s="38"/>
      <c r="D625" s="38"/>
      <c r="E625" s="10"/>
      <c r="I625" s="10"/>
      <c r="J625" s="10"/>
    </row>
    <row r="626">
      <c r="C626" s="38"/>
      <c r="D626" s="38"/>
      <c r="E626" s="10"/>
      <c r="I626" s="10"/>
      <c r="J626" s="10"/>
    </row>
    <row r="627">
      <c r="C627" s="38"/>
      <c r="D627" s="38"/>
      <c r="E627" s="10"/>
      <c r="I627" s="10"/>
      <c r="J627" s="10"/>
    </row>
    <row r="628">
      <c r="C628" s="38"/>
      <c r="D628" s="38"/>
      <c r="E628" s="10"/>
      <c r="I628" s="10"/>
      <c r="J628" s="10"/>
    </row>
    <row r="629">
      <c r="C629" s="38"/>
      <c r="D629" s="38"/>
      <c r="E629" s="10"/>
      <c r="I629" s="10"/>
      <c r="J629" s="10"/>
    </row>
    <row r="630">
      <c r="C630" s="38"/>
      <c r="D630" s="38"/>
      <c r="E630" s="10"/>
      <c r="I630" s="10"/>
      <c r="J630" s="10"/>
    </row>
    <row r="631">
      <c r="C631" s="38"/>
      <c r="D631" s="38"/>
      <c r="E631" s="10"/>
      <c r="I631" s="10"/>
      <c r="J631" s="10"/>
    </row>
    <row r="632">
      <c r="C632" s="38"/>
      <c r="D632" s="38"/>
      <c r="E632" s="10"/>
      <c r="I632" s="10"/>
      <c r="J632" s="10"/>
    </row>
    <row r="633">
      <c r="C633" s="38"/>
      <c r="D633" s="38"/>
      <c r="E633" s="10"/>
      <c r="I633" s="10"/>
      <c r="J633" s="10"/>
    </row>
    <row r="634">
      <c r="C634" s="38"/>
      <c r="D634" s="38"/>
      <c r="E634" s="10"/>
      <c r="I634" s="10"/>
      <c r="J634" s="10"/>
    </row>
    <row r="635">
      <c r="C635" s="38"/>
      <c r="D635" s="38"/>
      <c r="E635" s="10"/>
      <c r="I635" s="10"/>
      <c r="J635" s="10"/>
    </row>
    <row r="636">
      <c r="C636" s="38"/>
      <c r="D636" s="38"/>
      <c r="E636" s="10"/>
      <c r="I636" s="10"/>
      <c r="J636" s="10"/>
    </row>
    <row r="637">
      <c r="C637" s="38"/>
      <c r="D637" s="38"/>
      <c r="E637" s="10"/>
      <c r="I637" s="10"/>
      <c r="J637" s="10"/>
    </row>
    <row r="638">
      <c r="C638" s="38"/>
      <c r="D638" s="38"/>
      <c r="E638" s="10"/>
      <c r="I638" s="10"/>
      <c r="J638" s="10"/>
    </row>
    <row r="639">
      <c r="C639" s="38"/>
      <c r="D639" s="38"/>
      <c r="E639" s="10"/>
      <c r="I639" s="10"/>
      <c r="J639" s="10"/>
    </row>
    <row r="640">
      <c r="C640" s="38"/>
      <c r="D640" s="38"/>
      <c r="E640" s="10"/>
      <c r="I640" s="10"/>
      <c r="J640" s="10"/>
    </row>
    <row r="641">
      <c r="C641" s="38"/>
      <c r="D641" s="38"/>
      <c r="E641" s="10"/>
      <c r="I641" s="10"/>
      <c r="J641" s="10"/>
    </row>
    <row r="642">
      <c r="C642" s="38"/>
      <c r="D642" s="38"/>
      <c r="E642" s="10"/>
      <c r="I642" s="10"/>
      <c r="J642" s="10"/>
    </row>
    <row r="643">
      <c r="C643" s="38"/>
      <c r="D643" s="38"/>
      <c r="E643" s="10"/>
      <c r="I643" s="10"/>
      <c r="J643" s="10"/>
    </row>
    <row r="644">
      <c r="C644" s="38"/>
      <c r="D644" s="38"/>
      <c r="E644" s="10"/>
      <c r="I644" s="10"/>
      <c r="J644" s="10"/>
    </row>
    <row r="645">
      <c r="C645" s="38"/>
      <c r="D645" s="38"/>
      <c r="E645" s="10"/>
      <c r="I645" s="10"/>
      <c r="J645" s="10"/>
    </row>
    <row r="646">
      <c r="C646" s="38"/>
      <c r="D646" s="38"/>
      <c r="E646" s="10"/>
      <c r="I646" s="10"/>
      <c r="J646" s="10"/>
    </row>
    <row r="647">
      <c r="C647" s="38"/>
      <c r="D647" s="38"/>
      <c r="E647" s="10"/>
      <c r="I647" s="10"/>
      <c r="J647" s="10"/>
    </row>
    <row r="648">
      <c r="C648" s="38"/>
      <c r="D648" s="38"/>
      <c r="E648" s="10"/>
      <c r="I648" s="10"/>
      <c r="J648" s="10"/>
    </row>
    <row r="649">
      <c r="C649" s="38"/>
      <c r="D649" s="38"/>
      <c r="E649" s="10"/>
      <c r="I649" s="10"/>
      <c r="J649" s="10"/>
    </row>
    <row r="650">
      <c r="C650" s="38"/>
      <c r="D650" s="38"/>
      <c r="E650" s="10"/>
      <c r="I650" s="10"/>
      <c r="J650" s="10"/>
    </row>
    <row r="651">
      <c r="C651" s="38"/>
      <c r="D651" s="38"/>
      <c r="E651" s="10"/>
      <c r="I651" s="10"/>
      <c r="J651" s="10"/>
    </row>
    <row r="652">
      <c r="C652" s="38"/>
      <c r="D652" s="38"/>
      <c r="E652" s="10"/>
      <c r="I652" s="10"/>
      <c r="J652" s="10"/>
    </row>
    <row r="653">
      <c r="C653" s="38"/>
      <c r="D653" s="38"/>
      <c r="E653" s="10"/>
      <c r="I653" s="10"/>
      <c r="J653" s="10"/>
    </row>
    <row r="654">
      <c r="C654" s="38"/>
      <c r="D654" s="38"/>
      <c r="E654" s="10"/>
      <c r="I654" s="10"/>
      <c r="J654" s="10"/>
    </row>
    <row r="655">
      <c r="C655" s="38"/>
      <c r="D655" s="38"/>
      <c r="E655" s="10"/>
      <c r="I655" s="10"/>
      <c r="J655" s="10"/>
    </row>
    <row r="656">
      <c r="C656" s="38"/>
      <c r="D656" s="38"/>
      <c r="E656" s="10"/>
      <c r="I656" s="10"/>
      <c r="J656" s="10"/>
    </row>
    <row r="657">
      <c r="C657" s="38"/>
      <c r="D657" s="38"/>
      <c r="E657" s="10"/>
      <c r="I657" s="10"/>
      <c r="J657" s="10"/>
    </row>
    <row r="658">
      <c r="C658" s="38"/>
      <c r="D658" s="38"/>
      <c r="E658" s="10"/>
      <c r="I658" s="10"/>
      <c r="J658" s="10"/>
    </row>
    <row r="659">
      <c r="C659" s="38"/>
      <c r="D659" s="38"/>
      <c r="E659" s="10"/>
      <c r="I659" s="10"/>
      <c r="J659" s="10"/>
    </row>
    <row r="660">
      <c r="C660" s="38"/>
      <c r="D660" s="38"/>
      <c r="E660" s="10"/>
      <c r="I660" s="10"/>
      <c r="J660" s="10"/>
    </row>
    <row r="661">
      <c r="C661" s="38"/>
      <c r="D661" s="38"/>
      <c r="E661" s="10"/>
      <c r="I661" s="10"/>
      <c r="J661" s="10"/>
    </row>
    <row r="662">
      <c r="C662" s="38"/>
      <c r="D662" s="38"/>
      <c r="E662" s="10"/>
      <c r="I662" s="10"/>
      <c r="J662" s="10"/>
    </row>
    <row r="663">
      <c r="C663" s="38"/>
      <c r="D663" s="38"/>
      <c r="E663" s="10"/>
      <c r="I663" s="10"/>
      <c r="J663" s="10"/>
    </row>
    <row r="664">
      <c r="C664" s="38"/>
      <c r="D664" s="38"/>
      <c r="E664" s="10"/>
      <c r="I664" s="10"/>
      <c r="J664" s="10"/>
    </row>
    <row r="665">
      <c r="C665" s="38"/>
      <c r="D665" s="38"/>
      <c r="E665" s="10"/>
      <c r="I665" s="10"/>
      <c r="J665" s="10"/>
    </row>
    <row r="666">
      <c r="C666" s="38"/>
      <c r="D666" s="38"/>
      <c r="E666" s="10"/>
      <c r="I666" s="10"/>
      <c r="J666" s="10"/>
    </row>
    <row r="667">
      <c r="C667" s="38"/>
      <c r="D667" s="38"/>
      <c r="E667" s="10"/>
      <c r="I667" s="10"/>
      <c r="J667" s="10"/>
    </row>
    <row r="668">
      <c r="C668" s="38"/>
      <c r="D668" s="38"/>
      <c r="E668" s="10"/>
      <c r="I668" s="10"/>
      <c r="J668" s="10"/>
    </row>
    <row r="669">
      <c r="C669" s="38"/>
      <c r="D669" s="38"/>
      <c r="E669" s="10"/>
      <c r="I669" s="10"/>
      <c r="J669" s="10"/>
    </row>
    <row r="670">
      <c r="C670" s="38"/>
      <c r="D670" s="38"/>
      <c r="E670" s="10"/>
      <c r="I670" s="10"/>
      <c r="J670" s="10"/>
    </row>
    <row r="671">
      <c r="C671" s="38"/>
      <c r="D671" s="38"/>
      <c r="E671" s="10"/>
      <c r="I671" s="10"/>
      <c r="J671" s="10"/>
    </row>
    <row r="672">
      <c r="C672" s="38"/>
      <c r="D672" s="38"/>
      <c r="E672" s="10"/>
      <c r="I672" s="10"/>
      <c r="J672" s="10"/>
    </row>
    <row r="673">
      <c r="C673" s="38"/>
      <c r="D673" s="38"/>
      <c r="E673" s="10"/>
      <c r="I673" s="10"/>
      <c r="J673" s="10"/>
    </row>
    <row r="674">
      <c r="C674" s="38"/>
      <c r="D674" s="38"/>
      <c r="E674" s="10"/>
      <c r="I674" s="10"/>
      <c r="J674" s="10"/>
    </row>
    <row r="675">
      <c r="C675" s="38"/>
      <c r="D675" s="38"/>
      <c r="E675" s="10"/>
      <c r="I675" s="10"/>
      <c r="J675" s="10"/>
    </row>
    <row r="676">
      <c r="C676" s="38"/>
      <c r="D676" s="38"/>
      <c r="E676" s="10"/>
      <c r="I676" s="10"/>
      <c r="J676" s="10"/>
    </row>
    <row r="677">
      <c r="C677" s="38"/>
      <c r="D677" s="38"/>
      <c r="E677" s="10"/>
      <c r="I677" s="10"/>
      <c r="J677" s="10"/>
    </row>
    <row r="678">
      <c r="C678" s="38"/>
      <c r="D678" s="38"/>
      <c r="E678" s="10"/>
      <c r="I678" s="10"/>
      <c r="J678" s="10"/>
    </row>
    <row r="679">
      <c r="C679" s="38"/>
      <c r="D679" s="38"/>
      <c r="E679" s="10"/>
      <c r="I679" s="10"/>
      <c r="J679" s="10"/>
    </row>
    <row r="680">
      <c r="C680" s="38"/>
      <c r="D680" s="38"/>
      <c r="E680" s="10"/>
      <c r="I680" s="10"/>
      <c r="J680" s="10"/>
    </row>
    <row r="681">
      <c r="C681" s="38"/>
      <c r="D681" s="38"/>
      <c r="E681" s="10"/>
      <c r="I681" s="10"/>
      <c r="J681" s="10"/>
    </row>
    <row r="682">
      <c r="C682" s="38"/>
      <c r="D682" s="38"/>
      <c r="E682" s="10"/>
      <c r="I682" s="10"/>
      <c r="J682" s="10"/>
    </row>
    <row r="683">
      <c r="C683" s="38"/>
      <c r="D683" s="38"/>
      <c r="E683" s="10"/>
      <c r="I683" s="10"/>
      <c r="J683" s="10"/>
    </row>
    <row r="684">
      <c r="C684" s="38"/>
      <c r="D684" s="38"/>
      <c r="E684" s="10"/>
      <c r="I684" s="10"/>
      <c r="J684" s="10"/>
    </row>
    <row r="685">
      <c r="C685" s="38"/>
      <c r="D685" s="38"/>
      <c r="E685" s="10"/>
      <c r="I685" s="10"/>
      <c r="J685" s="10"/>
    </row>
    <row r="686">
      <c r="C686" s="38"/>
      <c r="D686" s="38"/>
      <c r="E686" s="10"/>
      <c r="I686" s="10"/>
      <c r="J686" s="10"/>
    </row>
    <row r="687">
      <c r="C687" s="38"/>
      <c r="D687" s="38"/>
      <c r="E687" s="10"/>
      <c r="I687" s="10"/>
      <c r="J687" s="10"/>
    </row>
    <row r="688">
      <c r="C688" s="38"/>
      <c r="D688" s="38"/>
      <c r="E688" s="10"/>
      <c r="I688" s="10"/>
      <c r="J688" s="10"/>
    </row>
    <row r="689">
      <c r="C689" s="38"/>
      <c r="D689" s="38"/>
      <c r="E689" s="10"/>
      <c r="I689" s="10"/>
      <c r="J689" s="10"/>
    </row>
    <row r="690">
      <c r="C690" s="38"/>
      <c r="D690" s="38"/>
      <c r="E690" s="10"/>
      <c r="I690" s="10"/>
      <c r="J690" s="10"/>
    </row>
    <row r="691">
      <c r="C691" s="38"/>
      <c r="D691" s="38"/>
      <c r="E691" s="10"/>
      <c r="I691" s="10"/>
      <c r="J691" s="10"/>
    </row>
    <row r="692">
      <c r="C692" s="38"/>
      <c r="D692" s="38"/>
      <c r="E692" s="10"/>
      <c r="I692" s="10"/>
      <c r="J692" s="10"/>
    </row>
    <row r="693">
      <c r="C693" s="38"/>
      <c r="D693" s="38"/>
      <c r="E693" s="10"/>
      <c r="I693" s="10"/>
      <c r="J693" s="10"/>
    </row>
    <row r="694">
      <c r="C694" s="38"/>
      <c r="D694" s="38"/>
      <c r="E694" s="10"/>
      <c r="I694" s="10"/>
      <c r="J694" s="10"/>
    </row>
    <row r="695">
      <c r="C695" s="38"/>
      <c r="D695" s="38"/>
      <c r="E695" s="10"/>
      <c r="I695" s="10"/>
      <c r="J695" s="10"/>
    </row>
    <row r="696">
      <c r="C696" s="38"/>
      <c r="D696" s="38"/>
      <c r="E696" s="10"/>
      <c r="I696" s="10"/>
      <c r="J696" s="10"/>
    </row>
    <row r="697">
      <c r="C697" s="38"/>
      <c r="D697" s="38"/>
      <c r="E697" s="10"/>
      <c r="I697" s="10"/>
      <c r="J697" s="10"/>
    </row>
    <row r="698">
      <c r="C698" s="38"/>
      <c r="D698" s="38"/>
      <c r="E698" s="10"/>
      <c r="I698" s="10"/>
      <c r="J698" s="10"/>
    </row>
    <row r="699">
      <c r="C699" s="38"/>
      <c r="D699" s="38"/>
      <c r="E699" s="10"/>
      <c r="I699" s="10"/>
      <c r="J699" s="10"/>
    </row>
    <row r="700">
      <c r="C700" s="38"/>
      <c r="D700" s="38"/>
      <c r="E700" s="10"/>
      <c r="I700" s="10"/>
      <c r="J700" s="10"/>
    </row>
    <row r="701">
      <c r="C701" s="38"/>
      <c r="D701" s="38"/>
      <c r="E701" s="10"/>
      <c r="I701" s="10"/>
      <c r="J701" s="10"/>
    </row>
    <row r="702">
      <c r="C702" s="38"/>
      <c r="D702" s="38"/>
      <c r="E702" s="10"/>
      <c r="I702" s="10"/>
      <c r="J702" s="10"/>
    </row>
    <row r="703">
      <c r="C703" s="38"/>
      <c r="D703" s="38"/>
      <c r="E703" s="10"/>
      <c r="I703" s="10"/>
      <c r="J703" s="10"/>
    </row>
    <row r="704">
      <c r="C704" s="38"/>
      <c r="D704" s="38"/>
      <c r="E704" s="10"/>
      <c r="I704" s="10"/>
      <c r="J704" s="10"/>
    </row>
    <row r="705">
      <c r="C705" s="38"/>
      <c r="D705" s="38"/>
      <c r="E705" s="10"/>
      <c r="I705" s="10"/>
      <c r="J705" s="10"/>
    </row>
    <row r="706">
      <c r="C706" s="38"/>
      <c r="D706" s="38"/>
      <c r="E706" s="10"/>
      <c r="I706" s="10"/>
      <c r="J706" s="10"/>
    </row>
    <row r="707">
      <c r="C707" s="38"/>
      <c r="D707" s="38"/>
      <c r="E707" s="10"/>
      <c r="I707" s="10"/>
      <c r="J707" s="10"/>
    </row>
    <row r="708">
      <c r="C708" s="38"/>
      <c r="D708" s="38"/>
      <c r="E708" s="10"/>
      <c r="I708" s="10"/>
      <c r="J708" s="10"/>
    </row>
    <row r="709">
      <c r="C709" s="38"/>
      <c r="D709" s="38"/>
      <c r="E709" s="10"/>
      <c r="I709" s="10"/>
      <c r="J709" s="10"/>
    </row>
    <row r="710">
      <c r="C710" s="38"/>
      <c r="D710" s="38"/>
      <c r="E710" s="10"/>
      <c r="I710" s="10"/>
      <c r="J710" s="10"/>
    </row>
    <row r="711">
      <c r="C711" s="38"/>
      <c r="D711" s="38"/>
      <c r="E711" s="10"/>
      <c r="I711" s="10"/>
      <c r="J711" s="10"/>
    </row>
    <row r="712">
      <c r="C712" s="38"/>
      <c r="D712" s="38"/>
      <c r="E712" s="10"/>
      <c r="I712" s="10"/>
      <c r="J712" s="10"/>
    </row>
    <row r="713">
      <c r="C713" s="38"/>
      <c r="D713" s="38"/>
      <c r="E713" s="10"/>
      <c r="I713" s="10"/>
      <c r="J713" s="10"/>
    </row>
    <row r="714">
      <c r="C714" s="38"/>
      <c r="D714" s="38"/>
      <c r="E714" s="10"/>
      <c r="I714" s="10"/>
      <c r="J714" s="10"/>
    </row>
    <row r="715">
      <c r="C715" s="38"/>
      <c r="D715" s="38"/>
      <c r="E715" s="10"/>
      <c r="I715" s="10"/>
      <c r="J715" s="10"/>
    </row>
    <row r="716">
      <c r="C716" s="38"/>
      <c r="D716" s="38"/>
      <c r="E716" s="10"/>
      <c r="I716" s="10"/>
      <c r="J716" s="10"/>
    </row>
    <row r="717">
      <c r="C717" s="38"/>
      <c r="D717" s="38"/>
      <c r="E717" s="10"/>
      <c r="I717" s="10"/>
      <c r="J717" s="10"/>
    </row>
    <row r="718">
      <c r="C718" s="38"/>
      <c r="D718" s="38"/>
      <c r="E718" s="10"/>
      <c r="I718" s="10"/>
      <c r="J718" s="10"/>
    </row>
    <row r="719">
      <c r="C719" s="38"/>
      <c r="D719" s="38"/>
      <c r="E719" s="10"/>
      <c r="I719" s="10"/>
      <c r="J719" s="10"/>
    </row>
    <row r="720">
      <c r="C720" s="38"/>
      <c r="D720" s="38"/>
      <c r="E720" s="10"/>
      <c r="I720" s="10"/>
      <c r="J720" s="10"/>
    </row>
    <row r="721">
      <c r="C721" s="38"/>
      <c r="D721" s="38"/>
      <c r="E721" s="10"/>
      <c r="I721" s="10"/>
      <c r="J721" s="10"/>
    </row>
    <row r="722">
      <c r="C722" s="38"/>
      <c r="D722" s="38"/>
      <c r="E722" s="10"/>
      <c r="I722" s="10"/>
      <c r="J722" s="10"/>
    </row>
    <row r="723">
      <c r="C723" s="38"/>
      <c r="D723" s="38"/>
      <c r="E723" s="10"/>
      <c r="I723" s="10"/>
      <c r="J723" s="10"/>
    </row>
    <row r="724">
      <c r="C724" s="38"/>
      <c r="D724" s="38"/>
      <c r="E724" s="10"/>
      <c r="I724" s="10"/>
      <c r="J724" s="10"/>
    </row>
    <row r="725">
      <c r="C725" s="38"/>
      <c r="D725" s="38"/>
      <c r="E725" s="10"/>
      <c r="I725" s="10"/>
      <c r="J725" s="10"/>
    </row>
    <row r="726">
      <c r="C726" s="38"/>
      <c r="D726" s="38"/>
      <c r="E726" s="10"/>
      <c r="I726" s="10"/>
      <c r="J726" s="10"/>
    </row>
    <row r="727">
      <c r="C727" s="38"/>
      <c r="D727" s="38"/>
      <c r="E727" s="10"/>
      <c r="I727" s="10"/>
      <c r="J727" s="10"/>
    </row>
    <row r="728">
      <c r="C728" s="38"/>
      <c r="D728" s="38"/>
      <c r="E728" s="10"/>
      <c r="I728" s="10"/>
      <c r="J728" s="10"/>
    </row>
    <row r="729">
      <c r="C729" s="38"/>
      <c r="D729" s="38"/>
      <c r="E729" s="10"/>
      <c r="I729" s="10"/>
      <c r="J729" s="10"/>
    </row>
    <row r="730">
      <c r="C730" s="38"/>
      <c r="D730" s="38"/>
      <c r="E730" s="10"/>
      <c r="I730" s="10"/>
      <c r="J730" s="10"/>
    </row>
    <row r="731">
      <c r="C731" s="38"/>
      <c r="D731" s="38"/>
      <c r="E731" s="10"/>
      <c r="I731" s="10"/>
      <c r="J731" s="10"/>
    </row>
    <row r="732">
      <c r="C732" s="38"/>
      <c r="D732" s="38"/>
      <c r="E732" s="10"/>
      <c r="I732" s="10"/>
      <c r="J732" s="10"/>
    </row>
    <row r="733">
      <c r="C733" s="38"/>
      <c r="D733" s="38"/>
      <c r="E733" s="10"/>
      <c r="I733" s="10"/>
      <c r="J733" s="10"/>
    </row>
    <row r="734">
      <c r="C734" s="38"/>
      <c r="D734" s="38"/>
      <c r="E734" s="10"/>
      <c r="I734" s="10"/>
      <c r="J734" s="10"/>
    </row>
    <row r="735">
      <c r="C735" s="38"/>
      <c r="D735" s="38"/>
      <c r="E735" s="10"/>
      <c r="I735" s="10"/>
      <c r="J735" s="10"/>
    </row>
    <row r="736">
      <c r="C736" s="38"/>
      <c r="D736" s="38"/>
      <c r="E736" s="10"/>
      <c r="I736" s="10"/>
      <c r="J736" s="10"/>
    </row>
    <row r="737">
      <c r="C737" s="38"/>
      <c r="D737" s="38"/>
      <c r="E737" s="10"/>
      <c r="I737" s="10"/>
      <c r="J737" s="10"/>
    </row>
    <row r="738">
      <c r="C738" s="38"/>
      <c r="D738" s="38"/>
      <c r="E738" s="10"/>
      <c r="I738" s="10"/>
      <c r="J738" s="10"/>
    </row>
    <row r="739">
      <c r="C739" s="38"/>
      <c r="D739" s="38"/>
      <c r="E739" s="10"/>
      <c r="I739" s="10"/>
      <c r="J739" s="10"/>
    </row>
    <row r="740">
      <c r="C740" s="38"/>
      <c r="D740" s="38"/>
      <c r="E740" s="10"/>
      <c r="I740" s="10"/>
      <c r="J740" s="10"/>
    </row>
    <row r="741">
      <c r="C741" s="38"/>
      <c r="D741" s="38"/>
      <c r="E741" s="10"/>
      <c r="I741" s="10"/>
      <c r="J741" s="10"/>
    </row>
    <row r="742">
      <c r="C742" s="38"/>
      <c r="D742" s="38"/>
      <c r="E742" s="10"/>
      <c r="I742" s="10"/>
      <c r="J742" s="10"/>
    </row>
    <row r="743">
      <c r="C743" s="38"/>
      <c r="D743" s="38"/>
      <c r="E743" s="10"/>
      <c r="I743" s="10"/>
      <c r="J743" s="10"/>
    </row>
    <row r="744">
      <c r="C744" s="38"/>
      <c r="D744" s="38"/>
      <c r="E744" s="10"/>
      <c r="I744" s="10"/>
      <c r="J744" s="10"/>
    </row>
    <row r="745">
      <c r="C745" s="38"/>
      <c r="D745" s="38"/>
      <c r="E745" s="10"/>
      <c r="I745" s="10"/>
      <c r="J745" s="10"/>
    </row>
    <row r="746">
      <c r="C746" s="38"/>
      <c r="D746" s="38"/>
      <c r="E746" s="10"/>
      <c r="I746" s="10"/>
      <c r="J746" s="10"/>
    </row>
    <row r="747">
      <c r="C747" s="38"/>
      <c r="D747" s="38"/>
      <c r="E747" s="10"/>
      <c r="I747" s="10"/>
      <c r="J747" s="10"/>
    </row>
    <row r="748">
      <c r="C748" s="38"/>
      <c r="D748" s="38"/>
      <c r="E748" s="10"/>
      <c r="I748" s="10"/>
      <c r="J748" s="10"/>
    </row>
    <row r="749">
      <c r="C749" s="38"/>
      <c r="D749" s="38"/>
      <c r="E749" s="10"/>
      <c r="I749" s="10"/>
      <c r="J749" s="10"/>
    </row>
    <row r="750">
      <c r="C750" s="38"/>
      <c r="D750" s="38"/>
      <c r="E750" s="10"/>
      <c r="I750" s="10"/>
      <c r="J750" s="10"/>
    </row>
    <row r="751">
      <c r="C751" s="38"/>
      <c r="D751" s="38"/>
      <c r="E751" s="10"/>
      <c r="I751" s="10"/>
      <c r="J751" s="10"/>
    </row>
    <row r="752">
      <c r="C752" s="38"/>
      <c r="D752" s="38"/>
      <c r="E752" s="10"/>
      <c r="I752" s="10"/>
      <c r="J752" s="10"/>
    </row>
    <row r="753">
      <c r="C753" s="38"/>
      <c r="D753" s="38"/>
      <c r="E753" s="10"/>
      <c r="I753" s="10"/>
      <c r="J753" s="10"/>
    </row>
    <row r="754">
      <c r="C754" s="38"/>
      <c r="D754" s="38"/>
      <c r="E754" s="10"/>
      <c r="I754" s="10"/>
      <c r="J754" s="10"/>
    </row>
    <row r="755">
      <c r="C755" s="38"/>
      <c r="D755" s="38"/>
      <c r="E755" s="10"/>
      <c r="I755" s="10"/>
      <c r="J755" s="10"/>
    </row>
    <row r="756">
      <c r="C756" s="38"/>
      <c r="D756" s="38"/>
      <c r="E756" s="10"/>
      <c r="I756" s="10"/>
      <c r="J756" s="10"/>
    </row>
    <row r="757">
      <c r="C757" s="38"/>
      <c r="D757" s="38"/>
      <c r="E757" s="10"/>
      <c r="I757" s="10"/>
      <c r="J757" s="10"/>
    </row>
    <row r="758">
      <c r="C758" s="38"/>
      <c r="D758" s="38"/>
      <c r="E758" s="10"/>
      <c r="I758" s="10"/>
      <c r="J758" s="10"/>
    </row>
    <row r="759">
      <c r="C759" s="38"/>
      <c r="D759" s="38"/>
      <c r="E759" s="10"/>
      <c r="I759" s="10"/>
      <c r="J759" s="10"/>
    </row>
    <row r="760">
      <c r="C760" s="38"/>
      <c r="D760" s="38"/>
      <c r="E760" s="10"/>
      <c r="I760" s="10"/>
      <c r="J760" s="10"/>
    </row>
    <row r="761">
      <c r="C761" s="38"/>
      <c r="D761" s="38"/>
      <c r="E761" s="10"/>
      <c r="I761" s="10"/>
      <c r="J761" s="10"/>
    </row>
    <row r="762">
      <c r="C762" s="38"/>
      <c r="D762" s="38"/>
      <c r="E762" s="10"/>
      <c r="I762" s="10"/>
      <c r="J762" s="10"/>
    </row>
    <row r="763">
      <c r="C763" s="38"/>
      <c r="D763" s="38"/>
      <c r="E763" s="10"/>
      <c r="I763" s="10"/>
      <c r="J763" s="10"/>
    </row>
    <row r="764">
      <c r="C764" s="38"/>
      <c r="D764" s="38"/>
      <c r="E764" s="10"/>
      <c r="I764" s="10"/>
      <c r="J764" s="10"/>
    </row>
    <row r="765">
      <c r="C765" s="38"/>
      <c r="D765" s="38"/>
      <c r="E765" s="10"/>
      <c r="I765" s="10"/>
      <c r="J765" s="10"/>
    </row>
    <row r="766">
      <c r="C766" s="38"/>
      <c r="D766" s="38"/>
      <c r="E766" s="10"/>
      <c r="I766" s="10"/>
      <c r="J766" s="10"/>
    </row>
    <row r="767">
      <c r="C767" s="38"/>
      <c r="D767" s="38"/>
      <c r="E767" s="10"/>
      <c r="I767" s="10"/>
      <c r="J767" s="10"/>
    </row>
    <row r="768">
      <c r="C768" s="38"/>
      <c r="D768" s="38"/>
      <c r="E768" s="10"/>
      <c r="I768" s="10"/>
      <c r="J768" s="10"/>
    </row>
    <row r="769">
      <c r="C769" s="38"/>
      <c r="D769" s="38"/>
      <c r="E769" s="10"/>
      <c r="I769" s="10"/>
      <c r="J769" s="10"/>
    </row>
    <row r="770">
      <c r="C770" s="38"/>
      <c r="D770" s="38"/>
      <c r="E770" s="10"/>
      <c r="I770" s="10"/>
      <c r="J770" s="10"/>
    </row>
    <row r="771">
      <c r="C771" s="38"/>
      <c r="D771" s="38"/>
      <c r="E771" s="10"/>
      <c r="I771" s="10"/>
      <c r="J771" s="10"/>
    </row>
    <row r="772">
      <c r="C772" s="38"/>
      <c r="D772" s="38"/>
      <c r="E772" s="10"/>
      <c r="I772" s="10"/>
      <c r="J772" s="10"/>
    </row>
    <row r="773">
      <c r="C773" s="38"/>
      <c r="D773" s="38"/>
      <c r="E773" s="10"/>
      <c r="I773" s="10"/>
      <c r="J773" s="10"/>
    </row>
    <row r="774">
      <c r="C774" s="38"/>
      <c r="D774" s="38"/>
      <c r="E774" s="10"/>
      <c r="I774" s="10"/>
      <c r="J774" s="10"/>
    </row>
    <row r="775">
      <c r="C775" s="38"/>
      <c r="D775" s="38"/>
      <c r="E775" s="10"/>
      <c r="I775" s="10"/>
      <c r="J775" s="10"/>
    </row>
    <row r="776">
      <c r="C776" s="38"/>
      <c r="D776" s="38"/>
      <c r="E776" s="10"/>
      <c r="I776" s="10"/>
      <c r="J776" s="10"/>
    </row>
    <row r="777">
      <c r="C777" s="38"/>
      <c r="D777" s="38"/>
      <c r="E777" s="10"/>
      <c r="I777" s="10"/>
      <c r="J777" s="10"/>
    </row>
    <row r="778">
      <c r="C778" s="38"/>
      <c r="D778" s="38"/>
      <c r="E778" s="10"/>
      <c r="I778" s="10"/>
      <c r="J778" s="10"/>
    </row>
    <row r="779">
      <c r="C779" s="38"/>
      <c r="D779" s="38"/>
      <c r="E779" s="10"/>
      <c r="I779" s="10"/>
      <c r="J779" s="10"/>
    </row>
    <row r="780">
      <c r="C780" s="38"/>
      <c r="D780" s="38"/>
      <c r="E780" s="10"/>
      <c r="I780" s="10"/>
      <c r="J780" s="10"/>
    </row>
    <row r="781">
      <c r="C781" s="38"/>
      <c r="D781" s="38"/>
      <c r="E781" s="10"/>
      <c r="I781" s="10"/>
      <c r="J781" s="10"/>
    </row>
    <row r="782">
      <c r="C782" s="38"/>
      <c r="D782" s="38"/>
      <c r="E782" s="10"/>
      <c r="I782" s="10"/>
      <c r="J782" s="10"/>
    </row>
    <row r="783">
      <c r="C783" s="38"/>
      <c r="D783" s="38"/>
      <c r="E783" s="10"/>
      <c r="I783" s="10"/>
      <c r="J783" s="10"/>
    </row>
    <row r="784">
      <c r="C784" s="38"/>
      <c r="D784" s="38"/>
      <c r="E784" s="10"/>
      <c r="I784" s="10"/>
      <c r="J784" s="10"/>
    </row>
    <row r="785">
      <c r="C785" s="38"/>
      <c r="D785" s="38"/>
      <c r="E785" s="10"/>
      <c r="I785" s="10"/>
      <c r="J785" s="10"/>
    </row>
    <row r="786">
      <c r="C786" s="38"/>
      <c r="D786" s="38"/>
      <c r="E786" s="10"/>
      <c r="I786" s="10"/>
      <c r="J786" s="10"/>
    </row>
    <row r="787">
      <c r="C787" s="38"/>
      <c r="D787" s="38"/>
      <c r="E787" s="10"/>
      <c r="I787" s="10"/>
      <c r="J787" s="10"/>
    </row>
    <row r="788">
      <c r="C788" s="38"/>
      <c r="D788" s="38"/>
      <c r="E788" s="10"/>
      <c r="I788" s="10"/>
      <c r="J788" s="10"/>
    </row>
    <row r="789">
      <c r="C789" s="38"/>
      <c r="D789" s="38"/>
      <c r="E789" s="10"/>
      <c r="I789" s="10"/>
      <c r="J789" s="10"/>
    </row>
    <row r="790">
      <c r="C790" s="38"/>
      <c r="D790" s="38"/>
      <c r="E790" s="10"/>
      <c r="I790" s="10"/>
      <c r="J790" s="10"/>
    </row>
    <row r="791">
      <c r="C791" s="38"/>
      <c r="D791" s="38"/>
      <c r="E791" s="10"/>
      <c r="I791" s="10"/>
      <c r="J791" s="10"/>
    </row>
    <row r="792">
      <c r="C792" s="38"/>
      <c r="D792" s="38"/>
      <c r="E792" s="10"/>
      <c r="I792" s="10"/>
      <c r="J792" s="10"/>
    </row>
    <row r="793">
      <c r="C793" s="38"/>
      <c r="D793" s="38"/>
      <c r="E793" s="10"/>
      <c r="I793" s="10"/>
      <c r="J793" s="10"/>
    </row>
    <row r="794">
      <c r="C794" s="38"/>
      <c r="D794" s="38"/>
      <c r="E794" s="10"/>
      <c r="I794" s="10"/>
      <c r="J794" s="10"/>
    </row>
    <row r="795">
      <c r="C795" s="38"/>
      <c r="D795" s="38"/>
      <c r="E795" s="10"/>
      <c r="I795" s="10"/>
      <c r="J795" s="10"/>
    </row>
    <row r="796">
      <c r="C796" s="38"/>
      <c r="D796" s="38"/>
      <c r="E796" s="10"/>
      <c r="I796" s="10"/>
      <c r="J796" s="10"/>
    </row>
    <row r="797">
      <c r="C797" s="38"/>
      <c r="D797" s="38"/>
      <c r="E797" s="10"/>
      <c r="I797" s="10"/>
      <c r="J797" s="10"/>
    </row>
    <row r="798">
      <c r="C798" s="38"/>
      <c r="D798" s="38"/>
      <c r="E798" s="10"/>
      <c r="I798" s="10"/>
      <c r="J798" s="10"/>
    </row>
    <row r="799">
      <c r="C799" s="38"/>
      <c r="D799" s="38"/>
      <c r="E799" s="10"/>
      <c r="I799" s="10"/>
      <c r="J799" s="10"/>
    </row>
    <row r="800">
      <c r="C800" s="38"/>
      <c r="D800" s="38"/>
      <c r="E800" s="10"/>
      <c r="I800" s="10"/>
      <c r="J800" s="10"/>
    </row>
    <row r="801">
      <c r="C801" s="38"/>
      <c r="D801" s="38"/>
      <c r="E801" s="10"/>
      <c r="I801" s="10"/>
      <c r="J801" s="10"/>
    </row>
    <row r="802">
      <c r="C802" s="38"/>
      <c r="D802" s="38"/>
      <c r="E802" s="10"/>
      <c r="I802" s="10"/>
      <c r="J802" s="10"/>
    </row>
    <row r="803">
      <c r="C803" s="38"/>
      <c r="D803" s="38"/>
      <c r="E803" s="10"/>
      <c r="I803" s="10"/>
      <c r="J803" s="10"/>
    </row>
    <row r="804">
      <c r="C804" s="38"/>
      <c r="D804" s="38"/>
      <c r="E804" s="10"/>
      <c r="I804" s="10"/>
      <c r="J804" s="10"/>
    </row>
    <row r="805">
      <c r="C805" s="38"/>
      <c r="D805" s="38"/>
      <c r="E805" s="10"/>
      <c r="I805" s="10"/>
      <c r="J805" s="10"/>
    </row>
    <row r="806">
      <c r="C806" s="38"/>
      <c r="D806" s="38"/>
      <c r="E806" s="10"/>
      <c r="I806" s="10"/>
      <c r="J806" s="10"/>
    </row>
    <row r="807">
      <c r="C807" s="38"/>
      <c r="D807" s="38"/>
      <c r="E807" s="10"/>
      <c r="I807" s="10"/>
      <c r="J807" s="10"/>
    </row>
    <row r="808">
      <c r="C808" s="38"/>
      <c r="D808" s="38"/>
      <c r="E808" s="10"/>
      <c r="I808" s="10"/>
      <c r="J808" s="10"/>
    </row>
    <row r="809">
      <c r="C809" s="38"/>
      <c r="D809" s="38"/>
      <c r="E809" s="10"/>
      <c r="I809" s="10"/>
      <c r="J809" s="10"/>
    </row>
    <row r="810">
      <c r="C810" s="38"/>
      <c r="D810" s="38"/>
      <c r="E810" s="10"/>
      <c r="I810" s="10"/>
      <c r="J810" s="10"/>
    </row>
    <row r="811">
      <c r="C811" s="38"/>
      <c r="D811" s="38"/>
      <c r="E811" s="10"/>
      <c r="I811" s="10"/>
      <c r="J811" s="10"/>
    </row>
    <row r="812">
      <c r="C812" s="38"/>
      <c r="D812" s="38"/>
      <c r="E812" s="10"/>
      <c r="I812" s="10"/>
      <c r="J812" s="10"/>
    </row>
    <row r="813">
      <c r="C813" s="38"/>
      <c r="D813" s="38"/>
      <c r="E813" s="10"/>
      <c r="I813" s="10"/>
      <c r="J813" s="10"/>
    </row>
    <row r="814">
      <c r="C814" s="38"/>
      <c r="D814" s="38"/>
      <c r="E814" s="10"/>
      <c r="I814" s="10"/>
      <c r="J814" s="10"/>
    </row>
    <row r="815">
      <c r="C815" s="38"/>
      <c r="D815" s="38"/>
      <c r="E815" s="10"/>
      <c r="I815" s="10"/>
      <c r="J815" s="10"/>
    </row>
    <row r="816">
      <c r="C816" s="38"/>
      <c r="D816" s="38"/>
      <c r="E816" s="10"/>
      <c r="I816" s="10"/>
      <c r="J816" s="10"/>
    </row>
    <row r="817">
      <c r="C817" s="38"/>
      <c r="D817" s="38"/>
      <c r="E817" s="10"/>
      <c r="I817" s="10"/>
      <c r="J817" s="10"/>
    </row>
    <row r="818">
      <c r="C818" s="38"/>
      <c r="D818" s="38"/>
      <c r="E818" s="10"/>
      <c r="I818" s="10"/>
      <c r="J818" s="10"/>
    </row>
    <row r="819">
      <c r="C819" s="38"/>
      <c r="D819" s="38"/>
      <c r="E819" s="10"/>
      <c r="I819" s="10"/>
      <c r="J819" s="10"/>
    </row>
    <row r="820">
      <c r="C820" s="38"/>
      <c r="D820" s="38"/>
      <c r="E820" s="10"/>
      <c r="I820" s="10"/>
      <c r="J820" s="10"/>
    </row>
    <row r="821">
      <c r="C821" s="38"/>
      <c r="D821" s="38"/>
      <c r="E821" s="10"/>
      <c r="I821" s="10"/>
      <c r="J821" s="10"/>
    </row>
    <row r="822">
      <c r="C822" s="38"/>
      <c r="D822" s="38"/>
      <c r="E822" s="10"/>
      <c r="I822" s="10"/>
      <c r="J822" s="10"/>
    </row>
    <row r="823">
      <c r="C823" s="38"/>
      <c r="D823" s="38"/>
      <c r="E823" s="10"/>
      <c r="I823" s="10"/>
      <c r="J823" s="10"/>
    </row>
    <row r="824">
      <c r="C824" s="38"/>
      <c r="D824" s="38"/>
      <c r="E824" s="10"/>
      <c r="I824" s="10"/>
      <c r="J824" s="10"/>
    </row>
    <row r="825">
      <c r="C825" s="38"/>
      <c r="D825" s="38"/>
      <c r="E825" s="10"/>
      <c r="I825" s="10"/>
      <c r="J825" s="10"/>
    </row>
    <row r="826">
      <c r="C826" s="38"/>
      <c r="D826" s="38"/>
      <c r="E826" s="10"/>
      <c r="I826" s="10"/>
      <c r="J826" s="10"/>
    </row>
    <row r="827">
      <c r="C827" s="38"/>
      <c r="D827" s="38"/>
      <c r="E827" s="10"/>
      <c r="I827" s="10"/>
      <c r="J827" s="10"/>
    </row>
    <row r="828">
      <c r="C828" s="38"/>
      <c r="D828" s="38"/>
      <c r="E828" s="10"/>
      <c r="I828" s="10"/>
      <c r="J828" s="10"/>
    </row>
    <row r="829">
      <c r="C829" s="38"/>
      <c r="D829" s="38"/>
      <c r="E829" s="10"/>
      <c r="I829" s="10"/>
      <c r="J829" s="10"/>
    </row>
    <row r="830">
      <c r="C830" s="38"/>
      <c r="D830" s="38"/>
      <c r="E830" s="10"/>
      <c r="I830" s="10"/>
      <c r="J830" s="10"/>
    </row>
    <row r="831">
      <c r="C831" s="38"/>
      <c r="D831" s="38"/>
      <c r="E831" s="10"/>
      <c r="I831" s="10"/>
      <c r="J831" s="10"/>
    </row>
    <row r="832">
      <c r="C832" s="38"/>
      <c r="D832" s="38"/>
      <c r="E832" s="10"/>
      <c r="I832" s="10"/>
      <c r="J832" s="10"/>
    </row>
    <row r="833">
      <c r="C833" s="38"/>
      <c r="D833" s="38"/>
      <c r="E833" s="10"/>
      <c r="I833" s="10"/>
      <c r="J833" s="10"/>
    </row>
    <row r="834">
      <c r="C834" s="38"/>
      <c r="D834" s="38"/>
      <c r="E834" s="10"/>
      <c r="I834" s="10"/>
      <c r="J834" s="10"/>
    </row>
    <row r="835">
      <c r="C835" s="38"/>
      <c r="D835" s="38"/>
      <c r="E835" s="10"/>
      <c r="I835" s="10"/>
      <c r="J835" s="10"/>
    </row>
    <row r="836">
      <c r="C836" s="38"/>
      <c r="D836" s="38"/>
      <c r="E836" s="10"/>
      <c r="I836" s="10"/>
      <c r="J836" s="10"/>
    </row>
    <row r="837">
      <c r="C837" s="38"/>
      <c r="D837" s="38"/>
      <c r="E837" s="10"/>
      <c r="I837" s="10"/>
      <c r="J837" s="10"/>
    </row>
    <row r="838">
      <c r="C838" s="38"/>
      <c r="D838" s="38"/>
      <c r="E838" s="10"/>
      <c r="I838" s="10"/>
      <c r="J838" s="10"/>
    </row>
    <row r="839">
      <c r="C839" s="38"/>
      <c r="D839" s="38"/>
      <c r="E839" s="10"/>
      <c r="I839" s="10"/>
      <c r="J839" s="10"/>
    </row>
    <row r="840">
      <c r="C840" s="38"/>
      <c r="D840" s="38"/>
      <c r="E840" s="10"/>
      <c r="I840" s="10"/>
      <c r="J840" s="10"/>
    </row>
    <row r="841">
      <c r="C841" s="38"/>
      <c r="D841" s="38"/>
      <c r="E841" s="10"/>
      <c r="I841" s="10"/>
      <c r="J841" s="10"/>
    </row>
    <row r="842">
      <c r="C842" s="38"/>
      <c r="D842" s="38"/>
      <c r="E842" s="10"/>
      <c r="I842" s="10"/>
      <c r="J842" s="10"/>
    </row>
    <row r="843">
      <c r="C843" s="38"/>
      <c r="D843" s="38"/>
      <c r="E843" s="10"/>
      <c r="I843" s="10"/>
      <c r="J843" s="10"/>
    </row>
    <row r="844">
      <c r="C844" s="38"/>
      <c r="D844" s="38"/>
      <c r="E844" s="10"/>
      <c r="I844" s="10"/>
      <c r="J844" s="10"/>
    </row>
    <row r="845">
      <c r="C845" s="38"/>
      <c r="D845" s="38"/>
      <c r="E845" s="10"/>
      <c r="I845" s="10"/>
      <c r="J845" s="10"/>
    </row>
    <row r="846">
      <c r="C846" s="38"/>
      <c r="D846" s="38"/>
      <c r="E846" s="10"/>
      <c r="I846" s="10"/>
      <c r="J846" s="10"/>
    </row>
    <row r="847">
      <c r="C847" s="38"/>
      <c r="D847" s="38"/>
      <c r="E847" s="10"/>
      <c r="I847" s="10"/>
      <c r="J847" s="10"/>
    </row>
    <row r="848">
      <c r="C848" s="38"/>
      <c r="D848" s="38"/>
      <c r="E848" s="10"/>
      <c r="I848" s="10"/>
      <c r="J848" s="10"/>
    </row>
    <row r="849">
      <c r="C849" s="38"/>
      <c r="D849" s="38"/>
      <c r="E849" s="10"/>
      <c r="I849" s="10"/>
      <c r="J849" s="10"/>
    </row>
    <row r="850">
      <c r="C850" s="38"/>
      <c r="D850" s="38"/>
      <c r="E850" s="10"/>
      <c r="I850" s="10"/>
      <c r="J850" s="10"/>
    </row>
    <row r="851">
      <c r="C851" s="38"/>
      <c r="D851" s="38"/>
      <c r="E851" s="10"/>
      <c r="I851" s="10"/>
      <c r="J851" s="10"/>
    </row>
    <row r="852">
      <c r="C852" s="38"/>
      <c r="D852" s="38"/>
      <c r="E852" s="10"/>
      <c r="I852" s="10"/>
      <c r="J852" s="10"/>
    </row>
    <row r="853">
      <c r="C853" s="38"/>
      <c r="D853" s="38"/>
      <c r="E853" s="10"/>
      <c r="I853" s="10"/>
      <c r="J853" s="10"/>
    </row>
    <row r="854">
      <c r="C854" s="38"/>
      <c r="D854" s="38"/>
      <c r="E854" s="10"/>
      <c r="I854" s="10"/>
      <c r="J854" s="10"/>
    </row>
    <row r="855">
      <c r="C855" s="38"/>
      <c r="D855" s="38"/>
      <c r="E855" s="10"/>
      <c r="I855" s="10"/>
      <c r="J855" s="10"/>
    </row>
    <row r="856">
      <c r="C856" s="38"/>
      <c r="D856" s="38"/>
      <c r="E856" s="10"/>
      <c r="I856" s="10"/>
      <c r="J856" s="10"/>
    </row>
    <row r="857">
      <c r="C857" s="38"/>
      <c r="D857" s="38"/>
      <c r="E857" s="10"/>
      <c r="I857" s="10"/>
      <c r="J857" s="10"/>
    </row>
    <row r="858">
      <c r="C858" s="38"/>
      <c r="D858" s="38"/>
      <c r="E858" s="10"/>
      <c r="I858" s="10"/>
      <c r="J858" s="10"/>
    </row>
    <row r="859">
      <c r="C859" s="38"/>
      <c r="D859" s="38"/>
      <c r="E859" s="10"/>
      <c r="I859" s="10"/>
      <c r="J859" s="10"/>
    </row>
    <row r="860">
      <c r="C860" s="38"/>
      <c r="D860" s="38"/>
      <c r="E860" s="10"/>
      <c r="I860" s="10"/>
      <c r="J860" s="10"/>
    </row>
    <row r="861">
      <c r="C861" s="38"/>
      <c r="D861" s="38"/>
      <c r="E861" s="10"/>
      <c r="I861" s="10"/>
      <c r="J861" s="10"/>
    </row>
    <row r="862">
      <c r="C862" s="38"/>
      <c r="D862" s="38"/>
      <c r="E862" s="10"/>
      <c r="I862" s="10"/>
      <c r="J862" s="10"/>
    </row>
    <row r="863">
      <c r="C863" s="38"/>
      <c r="D863" s="38"/>
      <c r="E863" s="10"/>
      <c r="I863" s="10"/>
      <c r="J863" s="10"/>
    </row>
    <row r="864">
      <c r="C864" s="38"/>
      <c r="D864" s="38"/>
      <c r="E864" s="10"/>
      <c r="I864" s="10"/>
      <c r="J864" s="10"/>
    </row>
    <row r="865">
      <c r="C865" s="38"/>
      <c r="D865" s="38"/>
      <c r="E865" s="10"/>
      <c r="I865" s="10"/>
      <c r="J865" s="10"/>
    </row>
    <row r="866">
      <c r="C866" s="38"/>
      <c r="D866" s="38"/>
      <c r="E866" s="10"/>
      <c r="I866" s="10"/>
      <c r="J866" s="10"/>
    </row>
    <row r="867">
      <c r="C867" s="38"/>
      <c r="D867" s="38"/>
      <c r="E867" s="10"/>
      <c r="I867" s="10"/>
      <c r="J867" s="10"/>
    </row>
    <row r="868">
      <c r="C868" s="38"/>
      <c r="D868" s="38"/>
      <c r="E868" s="10"/>
      <c r="I868" s="10"/>
      <c r="J868" s="10"/>
    </row>
    <row r="869">
      <c r="C869" s="38"/>
      <c r="D869" s="38"/>
      <c r="E869" s="10"/>
      <c r="I869" s="10"/>
      <c r="J869" s="10"/>
    </row>
    <row r="870">
      <c r="C870" s="38"/>
      <c r="D870" s="38"/>
      <c r="E870" s="10"/>
      <c r="I870" s="10"/>
      <c r="J870" s="10"/>
    </row>
    <row r="871">
      <c r="C871" s="38"/>
      <c r="D871" s="38"/>
      <c r="E871" s="10"/>
      <c r="I871" s="10"/>
      <c r="J871" s="10"/>
    </row>
    <row r="872">
      <c r="C872" s="38"/>
      <c r="D872" s="38"/>
      <c r="E872" s="10"/>
      <c r="I872" s="10"/>
      <c r="J872" s="10"/>
    </row>
    <row r="873">
      <c r="C873" s="38"/>
      <c r="D873" s="38"/>
      <c r="E873" s="10"/>
      <c r="I873" s="10"/>
      <c r="J873" s="10"/>
    </row>
    <row r="874">
      <c r="C874" s="38"/>
      <c r="D874" s="38"/>
      <c r="E874" s="10"/>
      <c r="I874" s="10"/>
      <c r="J874" s="10"/>
    </row>
    <row r="875">
      <c r="C875" s="38"/>
      <c r="D875" s="38"/>
      <c r="E875" s="10"/>
      <c r="I875" s="10"/>
      <c r="J875" s="10"/>
    </row>
    <row r="876">
      <c r="C876" s="38"/>
      <c r="D876" s="38"/>
      <c r="E876" s="10"/>
      <c r="I876" s="10"/>
      <c r="J876" s="10"/>
    </row>
    <row r="877">
      <c r="C877" s="38"/>
      <c r="D877" s="38"/>
      <c r="E877" s="10"/>
      <c r="I877" s="10"/>
      <c r="J877" s="10"/>
    </row>
    <row r="878">
      <c r="C878" s="38"/>
      <c r="D878" s="38"/>
      <c r="E878" s="10"/>
      <c r="I878" s="10"/>
      <c r="J878" s="10"/>
    </row>
    <row r="879">
      <c r="C879" s="38"/>
      <c r="D879" s="38"/>
      <c r="E879" s="10"/>
      <c r="I879" s="10"/>
      <c r="J879" s="10"/>
    </row>
    <row r="880">
      <c r="C880" s="38"/>
      <c r="D880" s="38"/>
      <c r="E880" s="10"/>
      <c r="I880" s="10"/>
      <c r="J880" s="10"/>
    </row>
    <row r="881">
      <c r="C881" s="38"/>
      <c r="D881" s="38"/>
      <c r="E881" s="10"/>
      <c r="I881" s="10"/>
      <c r="J881" s="10"/>
    </row>
    <row r="882">
      <c r="C882" s="38"/>
      <c r="D882" s="38"/>
      <c r="E882" s="10"/>
      <c r="I882" s="10"/>
      <c r="J882" s="10"/>
    </row>
    <row r="883">
      <c r="C883" s="38"/>
      <c r="D883" s="38"/>
      <c r="E883" s="10"/>
      <c r="I883" s="10"/>
      <c r="J883" s="10"/>
    </row>
    <row r="884">
      <c r="C884" s="38"/>
      <c r="D884" s="38"/>
      <c r="E884" s="10"/>
      <c r="I884" s="10"/>
      <c r="J884" s="10"/>
    </row>
    <row r="885">
      <c r="C885" s="38"/>
      <c r="D885" s="38"/>
      <c r="E885" s="10"/>
      <c r="I885" s="10"/>
      <c r="J885" s="10"/>
    </row>
    <row r="886">
      <c r="C886" s="38"/>
      <c r="D886" s="38"/>
      <c r="E886" s="10"/>
      <c r="I886" s="10"/>
      <c r="J886" s="10"/>
    </row>
    <row r="887">
      <c r="C887" s="38"/>
      <c r="D887" s="38"/>
      <c r="E887" s="10"/>
      <c r="I887" s="10"/>
      <c r="J887" s="10"/>
    </row>
    <row r="888">
      <c r="C888" s="38"/>
      <c r="D888" s="38"/>
      <c r="E888" s="10"/>
      <c r="I888" s="10"/>
      <c r="J888" s="10"/>
    </row>
    <row r="889">
      <c r="C889" s="38"/>
      <c r="D889" s="38"/>
      <c r="E889" s="10"/>
      <c r="I889" s="10"/>
      <c r="J889" s="10"/>
    </row>
    <row r="890">
      <c r="C890" s="38"/>
      <c r="D890" s="38"/>
      <c r="E890" s="10"/>
      <c r="I890" s="10"/>
      <c r="J890" s="10"/>
    </row>
    <row r="891">
      <c r="C891" s="38"/>
      <c r="D891" s="38"/>
      <c r="E891" s="10"/>
      <c r="I891" s="10"/>
      <c r="J891" s="10"/>
    </row>
    <row r="892">
      <c r="C892" s="38"/>
      <c r="D892" s="38"/>
      <c r="E892" s="10"/>
      <c r="I892" s="10"/>
      <c r="J892" s="10"/>
    </row>
    <row r="893">
      <c r="C893" s="38"/>
      <c r="D893" s="38"/>
      <c r="E893" s="10"/>
      <c r="I893" s="10"/>
      <c r="J893" s="10"/>
    </row>
    <row r="894">
      <c r="C894" s="38"/>
      <c r="D894" s="38"/>
      <c r="E894" s="10"/>
      <c r="I894" s="10"/>
      <c r="J894" s="10"/>
    </row>
    <row r="895">
      <c r="C895" s="38"/>
      <c r="D895" s="38"/>
      <c r="E895" s="10"/>
      <c r="I895" s="10"/>
      <c r="J895" s="10"/>
    </row>
    <row r="896">
      <c r="C896" s="38"/>
      <c r="D896" s="38"/>
      <c r="E896" s="10"/>
      <c r="I896" s="10"/>
      <c r="J896" s="10"/>
    </row>
    <row r="897">
      <c r="C897" s="38"/>
      <c r="D897" s="38"/>
      <c r="E897" s="10"/>
      <c r="I897" s="10"/>
      <c r="J897" s="10"/>
    </row>
    <row r="898">
      <c r="C898" s="38"/>
      <c r="D898" s="38"/>
      <c r="E898" s="10"/>
      <c r="I898" s="10"/>
      <c r="J898" s="10"/>
    </row>
    <row r="899">
      <c r="C899" s="38"/>
      <c r="D899" s="38"/>
      <c r="E899" s="10"/>
      <c r="I899" s="10"/>
      <c r="J899" s="10"/>
    </row>
    <row r="900">
      <c r="C900" s="38"/>
      <c r="D900" s="38"/>
      <c r="E900" s="10"/>
      <c r="I900" s="10"/>
      <c r="J900" s="10"/>
    </row>
    <row r="901">
      <c r="C901" s="38"/>
      <c r="D901" s="38"/>
      <c r="E901" s="10"/>
      <c r="I901" s="10"/>
      <c r="J901" s="10"/>
    </row>
    <row r="902">
      <c r="C902" s="38"/>
      <c r="D902" s="38"/>
      <c r="E902" s="10"/>
      <c r="I902" s="10"/>
      <c r="J902" s="10"/>
    </row>
    <row r="903">
      <c r="C903" s="38"/>
      <c r="D903" s="38"/>
      <c r="E903" s="10"/>
      <c r="I903" s="10"/>
      <c r="J903" s="10"/>
    </row>
    <row r="904">
      <c r="C904" s="38"/>
      <c r="D904" s="38"/>
      <c r="E904" s="10"/>
      <c r="I904" s="10"/>
      <c r="J904" s="10"/>
    </row>
    <row r="905">
      <c r="C905" s="38"/>
      <c r="D905" s="38"/>
      <c r="E905" s="10"/>
      <c r="I905" s="10"/>
      <c r="J905" s="10"/>
    </row>
    <row r="906">
      <c r="C906" s="38"/>
      <c r="D906" s="38"/>
      <c r="E906" s="10"/>
      <c r="I906" s="10"/>
      <c r="J906" s="10"/>
    </row>
    <row r="907">
      <c r="C907" s="38"/>
      <c r="D907" s="38"/>
      <c r="E907" s="10"/>
      <c r="I907" s="10"/>
      <c r="J907" s="10"/>
    </row>
    <row r="908">
      <c r="C908" s="38"/>
      <c r="D908" s="38"/>
      <c r="E908" s="10"/>
      <c r="I908" s="10"/>
      <c r="J908" s="10"/>
    </row>
    <row r="909">
      <c r="C909" s="38"/>
      <c r="D909" s="38"/>
      <c r="E909" s="10"/>
      <c r="I909" s="10"/>
      <c r="J909" s="10"/>
    </row>
    <row r="910">
      <c r="C910" s="38"/>
      <c r="D910" s="38"/>
      <c r="E910" s="10"/>
      <c r="I910" s="10"/>
      <c r="J910" s="10"/>
    </row>
    <row r="911">
      <c r="C911" s="38"/>
      <c r="D911" s="38"/>
      <c r="E911" s="10"/>
      <c r="I911" s="10"/>
      <c r="J911" s="10"/>
    </row>
    <row r="912">
      <c r="C912" s="38"/>
      <c r="D912" s="38"/>
      <c r="E912" s="10"/>
      <c r="I912" s="10"/>
      <c r="J912" s="10"/>
    </row>
    <row r="913">
      <c r="C913" s="38"/>
      <c r="D913" s="38"/>
      <c r="E913" s="10"/>
      <c r="I913" s="10"/>
      <c r="J913" s="10"/>
    </row>
    <row r="914">
      <c r="C914" s="38"/>
      <c r="D914" s="38"/>
      <c r="E914" s="10"/>
      <c r="I914" s="10"/>
      <c r="J914" s="10"/>
    </row>
    <row r="915">
      <c r="C915" s="38"/>
      <c r="D915" s="38"/>
      <c r="E915" s="10"/>
      <c r="I915" s="10"/>
      <c r="J915" s="10"/>
    </row>
    <row r="916">
      <c r="C916" s="38"/>
      <c r="D916" s="38"/>
      <c r="E916" s="10"/>
      <c r="I916" s="10"/>
      <c r="J916" s="10"/>
    </row>
    <row r="917">
      <c r="C917" s="38"/>
      <c r="D917" s="38"/>
      <c r="E917" s="10"/>
      <c r="I917" s="10"/>
      <c r="J917" s="10"/>
    </row>
    <row r="918">
      <c r="C918" s="38"/>
      <c r="D918" s="38"/>
      <c r="E918" s="10"/>
      <c r="I918" s="10"/>
      <c r="J918" s="10"/>
    </row>
    <row r="919">
      <c r="C919" s="38"/>
      <c r="D919" s="38"/>
      <c r="E919" s="10"/>
      <c r="I919" s="10"/>
      <c r="J919" s="10"/>
    </row>
    <row r="920">
      <c r="C920" s="38"/>
      <c r="D920" s="38"/>
      <c r="E920" s="10"/>
      <c r="I920" s="10"/>
      <c r="J920" s="10"/>
    </row>
    <row r="921">
      <c r="C921" s="38"/>
      <c r="D921" s="38"/>
      <c r="E921" s="10"/>
      <c r="I921" s="10"/>
      <c r="J921" s="10"/>
    </row>
    <row r="922">
      <c r="C922" s="38"/>
      <c r="D922" s="38"/>
      <c r="E922" s="10"/>
      <c r="I922" s="10"/>
      <c r="J922" s="10"/>
    </row>
    <row r="923">
      <c r="C923" s="38"/>
      <c r="D923" s="38"/>
      <c r="E923" s="10"/>
      <c r="I923" s="10"/>
      <c r="J923" s="10"/>
    </row>
    <row r="924">
      <c r="C924" s="38"/>
      <c r="D924" s="38"/>
      <c r="E924" s="10"/>
      <c r="I924" s="10"/>
      <c r="J924" s="10"/>
    </row>
    <row r="925">
      <c r="C925" s="38"/>
      <c r="D925" s="38"/>
      <c r="E925" s="10"/>
      <c r="I925" s="10"/>
      <c r="J925" s="10"/>
    </row>
    <row r="926">
      <c r="C926" s="38"/>
      <c r="D926" s="38"/>
      <c r="E926" s="10"/>
      <c r="I926" s="10"/>
      <c r="J926" s="10"/>
    </row>
    <row r="927">
      <c r="C927" s="38"/>
      <c r="D927" s="38"/>
      <c r="E927" s="10"/>
      <c r="I927" s="10"/>
      <c r="J927" s="10"/>
    </row>
    <row r="928">
      <c r="C928" s="38"/>
      <c r="D928" s="38"/>
      <c r="E928" s="10"/>
      <c r="I928" s="10"/>
      <c r="J928" s="10"/>
    </row>
    <row r="929">
      <c r="C929" s="38"/>
      <c r="D929" s="38"/>
      <c r="E929" s="10"/>
      <c r="I929" s="10"/>
      <c r="J929" s="10"/>
    </row>
    <row r="930">
      <c r="C930" s="38"/>
      <c r="D930" s="38"/>
      <c r="E930" s="10"/>
      <c r="I930" s="10"/>
      <c r="J930" s="10"/>
    </row>
    <row r="931">
      <c r="C931" s="38"/>
      <c r="D931" s="38"/>
      <c r="E931" s="10"/>
      <c r="I931" s="10"/>
      <c r="J931" s="10"/>
    </row>
    <row r="932">
      <c r="C932" s="38"/>
      <c r="D932" s="38"/>
      <c r="E932" s="10"/>
      <c r="I932" s="10"/>
      <c r="J932" s="10"/>
    </row>
    <row r="933">
      <c r="C933" s="38"/>
      <c r="D933" s="38"/>
      <c r="E933" s="10"/>
      <c r="I933" s="10"/>
      <c r="J933" s="10"/>
    </row>
    <row r="934">
      <c r="C934" s="38"/>
      <c r="D934" s="38"/>
      <c r="E934" s="10"/>
      <c r="I934" s="10"/>
      <c r="J934" s="10"/>
    </row>
    <row r="935">
      <c r="C935" s="38"/>
      <c r="D935" s="38"/>
      <c r="E935" s="10"/>
      <c r="I935" s="10"/>
      <c r="J935" s="10"/>
    </row>
    <row r="936">
      <c r="C936" s="38"/>
      <c r="D936" s="38"/>
      <c r="E936" s="10"/>
      <c r="I936" s="10"/>
      <c r="J936" s="10"/>
    </row>
    <row r="937">
      <c r="C937" s="38"/>
      <c r="D937" s="38"/>
      <c r="E937" s="10"/>
      <c r="I937" s="10"/>
      <c r="J937" s="10"/>
    </row>
    <row r="938">
      <c r="C938" s="38"/>
      <c r="D938" s="38"/>
      <c r="E938" s="10"/>
      <c r="I938" s="10"/>
      <c r="J938" s="10"/>
    </row>
    <row r="939">
      <c r="C939" s="38"/>
      <c r="D939" s="38"/>
      <c r="E939" s="10"/>
      <c r="I939" s="10"/>
      <c r="J939" s="10"/>
    </row>
    <row r="940">
      <c r="C940" s="38"/>
      <c r="D940" s="38"/>
      <c r="E940" s="10"/>
      <c r="I940" s="10"/>
      <c r="J940" s="10"/>
    </row>
    <row r="941">
      <c r="C941" s="38"/>
      <c r="D941" s="38"/>
      <c r="E941" s="10"/>
      <c r="I941" s="10"/>
      <c r="J941" s="10"/>
    </row>
    <row r="942">
      <c r="C942" s="38"/>
      <c r="D942" s="38"/>
      <c r="E942" s="10"/>
      <c r="I942" s="10"/>
      <c r="J942" s="10"/>
    </row>
    <row r="943">
      <c r="C943" s="38"/>
      <c r="D943" s="38"/>
      <c r="E943" s="10"/>
      <c r="I943" s="10"/>
      <c r="J943" s="10"/>
    </row>
    <row r="944">
      <c r="C944" s="38"/>
      <c r="D944" s="38"/>
      <c r="E944" s="10"/>
      <c r="I944" s="10"/>
      <c r="J944" s="10"/>
    </row>
    <row r="945">
      <c r="C945" s="38"/>
      <c r="D945" s="38"/>
      <c r="E945" s="10"/>
      <c r="I945" s="10"/>
      <c r="J945" s="10"/>
    </row>
    <row r="946">
      <c r="C946" s="38"/>
      <c r="D946" s="38"/>
      <c r="E946" s="10"/>
      <c r="I946" s="10"/>
      <c r="J946" s="10"/>
    </row>
    <row r="947">
      <c r="C947" s="38"/>
      <c r="D947" s="38"/>
      <c r="E947" s="10"/>
      <c r="I947" s="10"/>
      <c r="J947" s="10"/>
    </row>
    <row r="948">
      <c r="C948" s="38"/>
      <c r="D948" s="38"/>
      <c r="E948" s="10"/>
      <c r="I948" s="10"/>
      <c r="J948" s="10"/>
    </row>
    <row r="949">
      <c r="C949" s="38"/>
      <c r="D949" s="38"/>
      <c r="E949" s="10"/>
      <c r="I949" s="10"/>
      <c r="J949" s="10"/>
    </row>
    <row r="950">
      <c r="C950" s="38"/>
      <c r="D950" s="38"/>
      <c r="E950" s="10"/>
      <c r="I950" s="10"/>
      <c r="J950" s="10"/>
    </row>
    <row r="951">
      <c r="C951" s="38"/>
      <c r="D951" s="38"/>
      <c r="E951" s="10"/>
      <c r="I951" s="10"/>
      <c r="J951" s="10"/>
    </row>
    <row r="952">
      <c r="C952" s="38"/>
      <c r="D952" s="38"/>
      <c r="E952" s="10"/>
      <c r="I952" s="10"/>
      <c r="J952" s="10"/>
    </row>
    <row r="953">
      <c r="C953" s="38"/>
      <c r="D953" s="38"/>
      <c r="E953" s="10"/>
      <c r="I953" s="10"/>
      <c r="J953" s="10"/>
    </row>
    <row r="954">
      <c r="C954" s="38"/>
      <c r="D954" s="38"/>
      <c r="E954" s="10"/>
      <c r="I954" s="10"/>
      <c r="J954" s="10"/>
    </row>
    <row r="955">
      <c r="C955" s="38"/>
      <c r="D955" s="38"/>
      <c r="E955" s="10"/>
      <c r="I955" s="10"/>
      <c r="J955" s="10"/>
    </row>
    <row r="956">
      <c r="C956" s="38"/>
      <c r="D956" s="38"/>
      <c r="E956" s="10"/>
      <c r="I956" s="10"/>
      <c r="J956" s="10"/>
    </row>
    <row r="957">
      <c r="C957" s="38"/>
      <c r="D957" s="38"/>
      <c r="E957" s="10"/>
      <c r="I957" s="10"/>
      <c r="J957" s="10"/>
    </row>
    <row r="958">
      <c r="C958" s="38"/>
      <c r="D958" s="38"/>
      <c r="E958" s="10"/>
      <c r="I958" s="10"/>
      <c r="J958" s="10"/>
    </row>
    <row r="959">
      <c r="C959" s="38"/>
      <c r="D959" s="38"/>
      <c r="E959" s="10"/>
      <c r="I959" s="10"/>
      <c r="J959" s="10"/>
    </row>
    <row r="960">
      <c r="C960" s="38"/>
      <c r="D960" s="38"/>
      <c r="E960" s="10"/>
      <c r="I960" s="10"/>
      <c r="J960" s="10"/>
    </row>
    <row r="961">
      <c r="C961" s="38"/>
      <c r="D961" s="38"/>
      <c r="E961" s="10"/>
      <c r="I961" s="10"/>
      <c r="J961" s="10"/>
    </row>
    <row r="962">
      <c r="C962" s="38"/>
      <c r="D962" s="38"/>
      <c r="E962" s="10"/>
      <c r="I962" s="10"/>
      <c r="J962" s="10"/>
    </row>
    <row r="963">
      <c r="C963" s="38"/>
      <c r="D963" s="38"/>
      <c r="E963" s="10"/>
      <c r="I963" s="10"/>
      <c r="J963" s="10"/>
    </row>
    <row r="964">
      <c r="C964" s="38"/>
      <c r="D964" s="38"/>
      <c r="E964" s="10"/>
      <c r="I964" s="10"/>
      <c r="J964" s="10"/>
    </row>
    <row r="965">
      <c r="C965" s="38"/>
      <c r="D965" s="38"/>
      <c r="E965" s="10"/>
      <c r="I965" s="10"/>
      <c r="J965" s="10"/>
    </row>
    <row r="966">
      <c r="C966" s="38"/>
      <c r="D966" s="38"/>
      <c r="E966" s="10"/>
      <c r="I966" s="10"/>
      <c r="J966" s="10"/>
    </row>
    <row r="967">
      <c r="C967" s="38"/>
      <c r="D967" s="38"/>
      <c r="E967" s="10"/>
      <c r="I967" s="10"/>
      <c r="J967" s="10"/>
    </row>
    <row r="968">
      <c r="C968" s="38"/>
      <c r="D968" s="38"/>
      <c r="E968" s="10"/>
      <c r="I968" s="10"/>
      <c r="J968" s="10"/>
    </row>
    <row r="969">
      <c r="C969" s="38"/>
      <c r="D969" s="38"/>
      <c r="E969" s="10"/>
      <c r="I969" s="10"/>
      <c r="J969" s="10"/>
    </row>
    <row r="970">
      <c r="C970" s="38"/>
      <c r="D970" s="38"/>
      <c r="E970" s="10"/>
      <c r="I970" s="10"/>
      <c r="J970" s="10"/>
    </row>
    <row r="971">
      <c r="C971" s="38"/>
      <c r="D971" s="38"/>
      <c r="E971" s="10"/>
      <c r="I971" s="10"/>
      <c r="J971" s="10"/>
    </row>
    <row r="972">
      <c r="C972" s="38"/>
      <c r="D972" s="38"/>
      <c r="E972" s="10"/>
      <c r="I972" s="10"/>
      <c r="J972" s="10"/>
    </row>
    <row r="973">
      <c r="C973" s="38"/>
      <c r="D973" s="38"/>
      <c r="E973" s="10"/>
      <c r="I973" s="10"/>
      <c r="J973" s="10"/>
    </row>
    <row r="974">
      <c r="C974" s="38"/>
      <c r="D974" s="38"/>
      <c r="E974" s="10"/>
      <c r="I974" s="10"/>
      <c r="J974" s="10"/>
    </row>
    <row r="975">
      <c r="C975" s="38"/>
      <c r="D975" s="38"/>
      <c r="E975" s="10"/>
      <c r="I975" s="10"/>
      <c r="J975" s="10"/>
    </row>
    <row r="976">
      <c r="C976" s="38"/>
      <c r="D976" s="38"/>
      <c r="E976" s="10"/>
      <c r="I976" s="10"/>
      <c r="J976" s="10"/>
    </row>
    <row r="977">
      <c r="C977" s="38"/>
      <c r="D977" s="38"/>
      <c r="E977" s="10"/>
      <c r="I977" s="10"/>
      <c r="J977" s="10"/>
    </row>
    <row r="978">
      <c r="C978" s="38"/>
      <c r="D978" s="38"/>
      <c r="E978" s="10"/>
      <c r="I978" s="10"/>
      <c r="J978" s="10"/>
    </row>
    <row r="979">
      <c r="C979" s="38"/>
      <c r="D979" s="38"/>
      <c r="E979" s="10"/>
      <c r="I979" s="10"/>
      <c r="J979" s="10"/>
    </row>
    <row r="980">
      <c r="C980" s="38"/>
      <c r="D980" s="38"/>
      <c r="E980" s="10"/>
      <c r="I980" s="10"/>
      <c r="J980" s="10"/>
    </row>
    <row r="981">
      <c r="C981" s="38"/>
      <c r="D981" s="38"/>
      <c r="E981" s="10"/>
      <c r="I981" s="10"/>
      <c r="J981" s="10"/>
    </row>
    <row r="982">
      <c r="C982" s="38"/>
      <c r="D982" s="38"/>
      <c r="E982" s="10"/>
      <c r="I982" s="10"/>
      <c r="J982" s="10"/>
    </row>
    <row r="983">
      <c r="C983" s="38"/>
      <c r="D983" s="38"/>
      <c r="E983" s="10"/>
      <c r="I983" s="10"/>
      <c r="J983" s="10"/>
    </row>
    <row r="984">
      <c r="C984" s="38"/>
      <c r="D984" s="38"/>
      <c r="E984" s="10"/>
      <c r="I984" s="10"/>
      <c r="J984" s="10"/>
    </row>
    <row r="985">
      <c r="C985" s="38"/>
      <c r="D985" s="38"/>
      <c r="E985" s="10"/>
      <c r="I985" s="10"/>
      <c r="J985" s="10"/>
    </row>
    <row r="986">
      <c r="C986" s="38"/>
      <c r="D986" s="38"/>
      <c r="E986" s="10"/>
      <c r="I986" s="10"/>
      <c r="J986" s="10"/>
    </row>
    <row r="987">
      <c r="C987" s="38"/>
      <c r="D987" s="38"/>
      <c r="E987" s="10"/>
      <c r="I987" s="10"/>
      <c r="J987" s="10"/>
    </row>
    <row r="988">
      <c r="C988" s="38"/>
      <c r="D988" s="38"/>
      <c r="E988" s="10"/>
      <c r="I988" s="10"/>
      <c r="J988" s="10"/>
    </row>
    <row r="989">
      <c r="C989" s="38"/>
      <c r="D989" s="38"/>
      <c r="E989" s="10"/>
      <c r="I989" s="10"/>
      <c r="J989" s="10"/>
    </row>
    <row r="990">
      <c r="C990" s="38"/>
      <c r="D990" s="38"/>
      <c r="E990" s="10"/>
      <c r="I990" s="10"/>
      <c r="J990" s="10"/>
    </row>
    <row r="991">
      <c r="C991" s="38"/>
      <c r="D991" s="38"/>
      <c r="E991" s="10"/>
      <c r="I991" s="10"/>
      <c r="J991" s="10"/>
    </row>
    <row r="992">
      <c r="C992" s="38"/>
      <c r="D992" s="38"/>
      <c r="E992" s="10"/>
      <c r="I992" s="10"/>
      <c r="J992" s="10"/>
    </row>
    <row r="993">
      <c r="C993" s="38"/>
      <c r="D993" s="38"/>
      <c r="E993" s="10"/>
      <c r="I993" s="10"/>
      <c r="J993" s="10"/>
    </row>
    <row r="994">
      <c r="C994" s="38"/>
      <c r="D994" s="38"/>
      <c r="E994" s="10"/>
      <c r="I994" s="10"/>
      <c r="J994" s="10"/>
    </row>
    <row r="995">
      <c r="C995" s="38"/>
      <c r="D995" s="38"/>
      <c r="E995" s="10"/>
      <c r="I995" s="10"/>
      <c r="J995" s="10"/>
    </row>
    <row r="996">
      <c r="C996" s="38"/>
      <c r="D996" s="38"/>
      <c r="E996" s="10"/>
      <c r="I996" s="10"/>
      <c r="J996" s="10"/>
    </row>
    <row r="997">
      <c r="C997" s="38"/>
      <c r="D997" s="38"/>
      <c r="E997" s="10"/>
      <c r="I997" s="10"/>
      <c r="J997" s="10"/>
    </row>
  </sheetData>
  <dataValidations>
    <dataValidation type="custom" allowBlank="1" showDropDown="1" showErrorMessage="1" sqref="E2:E7 E10:E15 E17 E19:E21 E24:E25 E29:E30 E35:E38 E40:E44 E46:E47 E50:E53 E55 E57:E59 E63 E65 E69:E74 E76 E82 E87 E89 E91 E93 E95 E99:E101 E104:E106 E109:E110 E112:E113 E123">
      <formula1>OR(NOT(ISERROR(DATEVALUE(E2))), AND(ISNUMBER(E2), LEFT(CELL("format", E2))="D"))</formula1>
    </dataValidation>
    <dataValidation type="decimal" allowBlank="1" showDropDown="1" showErrorMessage="1" sqref="F2:F6 F10:F15 F17 F19:F21 F24:F25 F29:F30 F35:F38 F40:F44 F46:F47 F50:F53 F57:F59 F63 F65 F69:F74 F76 F82 F87 F89 F91 F93 F95 F99:F101 F104:F106 F109:F110 F112:F113">
      <formula1>1.0</formula1>
      <formula2>15.0</formula2>
    </dataValidation>
  </dataValidations>
  <hyperlinks>
    <hyperlink r:id="rId1" ref="H2"/>
    <hyperlink r:id="rId2" ref="K2"/>
    <hyperlink r:id="rId3" ref="H3"/>
    <hyperlink r:id="rId4" ref="H4"/>
    <hyperlink r:id="rId5" ref="H5"/>
    <hyperlink r:id="rId6" ref="K5"/>
    <hyperlink r:id="rId7" ref="H6"/>
    <hyperlink r:id="rId8" ref="K6"/>
    <hyperlink r:id="rId9" ref="H7"/>
    <hyperlink r:id="rId10" ref="H8"/>
    <hyperlink r:id="rId11" ref="H9"/>
    <hyperlink r:id="rId12" ref="H10"/>
    <hyperlink r:id="rId13" ref="H11"/>
    <hyperlink r:id="rId14" ref="H12"/>
    <hyperlink r:id="rId15" ref="H13"/>
    <hyperlink r:id="rId16" ref="H14"/>
    <hyperlink r:id="rId17" ref="H15"/>
    <hyperlink r:id="rId18" ref="K15"/>
    <hyperlink r:id="rId19" ref="H16"/>
    <hyperlink r:id="rId20" ref="H17"/>
    <hyperlink r:id="rId21" ref="H18"/>
    <hyperlink r:id="rId22" ref="H19"/>
    <hyperlink r:id="rId23" ref="H20"/>
    <hyperlink r:id="rId24" ref="H21"/>
    <hyperlink r:id="rId25" ref="H22"/>
    <hyperlink r:id="rId26" ref="H23"/>
    <hyperlink r:id="rId27" ref="H24"/>
    <hyperlink r:id="rId28" ref="H25"/>
    <hyperlink r:id="rId29" ref="K25"/>
    <hyperlink r:id="rId30" ref="H26"/>
    <hyperlink r:id="rId31" ref="K26"/>
    <hyperlink r:id="rId32" ref="H27"/>
    <hyperlink r:id="rId33" ref="H28"/>
    <hyperlink r:id="rId34" ref="H29"/>
    <hyperlink r:id="rId35" ref="H30"/>
    <hyperlink r:id="rId36" ref="H31"/>
    <hyperlink r:id="rId37" ref="H32"/>
    <hyperlink r:id="rId38" ref="H33"/>
    <hyperlink r:id="rId39" ref="H34"/>
    <hyperlink r:id="rId40" ref="H35"/>
    <hyperlink r:id="rId41" ref="K35"/>
    <hyperlink r:id="rId42" ref="H36"/>
    <hyperlink r:id="rId43" ref="H37"/>
    <hyperlink r:id="rId44" ref="H38"/>
    <hyperlink r:id="rId45" ref="H39"/>
    <hyperlink r:id="rId46" ref="H40"/>
    <hyperlink r:id="rId47" ref="H41"/>
    <hyperlink r:id="rId48" ref="H42"/>
    <hyperlink r:id="rId49" ref="H43"/>
    <hyperlink r:id="rId50" ref="H44"/>
    <hyperlink r:id="rId51" ref="H45"/>
    <hyperlink r:id="rId52" ref="K45"/>
    <hyperlink r:id="rId53" ref="H46"/>
    <hyperlink r:id="rId54" ref="H47"/>
    <hyperlink r:id="rId55" ref="H48"/>
    <hyperlink r:id="rId56" ref="H49"/>
    <hyperlink r:id="rId57" ref="H50"/>
    <hyperlink r:id="rId58" ref="H51"/>
    <hyperlink r:id="rId59" ref="H52"/>
    <hyperlink r:id="rId60" ref="H53"/>
    <hyperlink r:id="rId61" ref="H54"/>
    <hyperlink r:id="rId62" ref="H55"/>
    <hyperlink r:id="rId63" ref="K55"/>
    <hyperlink r:id="rId64" ref="H56"/>
    <hyperlink r:id="rId65" ref="H57"/>
    <hyperlink r:id="rId66" ref="H58"/>
    <hyperlink r:id="rId67" ref="H59"/>
    <hyperlink r:id="rId68" ref="H60"/>
    <hyperlink r:id="rId69" ref="H61"/>
    <hyperlink r:id="rId70" ref="H62"/>
    <hyperlink r:id="rId71" ref="H63"/>
    <hyperlink r:id="rId72" ref="H64"/>
    <hyperlink r:id="rId73" ref="H65"/>
    <hyperlink r:id="rId74" ref="K65"/>
    <hyperlink r:id="rId75" ref="H66"/>
    <hyperlink r:id="rId76" ref="H67"/>
    <hyperlink r:id="rId77" ref="H68"/>
    <hyperlink r:id="rId78" ref="H69"/>
    <hyperlink r:id="rId79" ref="H70"/>
    <hyperlink r:id="rId80" ref="H71"/>
    <hyperlink r:id="rId81" ref="H72"/>
    <hyperlink r:id="rId82" ref="H73"/>
    <hyperlink r:id="rId83" ref="H74"/>
    <hyperlink r:id="rId84" ref="H75"/>
    <hyperlink r:id="rId85" ref="K75"/>
    <hyperlink r:id="rId86" ref="H76"/>
    <hyperlink r:id="rId87" ref="H77"/>
    <hyperlink r:id="rId88" ref="H78"/>
    <hyperlink r:id="rId89" ref="H79"/>
    <hyperlink r:id="rId90" ref="H80"/>
    <hyperlink r:id="rId91" ref="H81"/>
    <hyperlink r:id="rId92" ref="H82"/>
    <hyperlink r:id="rId93" ref="H83"/>
    <hyperlink r:id="rId94" ref="H84"/>
    <hyperlink r:id="rId95" ref="H85"/>
    <hyperlink r:id="rId96" ref="K85"/>
    <hyperlink r:id="rId97" ref="H86"/>
    <hyperlink r:id="rId98" ref="H87"/>
    <hyperlink r:id="rId99" ref="H88"/>
    <hyperlink r:id="rId100" ref="H89"/>
    <hyperlink r:id="rId101" ref="H90"/>
    <hyperlink r:id="rId102" ref="H91"/>
    <hyperlink r:id="rId103" ref="H92"/>
    <hyperlink r:id="rId104" ref="H93"/>
    <hyperlink r:id="rId105" ref="H94"/>
    <hyperlink r:id="rId106" ref="H95"/>
    <hyperlink r:id="rId107" ref="K95"/>
    <hyperlink r:id="rId108" ref="H96"/>
    <hyperlink r:id="rId109" ref="H97"/>
    <hyperlink r:id="rId110" ref="H98"/>
    <hyperlink r:id="rId111" ref="H99"/>
    <hyperlink r:id="rId112" ref="H100"/>
    <hyperlink r:id="rId113" ref="H101"/>
    <hyperlink r:id="rId114" ref="H102"/>
    <hyperlink r:id="rId115" ref="H103"/>
    <hyperlink r:id="rId116" ref="H104"/>
    <hyperlink r:id="rId117" ref="H105"/>
    <hyperlink r:id="rId118" ref="K105"/>
    <hyperlink r:id="rId119" ref="H106"/>
    <hyperlink r:id="rId120" ref="H107"/>
    <hyperlink r:id="rId121" ref="H108"/>
    <hyperlink r:id="rId122" ref="H109"/>
    <hyperlink r:id="rId123" ref="H110"/>
    <hyperlink r:id="rId124" ref="H111"/>
    <hyperlink r:id="rId125" ref="H112"/>
    <hyperlink r:id="rId126" ref="H113"/>
    <hyperlink r:id="rId127" ref="H114"/>
    <hyperlink r:id="rId128" ref="H115"/>
    <hyperlink r:id="rId129" ref="K115"/>
    <hyperlink r:id="rId130" ref="H116"/>
    <hyperlink r:id="rId131" ref="H117"/>
    <hyperlink r:id="rId132" ref="H118"/>
    <hyperlink r:id="rId133" ref="H119"/>
    <hyperlink r:id="rId134" ref="H120"/>
    <hyperlink r:id="rId135" ref="H121"/>
    <hyperlink r:id="rId136" ref="K121"/>
    <hyperlink r:id="rId137" ref="H122"/>
    <hyperlink r:id="rId138" ref="H123"/>
    <hyperlink r:id="rId139" ref="H124"/>
    <hyperlink r:id="rId140" ref="K124"/>
    <hyperlink r:id="rId141" ref="H125"/>
    <hyperlink r:id="rId142" ref="H126"/>
    <hyperlink r:id="rId143" ref="H127"/>
    <hyperlink r:id="rId144" ref="H128"/>
    <hyperlink r:id="rId145" ref="H129"/>
    <hyperlink r:id="rId146" ref="H130"/>
    <hyperlink r:id="rId147" ref="H131"/>
    <hyperlink r:id="rId148" ref="H132"/>
    <hyperlink r:id="rId149" ref="H133"/>
    <hyperlink r:id="rId150" ref="H134"/>
    <hyperlink r:id="rId151" ref="H135"/>
    <hyperlink r:id="rId152" ref="H136"/>
    <hyperlink r:id="rId153" ref="H137"/>
    <hyperlink r:id="rId154" ref="H138"/>
    <hyperlink r:id="rId155" ref="H139"/>
    <hyperlink r:id="rId156" ref="H140"/>
    <hyperlink r:id="rId157" ref="H141"/>
    <hyperlink r:id="rId158" ref="H142"/>
    <hyperlink r:id="rId159" ref="H143"/>
    <hyperlink r:id="rId160" ref="H144"/>
    <hyperlink r:id="rId161" ref="H145"/>
    <hyperlink r:id="rId162" ref="H146"/>
    <hyperlink r:id="rId163" ref="H147"/>
    <hyperlink r:id="rId164" ref="H148"/>
    <hyperlink r:id="rId165" ref="H149"/>
    <hyperlink r:id="rId166" ref="H150"/>
    <hyperlink r:id="rId167" ref="H151"/>
    <hyperlink r:id="rId168" ref="H152"/>
    <hyperlink r:id="rId169" ref="H153"/>
    <hyperlink r:id="rId170" ref="H154"/>
    <hyperlink r:id="rId171" ref="H155"/>
    <hyperlink r:id="rId172" ref="H156"/>
    <hyperlink r:id="rId173" ref="H157"/>
    <hyperlink r:id="rId174" ref="H158"/>
    <hyperlink r:id="rId175" ref="H159"/>
    <hyperlink r:id="rId176" ref="H160"/>
    <hyperlink r:id="rId177" ref="H161"/>
    <hyperlink r:id="rId178" ref="H162"/>
    <hyperlink r:id="rId179" ref="H163"/>
    <hyperlink r:id="rId180" ref="H164"/>
    <hyperlink r:id="rId181" ref="H165"/>
    <hyperlink r:id="rId182" ref="H166"/>
    <hyperlink r:id="rId183" ref="H167"/>
    <hyperlink r:id="rId184" ref="H168"/>
    <hyperlink r:id="rId185" ref="H169"/>
    <hyperlink r:id="rId186" ref="H170"/>
    <hyperlink r:id="rId187" ref="H171"/>
    <hyperlink r:id="rId188" ref="H172"/>
    <hyperlink r:id="rId189" ref="H173"/>
  </hyperlinks>
  <drawing r:id="rId19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23.75"/>
    <col customWidth="1" min="3" max="3" width="48.25"/>
    <col customWidth="1" min="4" max="4" width="50.75"/>
    <col customWidth="1" min="11" max="11" width="38.25"/>
  </cols>
  <sheetData>
    <row r="1">
      <c r="A1" s="11" t="s">
        <v>0</v>
      </c>
      <c r="B1" s="11" t="s">
        <v>1</v>
      </c>
      <c r="C1" s="12" t="s">
        <v>1119</v>
      </c>
      <c r="D1" s="12" t="s">
        <v>1120</v>
      </c>
      <c r="E1" s="12" t="s">
        <v>1121</v>
      </c>
      <c r="F1" s="12" t="s">
        <v>1122</v>
      </c>
      <c r="G1" s="12" t="s">
        <v>1123</v>
      </c>
      <c r="H1" s="12" t="s">
        <v>1124</v>
      </c>
      <c r="I1" s="13" t="s">
        <v>8</v>
      </c>
      <c r="J1" s="13" t="s">
        <v>9</v>
      </c>
      <c r="K1" s="11" t="s">
        <v>10</v>
      </c>
    </row>
    <row r="2">
      <c r="A2" s="5">
        <v>1.0</v>
      </c>
      <c r="B2" s="44" t="str">
        <f>VLOOKUP(A2,vaccines!A:B,2)</f>
        <v>BCG_Microgen</v>
      </c>
      <c r="C2" s="14" t="s">
        <v>1125</v>
      </c>
      <c r="D2" s="14" t="s">
        <v>1126</v>
      </c>
      <c r="E2" s="15">
        <v>45461.0</v>
      </c>
      <c r="F2" s="16"/>
      <c r="G2" s="16"/>
      <c r="H2" s="17" t="s">
        <v>13</v>
      </c>
      <c r="I2" s="18">
        <v>45156.0</v>
      </c>
      <c r="J2" s="19">
        <v>45517.0</v>
      </c>
      <c r="K2" s="20" t="s">
        <v>14</v>
      </c>
    </row>
    <row r="3">
      <c r="A3" s="5">
        <v>2.0</v>
      </c>
      <c r="B3" s="44" t="str">
        <f>VLOOKUP(A3,vaccines!A:B,2)</f>
        <v>BCG_M_Microgen</v>
      </c>
      <c r="C3" s="14" t="s">
        <v>1127</v>
      </c>
      <c r="D3" s="14" t="s">
        <v>1128</v>
      </c>
      <c r="E3" s="15">
        <v>45461.0</v>
      </c>
      <c r="F3" s="16"/>
      <c r="G3" s="16"/>
      <c r="H3" s="17" t="s">
        <v>17</v>
      </c>
      <c r="I3" s="18">
        <v>45108.0</v>
      </c>
      <c r="J3" s="19">
        <v>45517.0</v>
      </c>
    </row>
    <row r="4">
      <c r="A4" s="5">
        <v>3.0</v>
      </c>
      <c r="B4" s="44" t="str">
        <f>VLOOKUP(A4,vaccines!A:B,2)</f>
        <v>BCG_Gamaleya</v>
      </c>
      <c r="C4" s="14" t="s">
        <v>1129</v>
      </c>
      <c r="D4" s="14" t="s">
        <v>1130</v>
      </c>
      <c r="E4" s="15">
        <v>45769.0</v>
      </c>
      <c r="F4" s="21">
        <v>1.0</v>
      </c>
      <c r="G4" s="21">
        <v>0.0</v>
      </c>
      <c r="H4" s="17" t="s">
        <v>21</v>
      </c>
      <c r="I4" s="18">
        <v>45108.0</v>
      </c>
      <c r="J4" s="19">
        <v>45801.0</v>
      </c>
    </row>
    <row r="5">
      <c r="A5" s="5">
        <v>4.0</v>
      </c>
      <c r="B5" s="44" t="str">
        <f>VLOOKUP(A5,vaccines!A:B,2)</f>
        <v>BCG_M_Gamaleya</v>
      </c>
      <c r="C5" s="14" t="s">
        <v>1131</v>
      </c>
      <c r="D5" s="14" t="s">
        <v>1132</v>
      </c>
      <c r="E5" s="15">
        <v>45771.0</v>
      </c>
      <c r="F5" s="21">
        <v>1.0</v>
      </c>
      <c r="G5" s="21">
        <v>0.0</v>
      </c>
      <c r="H5" s="17" t="s">
        <v>24</v>
      </c>
      <c r="I5" s="15">
        <f>I4</f>
        <v>45108</v>
      </c>
      <c r="J5" s="19">
        <v>45818.0</v>
      </c>
    </row>
    <row r="6">
      <c r="A6" s="5">
        <v>5.0</v>
      </c>
      <c r="B6" s="44" t="str">
        <f>VLOOKUP(A6,vaccines!A:B,2)</f>
        <v>Infanrix</v>
      </c>
      <c r="C6" s="14" t="s">
        <v>1133</v>
      </c>
      <c r="D6" s="14" t="s">
        <v>1134</v>
      </c>
      <c r="E6" s="15">
        <v>44211.0</v>
      </c>
      <c r="F6" s="16"/>
      <c r="G6" s="16"/>
      <c r="H6" s="17" t="s">
        <v>27</v>
      </c>
      <c r="I6" s="18">
        <v>45105.0</v>
      </c>
      <c r="J6" s="19">
        <v>45481.0</v>
      </c>
      <c r="K6" s="20" t="s">
        <v>14</v>
      </c>
    </row>
    <row r="7">
      <c r="A7" s="5">
        <v>6.0</v>
      </c>
      <c r="B7" s="44" t="str">
        <f>VLOOKUP(A7,vaccines!A:B,2)</f>
        <v>AKDS_Microgen</v>
      </c>
      <c r="C7" s="14" t="s">
        <v>1135</v>
      </c>
      <c r="D7" s="14" t="s">
        <v>1136</v>
      </c>
      <c r="E7" s="19">
        <v>45415.0</v>
      </c>
      <c r="F7" s="16"/>
      <c r="G7" s="16"/>
      <c r="H7" s="17" t="s">
        <v>30</v>
      </c>
      <c r="I7" s="22">
        <v>45115.0</v>
      </c>
      <c r="J7" s="22">
        <v>45461.0</v>
      </c>
      <c r="K7" s="20" t="s">
        <v>18</v>
      </c>
    </row>
    <row r="8">
      <c r="A8" s="5">
        <v>7.0</v>
      </c>
      <c r="B8" s="44" t="str">
        <f>VLOOKUP(A8,vaccines!A:B,2)</f>
        <v>AKDS_Biomed</v>
      </c>
      <c r="C8" s="14" t="s">
        <v>1137</v>
      </c>
      <c r="D8" s="14" t="s">
        <v>1138</v>
      </c>
      <c r="E8" s="22">
        <v>41388.0</v>
      </c>
      <c r="F8" s="23">
        <v>1.0</v>
      </c>
      <c r="G8" s="23">
        <v>0.0</v>
      </c>
      <c r="H8" s="24" t="s">
        <v>33</v>
      </c>
      <c r="I8" s="22">
        <v>45115.0</v>
      </c>
      <c r="J8" s="10"/>
    </row>
    <row r="9">
      <c r="A9" s="5">
        <v>8.0</v>
      </c>
      <c r="B9" s="44" t="str">
        <f>VLOOKUP(A9,vaccines!A:B,2)</f>
        <v>Bubo_kok</v>
      </c>
      <c r="C9" s="14" t="s">
        <v>1139</v>
      </c>
      <c r="D9" s="14" t="s">
        <v>1140</v>
      </c>
      <c r="E9" s="22">
        <v>40395.0</v>
      </c>
      <c r="F9" s="23">
        <v>1.0</v>
      </c>
      <c r="G9" s="23">
        <v>0.0</v>
      </c>
      <c r="H9" s="25" t="s">
        <v>36</v>
      </c>
      <c r="I9" s="22">
        <v>45115.0</v>
      </c>
      <c r="J9" s="10"/>
    </row>
    <row r="10">
      <c r="A10" s="5">
        <v>9.0</v>
      </c>
      <c r="B10" s="44" t="str">
        <f>VLOOKUP(A10,vaccines!A:B,2)</f>
        <v>Pentaxim</v>
      </c>
      <c r="C10" s="14" t="s">
        <v>1141</v>
      </c>
      <c r="D10" s="14" t="s">
        <v>1142</v>
      </c>
      <c r="E10" s="15">
        <v>45980.0</v>
      </c>
      <c r="F10" s="21">
        <v>1.0</v>
      </c>
      <c r="G10" s="21">
        <v>0.0</v>
      </c>
      <c r="H10" s="17" t="s">
        <v>39</v>
      </c>
      <c r="I10" s="15">
        <f t="shared" ref="I10:I11" si="1">I9</f>
        <v>45115</v>
      </c>
      <c r="J10" s="19">
        <v>46204.0</v>
      </c>
    </row>
    <row r="11">
      <c r="A11" s="5">
        <v>10.0</v>
      </c>
      <c r="B11" s="44" t="str">
        <f>VLOOKUP(A11,vaccines!A:B,2)</f>
        <v>Infanrix_Hexa</v>
      </c>
      <c r="C11" s="14" t="s">
        <v>1143</v>
      </c>
      <c r="D11" s="14" t="s">
        <v>1144</v>
      </c>
      <c r="E11" s="15">
        <v>45953.0</v>
      </c>
      <c r="F11" s="21">
        <v>1.0</v>
      </c>
      <c r="G11" s="21">
        <v>0.0</v>
      </c>
      <c r="H11" s="17" t="s">
        <v>43</v>
      </c>
      <c r="I11" s="15">
        <f t="shared" si="1"/>
        <v>45115</v>
      </c>
      <c r="J11" s="19">
        <v>46000.0</v>
      </c>
    </row>
    <row r="12">
      <c r="A12" s="5">
        <v>11.0</v>
      </c>
      <c r="B12" s="44" t="str">
        <f>VLOOKUP(A12,vaccines!A:B,2)</f>
        <v>Bubo_M</v>
      </c>
      <c r="C12" s="14" t="s">
        <v>1145</v>
      </c>
      <c r="D12" s="14" t="s">
        <v>1146</v>
      </c>
      <c r="E12" s="15">
        <v>46136.0</v>
      </c>
      <c r="F12" s="21">
        <v>1.0</v>
      </c>
      <c r="G12" s="21">
        <v>0.0</v>
      </c>
      <c r="H12" s="17" t="s">
        <v>46</v>
      </c>
      <c r="I12" s="27">
        <v>45116.0</v>
      </c>
      <c r="J12" s="19">
        <v>46188.0</v>
      </c>
    </row>
    <row r="13">
      <c r="A13" s="5">
        <v>12.0</v>
      </c>
      <c r="B13" s="44" t="str">
        <f>VLOOKUP(A13,vaccines!A:B,2)</f>
        <v>AD_M_Microgen</v>
      </c>
      <c r="C13" s="14" t="s">
        <v>1147</v>
      </c>
      <c r="D13" s="14" t="s">
        <v>1148</v>
      </c>
      <c r="E13" s="15">
        <v>45482.0</v>
      </c>
      <c r="F13" s="16"/>
      <c r="G13" s="16"/>
      <c r="H13" s="17" t="s">
        <v>49</v>
      </c>
      <c r="I13" s="15">
        <f t="shared" ref="I13:I15" si="2">I12</f>
        <v>45116</v>
      </c>
      <c r="J13" s="19">
        <v>45518.0</v>
      </c>
    </row>
    <row r="14">
      <c r="A14" s="5">
        <v>13.0</v>
      </c>
      <c r="B14" s="44" t="str">
        <f>VLOOKUP(A14,vaccines!A:B,2)</f>
        <v>ADS_Microgen</v>
      </c>
      <c r="C14" s="14" t="s">
        <v>1149</v>
      </c>
      <c r="D14" s="14" t="s">
        <v>1150</v>
      </c>
      <c r="E14" s="15">
        <v>45488.0</v>
      </c>
      <c r="F14" s="16"/>
      <c r="G14" s="16"/>
      <c r="H14" s="17" t="s">
        <v>52</v>
      </c>
      <c r="I14" s="15">
        <f t="shared" si="2"/>
        <v>45116</v>
      </c>
      <c r="J14" s="19">
        <v>45518.0</v>
      </c>
    </row>
    <row r="15">
      <c r="A15" s="5">
        <v>14.0</v>
      </c>
      <c r="B15" s="44" t="str">
        <f>VLOOKUP(A15,vaccines!A:B,2)</f>
        <v>ADS_M_Microgen</v>
      </c>
      <c r="C15" s="14" t="s">
        <v>1151</v>
      </c>
      <c r="D15" s="14" t="s">
        <v>1152</v>
      </c>
      <c r="E15" s="15">
        <v>45623.0</v>
      </c>
      <c r="F15" s="21">
        <v>1.0</v>
      </c>
      <c r="G15" s="21">
        <v>0.0</v>
      </c>
      <c r="H15" s="17" t="s">
        <v>55</v>
      </c>
      <c r="I15" s="15">
        <f t="shared" si="2"/>
        <v>45116</v>
      </c>
      <c r="J15" s="19">
        <v>45861.0</v>
      </c>
    </row>
    <row r="16">
      <c r="A16" s="5">
        <v>15.0</v>
      </c>
      <c r="B16" s="44" t="str">
        <f>VLOOKUP(A16,vaccines!A:B,2)</f>
        <v>ADS_M_Biomed</v>
      </c>
      <c r="C16" s="14" t="s">
        <v>1153</v>
      </c>
      <c r="D16" s="14" t="s">
        <v>1154</v>
      </c>
      <c r="E16" s="28">
        <v>41046.0</v>
      </c>
      <c r="F16" s="23">
        <v>1.0</v>
      </c>
      <c r="G16" s="23">
        <v>0.0</v>
      </c>
      <c r="H16" s="24" t="s">
        <v>58</v>
      </c>
      <c r="I16" s="22">
        <v>45116.0</v>
      </c>
      <c r="J16" s="10"/>
      <c r="K16" s="20" t="s">
        <v>18</v>
      </c>
    </row>
    <row r="17">
      <c r="A17" s="5">
        <v>16.0</v>
      </c>
      <c r="B17" s="44" t="str">
        <f>VLOOKUP(A17,vaccines!A:B,2)</f>
        <v>Adacel</v>
      </c>
      <c r="C17" s="14" t="s">
        <v>1155</v>
      </c>
      <c r="D17" s="14" t="s">
        <v>1156</v>
      </c>
      <c r="E17" s="15">
        <v>45456.0</v>
      </c>
      <c r="F17" s="16"/>
      <c r="G17" s="16"/>
      <c r="H17" s="29" t="s">
        <v>61</v>
      </c>
      <c r="I17" s="18">
        <v>45117.0</v>
      </c>
      <c r="J17" s="19">
        <v>45589.0</v>
      </c>
    </row>
    <row r="18">
      <c r="A18" s="5">
        <v>17.0</v>
      </c>
      <c r="B18" s="44" t="str">
        <f>VLOOKUP(A18,vaccines!A:B,2)</f>
        <v>Algavac_M</v>
      </c>
      <c r="C18" s="14" t="s">
        <v>1157</v>
      </c>
      <c r="D18" s="14" t="s">
        <v>1158</v>
      </c>
      <c r="E18" s="22">
        <v>43369.0</v>
      </c>
      <c r="F18" s="23">
        <v>1.0</v>
      </c>
      <c r="G18" s="23">
        <v>0.0</v>
      </c>
      <c r="H18" s="24" t="s">
        <v>64</v>
      </c>
      <c r="I18" s="22">
        <v>45117.0</v>
      </c>
      <c r="J18" s="10"/>
    </row>
    <row r="19">
      <c r="A19" s="5">
        <v>18.0</v>
      </c>
      <c r="B19" s="44" t="str">
        <f>VLOOKUP(A19,vaccines!A:B,2)</f>
        <v>Algavac</v>
      </c>
      <c r="C19" s="14" t="s">
        <v>1159</v>
      </c>
      <c r="D19" s="14" t="s">
        <v>1160</v>
      </c>
      <c r="E19" s="15">
        <v>46111.0</v>
      </c>
      <c r="F19" s="21">
        <v>1.0</v>
      </c>
      <c r="G19" s="21">
        <v>0.0</v>
      </c>
      <c r="H19" s="17" t="s">
        <v>67</v>
      </c>
      <c r="I19" s="15">
        <f>I18</f>
        <v>45117</v>
      </c>
      <c r="J19" s="19">
        <v>46188.0</v>
      </c>
    </row>
    <row r="20">
      <c r="A20" s="5">
        <v>19.0</v>
      </c>
      <c r="B20" s="44" t="str">
        <f>VLOOKUP(A20,vaccines!A:B,2)</f>
        <v>Havrix_720</v>
      </c>
      <c r="C20" s="14" t="s">
        <v>1161</v>
      </c>
      <c r="D20" s="14" t="s">
        <v>1162</v>
      </c>
      <c r="E20" s="15">
        <v>45490.0</v>
      </c>
      <c r="F20" s="16"/>
      <c r="G20" s="16"/>
      <c r="H20" s="17" t="s">
        <v>70</v>
      </c>
      <c r="I20" s="22">
        <v>45119.0</v>
      </c>
      <c r="J20" s="19">
        <v>45558.0</v>
      </c>
    </row>
    <row r="21">
      <c r="A21" s="5">
        <v>20.0</v>
      </c>
      <c r="B21" s="44" t="str">
        <f>VLOOKUP(A21,vaccines!A:B,2)</f>
        <v>Havrix_1440</v>
      </c>
      <c r="C21" s="14" t="s">
        <v>1161</v>
      </c>
      <c r="D21" s="14" t="s">
        <v>1162</v>
      </c>
      <c r="E21" s="15">
        <v>45490.0</v>
      </c>
      <c r="F21" s="21"/>
      <c r="G21" s="21"/>
      <c r="H21" s="17" t="s">
        <v>70</v>
      </c>
      <c r="I21" s="22">
        <v>45119.0</v>
      </c>
      <c r="J21" s="19">
        <v>45558.0</v>
      </c>
    </row>
    <row r="22">
      <c r="A22" s="5">
        <v>21.0</v>
      </c>
      <c r="B22" s="44" t="str">
        <f>VLOOKUP(A22,vaccines!A:B,2)</f>
        <v>Avaxim_80</v>
      </c>
      <c r="C22" s="14" t="s">
        <v>1163</v>
      </c>
      <c r="D22" s="14" t="s">
        <v>1164</v>
      </c>
      <c r="E22" s="22">
        <v>43500.0</v>
      </c>
      <c r="F22" s="23">
        <v>3.0</v>
      </c>
      <c r="G22" s="23">
        <v>2.0</v>
      </c>
      <c r="H22" s="25" t="s">
        <v>567</v>
      </c>
      <c r="I22" s="22">
        <v>45119.0</v>
      </c>
      <c r="J22" s="10"/>
    </row>
    <row r="23">
      <c r="A23" s="5">
        <v>22.0</v>
      </c>
      <c r="B23" s="44" t="str">
        <f>VLOOKUP(A23,vaccines!A:B,2)</f>
        <v>Avaxim_160</v>
      </c>
      <c r="C23" s="14" t="s">
        <v>1165</v>
      </c>
      <c r="D23" s="14" t="s">
        <v>1166</v>
      </c>
      <c r="E23" s="22">
        <v>42131.0</v>
      </c>
      <c r="F23" s="23">
        <v>1.0</v>
      </c>
      <c r="G23" s="23">
        <v>0.0</v>
      </c>
      <c r="H23" s="25" t="s">
        <v>78</v>
      </c>
      <c r="I23" s="22">
        <v>45119.0</v>
      </c>
      <c r="J23" s="10"/>
    </row>
    <row r="24">
      <c r="A24" s="5">
        <v>23.0</v>
      </c>
      <c r="B24" s="44" t="str">
        <f>VLOOKUP(A24,vaccines!A:B,2)</f>
        <v>Regevac_0_5</v>
      </c>
      <c r="C24" s="14" t="s">
        <v>1167</v>
      </c>
      <c r="D24" s="14" t="s">
        <v>1168</v>
      </c>
      <c r="E24" s="15">
        <v>45216.0</v>
      </c>
      <c r="F24" s="21">
        <v>1.0</v>
      </c>
      <c r="G24" s="21">
        <v>0.0</v>
      </c>
      <c r="H24" s="17" t="s">
        <v>81</v>
      </c>
      <c r="I24" s="15">
        <f t="shared" ref="I24:I25" si="3">I23</f>
        <v>45119</v>
      </c>
      <c r="J24" s="19">
        <v>45988.0</v>
      </c>
    </row>
    <row r="25">
      <c r="A25" s="5">
        <v>24.0</v>
      </c>
      <c r="B25" s="44" t="str">
        <f>VLOOKUP(A25,vaccines!A:B,2)</f>
        <v>HepB_Combiotech_0_5</v>
      </c>
      <c r="C25" s="14" t="s">
        <v>1169</v>
      </c>
      <c r="D25" s="14" t="s">
        <v>1170</v>
      </c>
      <c r="E25" s="15">
        <v>46056.0</v>
      </c>
      <c r="F25" s="21">
        <v>1.0</v>
      </c>
      <c r="G25" s="21">
        <v>0.0</v>
      </c>
      <c r="H25" s="17" t="s">
        <v>84</v>
      </c>
      <c r="I25" s="15">
        <f t="shared" si="3"/>
        <v>45119</v>
      </c>
      <c r="J25" s="19">
        <v>46130.0</v>
      </c>
    </row>
    <row r="26">
      <c r="A26" s="5">
        <v>25.0</v>
      </c>
      <c r="B26" s="44" t="str">
        <f>VLOOKUP(A26,vaccines!A:B,2)</f>
        <v>Euvax_B_0_5</v>
      </c>
      <c r="C26" s="14" t="s">
        <v>1171</v>
      </c>
      <c r="D26" s="14" t="s">
        <v>1172</v>
      </c>
      <c r="E26" s="22">
        <v>42410.0</v>
      </c>
      <c r="F26" s="23">
        <v>2.0</v>
      </c>
      <c r="G26" s="23">
        <v>1.0</v>
      </c>
      <c r="H26" s="24" t="s">
        <v>87</v>
      </c>
      <c r="I26" s="22">
        <v>45120.0</v>
      </c>
      <c r="J26" s="10"/>
      <c r="K26" s="20" t="s">
        <v>18</v>
      </c>
    </row>
    <row r="27">
      <c r="A27" s="5">
        <v>26.0</v>
      </c>
      <c r="B27" s="44" t="str">
        <f>VLOOKUP(A27,vaccines!A:B,2)</f>
        <v>Euvax_B_1_0</v>
      </c>
      <c r="C27" s="14" t="s">
        <v>1173</v>
      </c>
      <c r="D27" s="14" t="s">
        <v>1174</v>
      </c>
      <c r="E27" s="22">
        <v>42410.0</v>
      </c>
      <c r="F27" s="23">
        <v>2.0</v>
      </c>
      <c r="G27" s="23">
        <v>1.0</v>
      </c>
      <c r="H27" s="24" t="s">
        <v>87</v>
      </c>
      <c r="I27" s="22">
        <v>45120.0</v>
      </c>
      <c r="J27" s="10"/>
    </row>
    <row r="28">
      <c r="A28" s="5">
        <v>27.0</v>
      </c>
      <c r="B28" s="44" t="str">
        <f>VLOOKUP(A28,vaccines!A:B,2)</f>
        <v>Cervarix</v>
      </c>
      <c r="C28" s="14" t="s">
        <v>1175</v>
      </c>
      <c r="D28" s="14" t="s">
        <v>1176</v>
      </c>
      <c r="E28" s="15">
        <v>45513.0</v>
      </c>
      <c r="F28" s="16"/>
      <c r="G28" s="16"/>
      <c r="H28" s="17" t="s">
        <v>92</v>
      </c>
      <c r="I28" s="15">
        <f>I27</f>
        <v>45120</v>
      </c>
      <c r="J28" s="19">
        <v>45589.0</v>
      </c>
    </row>
    <row r="29">
      <c r="A29" s="5">
        <v>28.0</v>
      </c>
      <c r="B29" s="44" t="str">
        <f>VLOOKUP(A29,vaccines!A:B,2)</f>
        <v>Gardasil_4</v>
      </c>
      <c r="C29" s="14" t="s">
        <v>1177</v>
      </c>
      <c r="D29" s="14" t="s">
        <v>1178</v>
      </c>
      <c r="E29" s="15">
        <v>45386.0</v>
      </c>
      <c r="F29" s="16"/>
      <c r="G29" s="16"/>
      <c r="H29" s="17" t="s">
        <v>95</v>
      </c>
      <c r="I29" s="22">
        <v>45120.0</v>
      </c>
      <c r="J29" s="22">
        <v>45483.0</v>
      </c>
    </row>
    <row r="30">
      <c r="A30" s="5">
        <v>29.0</v>
      </c>
      <c r="B30" s="44" t="str">
        <f>VLOOKUP(A30,vaccines!A:B,2)</f>
        <v>Sputnik</v>
      </c>
      <c r="C30" s="14" t="s">
        <v>1179</v>
      </c>
      <c r="D30" s="14" t="s">
        <v>1180</v>
      </c>
      <c r="E30" s="15">
        <v>45839.0</v>
      </c>
      <c r="F30" s="21">
        <v>1.0</v>
      </c>
      <c r="G30" s="21">
        <v>0.0</v>
      </c>
      <c r="H30" s="17" t="s">
        <v>98</v>
      </c>
      <c r="I30" s="18">
        <v>45121.0</v>
      </c>
      <c r="J30" s="19">
        <v>45923.0</v>
      </c>
    </row>
    <row r="31">
      <c r="A31" s="5">
        <v>30.0</v>
      </c>
      <c r="B31" s="44" t="str">
        <f>VLOOKUP(A31,vaccines!A:B,2)</f>
        <v>Sputnik_Lyo</v>
      </c>
      <c r="C31" s="14" t="s">
        <v>1181</v>
      </c>
      <c r="D31" s="14" t="s">
        <v>1182</v>
      </c>
      <c r="E31" s="22">
        <v>44068.0</v>
      </c>
      <c r="F31" s="23">
        <v>1.0</v>
      </c>
      <c r="G31" s="23">
        <v>0.0</v>
      </c>
      <c r="H31" s="25" t="s">
        <v>585</v>
      </c>
      <c r="I31" s="22">
        <v>45121.0</v>
      </c>
      <c r="J31" s="10"/>
    </row>
    <row r="32">
      <c r="A32" s="5">
        <v>31.0</v>
      </c>
      <c r="B32" s="44" t="str">
        <f>VLOOKUP(A32,vaccines!A:B,2)</f>
        <v>EpiVacCorona</v>
      </c>
      <c r="C32" s="14" t="s">
        <v>1181</v>
      </c>
      <c r="D32" s="14" t="s">
        <v>1182</v>
      </c>
      <c r="E32" s="22">
        <v>44911.0</v>
      </c>
      <c r="F32" s="23">
        <v>1.0</v>
      </c>
      <c r="G32" s="23">
        <v>0.0</v>
      </c>
      <c r="H32" s="25" t="s">
        <v>104</v>
      </c>
      <c r="I32" s="22">
        <v>45122.0</v>
      </c>
      <c r="J32" s="10"/>
    </row>
    <row r="33">
      <c r="A33" s="5">
        <v>32.0</v>
      </c>
      <c r="B33" s="44" t="str">
        <f>VLOOKUP(A33,vaccines!A:B,2)</f>
        <v>Grippol_Microgen</v>
      </c>
      <c r="C33" s="14" t="s">
        <v>1183</v>
      </c>
      <c r="D33" s="14" t="s">
        <v>1184</v>
      </c>
      <c r="E33" s="22">
        <v>41411.0</v>
      </c>
      <c r="F33" s="23">
        <v>1.0</v>
      </c>
      <c r="G33" s="23">
        <v>0.0</v>
      </c>
      <c r="H33" s="25" t="s">
        <v>107</v>
      </c>
      <c r="I33" s="22">
        <v>45122.0</v>
      </c>
      <c r="J33" s="10"/>
    </row>
    <row r="34">
      <c r="A34" s="5">
        <v>33.0</v>
      </c>
      <c r="B34" s="44" t="str">
        <f>VLOOKUP(A34,vaccines!A:B,2)</f>
        <v>Grippol_Petrovax</v>
      </c>
      <c r="C34" s="14" t="s">
        <v>1185</v>
      </c>
      <c r="D34" s="14" t="s">
        <v>1186</v>
      </c>
      <c r="E34" s="22">
        <v>40634.0</v>
      </c>
      <c r="F34" s="23">
        <v>1.0</v>
      </c>
      <c r="G34" s="23">
        <v>0.0</v>
      </c>
      <c r="H34" s="25" t="s">
        <v>110</v>
      </c>
      <c r="I34" s="22">
        <v>45122.0</v>
      </c>
      <c r="J34" s="10"/>
    </row>
    <row r="35">
      <c r="A35" s="5">
        <v>34.0</v>
      </c>
      <c r="B35" s="44" t="str">
        <f>VLOOKUP(A35,vaccines!A:B,2)</f>
        <v>Grippol_plus_0_5</v>
      </c>
      <c r="C35" s="14" t="s">
        <v>1187</v>
      </c>
      <c r="D35" s="14" t="s">
        <v>1188</v>
      </c>
      <c r="E35" s="15">
        <v>45182.0</v>
      </c>
      <c r="F35" s="16"/>
      <c r="G35" s="16"/>
      <c r="H35" s="17" t="s">
        <v>113</v>
      </c>
      <c r="I35" s="22">
        <v>45122.0</v>
      </c>
      <c r="J35" s="22">
        <v>45483.0</v>
      </c>
    </row>
    <row r="36">
      <c r="A36" s="5">
        <v>35.0</v>
      </c>
      <c r="B36" s="44" t="str">
        <f>VLOOKUP(A36,vaccines!A:B,2)</f>
        <v>Sovigripp</v>
      </c>
      <c r="C36" s="14" t="s">
        <v>1189</v>
      </c>
      <c r="D36" s="14" t="s">
        <v>1190</v>
      </c>
      <c r="E36" s="15">
        <v>45580.0</v>
      </c>
      <c r="F36" s="16"/>
      <c r="G36" s="16"/>
      <c r="H36" s="29" t="s">
        <v>116</v>
      </c>
      <c r="I36" s="15">
        <f>I35</f>
        <v>45122</v>
      </c>
      <c r="J36" s="19">
        <v>45622.0</v>
      </c>
      <c r="K36" s="20" t="s">
        <v>18</v>
      </c>
    </row>
    <row r="37">
      <c r="A37" s="5">
        <v>36.0</v>
      </c>
      <c r="B37" s="44" t="str">
        <f>VLOOKUP(A37,vaccines!A:B,2)</f>
        <v>Ultrix</v>
      </c>
      <c r="C37" s="14" t="s">
        <v>1191</v>
      </c>
      <c r="D37" s="14" t="s">
        <v>1192</v>
      </c>
      <c r="E37" s="15">
        <v>45211.0</v>
      </c>
      <c r="F37" s="16"/>
      <c r="G37" s="16"/>
      <c r="H37" s="17" t="s">
        <v>119</v>
      </c>
      <c r="I37" s="22">
        <v>45123.0</v>
      </c>
      <c r="J37" s="22">
        <v>45483.0</v>
      </c>
    </row>
    <row r="38">
      <c r="A38" s="5">
        <v>37.0</v>
      </c>
      <c r="B38" s="44" t="str">
        <f>VLOOKUP(A38,vaccines!A:B,2)</f>
        <v>Flu_M</v>
      </c>
      <c r="C38" s="14" t="s">
        <v>1193</v>
      </c>
      <c r="D38" s="14" t="s">
        <v>1194</v>
      </c>
      <c r="E38" s="15">
        <v>46035.0</v>
      </c>
      <c r="F38" s="21">
        <v>1.0</v>
      </c>
      <c r="G38" s="21">
        <v>0.0</v>
      </c>
      <c r="H38" s="17" t="s">
        <v>122</v>
      </c>
      <c r="I38" s="15">
        <f>I37</f>
        <v>45123</v>
      </c>
      <c r="J38" s="19">
        <v>46130.0</v>
      </c>
    </row>
    <row r="39">
      <c r="A39" s="5">
        <v>38.0</v>
      </c>
      <c r="B39" s="44" t="str">
        <f>VLOOKUP(A39,vaccines!A:B,2)</f>
        <v>Vaxigrip</v>
      </c>
      <c r="C39" s="14" t="s">
        <v>1195</v>
      </c>
      <c r="D39" s="14" t="s">
        <v>1196</v>
      </c>
      <c r="E39" s="22">
        <v>43598.0</v>
      </c>
      <c r="F39" s="23">
        <v>1.0</v>
      </c>
      <c r="G39" s="23">
        <v>0.0</v>
      </c>
      <c r="H39" s="25" t="s">
        <v>125</v>
      </c>
      <c r="I39" s="22">
        <v>45123.0</v>
      </c>
      <c r="J39" s="10"/>
    </row>
    <row r="40">
      <c r="A40" s="5">
        <v>39.0</v>
      </c>
      <c r="B40" s="44" t="str">
        <f>VLOOKUP(A40,vaccines!A:B,2)</f>
        <v>Influvac</v>
      </c>
      <c r="C40" s="14" t="s">
        <v>1197</v>
      </c>
      <c r="D40" s="14" t="s">
        <v>1198</v>
      </c>
      <c r="E40" s="15">
        <v>46066.0</v>
      </c>
      <c r="F40" s="21">
        <v>1.0</v>
      </c>
      <c r="G40" s="21">
        <v>0.0</v>
      </c>
      <c r="H40" s="17" t="s">
        <v>128</v>
      </c>
      <c r="I40" s="15">
        <f>I39</f>
        <v>45123</v>
      </c>
      <c r="J40" s="19">
        <v>46130.0</v>
      </c>
    </row>
    <row r="41">
      <c r="A41" s="5">
        <v>40.0</v>
      </c>
      <c r="B41" s="44" t="str">
        <f>VLOOKUP(A41,vaccines!A:B,2)</f>
        <v>Ultrix_quadri</v>
      </c>
      <c r="C41" s="14" t="s">
        <v>1199</v>
      </c>
      <c r="D41" s="14" t="s">
        <v>1200</v>
      </c>
      <c r="E41" s="15">
        <v>45524.0</v>
      </c>
      <c r="F41" s="16"/>
      <c r="G41" s="16"/>
      <c r="H41" s="29" t="s">
        <v>131</v>
      </c>
      <c r="I41" s="22">
        <v>45124.0</v>
      </c>
      <c r="J41" s="19">
        <v>45589.0</v>
      </c>
    </row>
    <row r="42">
      <c r="A42" s="5">
        <v>41.0</v>
      </c>
      <c r="B42" s="44" t="str">
        <f>VLOOKUP(A42,vaccines!A:B,2)</f>
        <v>Grippol_quadrivalent</v>
      </c>
      <c r="C42" s="14" t="s">
        <v>1201</v>
      </c>
      <c r="D42" s="14" t="s">
        <v>1202</v>
      </c>
      <c r="E42" s="15">
        <v>45727.0</v>
      </c>
      <c r="F42" s="21">
        <v>1.0</v>
      </c>
      <c r="G42" s="21">
        <v>0.0</v>
      </c>
      <c r="H42" s="17" t="s">
        <v>134</v>
      </c>
      <c r="I42" s="15">
        <f t="shared" ref="I42:I44" si="4">I41</f>
        <v>45124</v>
      </c>
      <c r="J42" s="19">
        <v>45818.0</v>
      </c>
    </row>
    <row r="43">
      <c r="A43" s="5">
        <v>42.0</v>
      </c>
      <c r="B43" s="44" t="str">
        <f>VLOOKUP(A43,vaccines!A:B,2)</f>
        <v>measles_Microgen</v>
      </c>
      <c r="C43" s="14" t="s">
        <v>1203</v>
      </c>
      <c r="D43" s="14" t="s">
        <v>1204</v>
      </c>
      <c r="E43" s="15">
        <v>45404.0</v>
      </c>
      <c r="F43" s="16"/>
      <c r="G43" s="16"/>
      <c r="H43" s="17" t="s">
        <v>137</v>
      </c>
      <c r="I43" s="15">
        <f t="shared" si="4"/>
        <v>45124</v>
      </c>
      <c r="J43" s="15">
        <v>45483.0</v>
      </c>
    </row>
    <row r="44">
      <c r="A44" s="5">
        <v>43.0</v>
      </c>
      <c r="B44" s="44" t="str">
        <f>VLOOKUP(A44,vaccines!A:B,2)</f>
        <v>measles_Serum_India</v>
      </c>
      <c r="C44" s="14" t="s">
        <v>1205</v>
      </c>
      <c r="D44" s="14" t="s">
        <v>1206</v>
      </c>
      <c r="E44" s="15">
        <v>45981.0</v>
      </c>
      <c r="F44" s="21">
        <v>1.0</v>
      </c>
      <c r="G44" s="21">
        <v>0.0</v>
      </c>
      <c r="H44" s="17" t="s">
        <v>140</v>
      </c>
      <c r="I44" s="15">
        <f t="shared" si="4"/>
        <v>45124</v>
      </c>
      <c r="J44" s="19">
        <v>46053.0</v>
      </c>
    </row>
    <row r="45">
      <c r="A45" s="5">
        <v>44.0</v>
      </c>
      <c r="B45" s="44" t="str">
        <f>VLOOKUP(A45,vaccines!A:B,2)</f>
        <v>measles_Vector</v>
      </c>
      <c r="C45" s="14" t="s">
        <v>1207</v>
      </c>
      <c r="D45" s="14" t="s">
        <v>1208</v>
      </c>
      <c r="E45" s="22">
        <v>39421.0</v>
      </c>
      <c r="F45" s="23">
        <v>1.0</v>
      </c>
      <c r="G45" s="23">
        <v>0.0</v>
      </c>
      <c r="H45" s="24" t="s">
        <v>143</v>
      </c>
      <c r="I45" s="22">
        <v>45124.0</v>
      </c>
      <c r="J45" s="10"/>
    </row>
    <row r="46">
      <c r="A46" s="5">
        <v>45.0</v>
      </c>
      <c r="B46" s="44" t="str">
        <f>VLOOKUP(A46,vaccines!A:B,2)</f>
        <v>measles_mumps_Microgen</v>
      </c>
      <c r="C46" s="14" t="s">
        <v>1209</v>
      </c>
      <c r="D46" s="14" t="s">
        <v>1210</v>
      </c>
      <c r="E46" s="15">
        <v>45460.0</v>
      </c>
      <c r="F46" s="16"/>
      <c r="G46" s="16"/>
      <c r="H46" s="29" t="s">
        <v>146</v>
      </c>
      <c r="I46" s="15">
        <f t="shared" ref="I46:I47" si="5">I45</f>
        <v>45124</v>
      </c>
      <c r="J46" s="19">
        <v>45589.0</v>
      </c>
      <c r="K46" s="20" t="s">
        <v>18</v>
      </c>
    </row>
    <row r="47">
      <c r="A47" s="5">
        <v>46.0</v>
      </c>
      <c r="B47" s="44" t="str">
        <f>VLOOKUP(A47,vaccines!A:B,2)</f>
        <v>Vactrivir</v>
      </c>
      <c r="C47" s="14" t="s">
        <v>1211</v>
      </c>
      <c r="D47" s="14" t="s">
        <v>1212</v>
      </c>
      <c r="E47" s="15">
        <v>45817.0</v>
      </c>
      <c r="F47" s="21">
        <v>1.0</v>
      </c>
      <c r="G47" s="21">
        <v>0.0</v>
      </c>
      <c r="H47" s="17" t="s">
        <v>149</v>
      </c>
      <c r="I47" s="15">
        <f t="shared" si="5"/>
        <v>45124</v>
      </c>
      <c r="J47" s="19">
        <v>45830.0</v>
      </c>
    </row>
    <row r="48">
      <c r="A48" s="5">
        <v>47.0</v>
      </c>
      <c r="B48" s="44" t="str">
        <f>VLOOKUP(A48,vaccines!A:B,2)</f>
        <v>MMR_II</v>
      </c>
      <c r="C48" s="14" t="s">
        <v>1213</v>
      </c>
      <c r="D48" s="14" t="s">
        <v>1214</v>
      </c>
      <c r="E48" s="22">
        <v>44228.0</v>
      </c>
      <c r="F48" s="23">
        <v>6.0</v>
      </c>
      <c r="G48" s="23">
        <v>6.0</v>
      </c>
      <c r="H48" s="25" t="s">
        <v>621</v>
      </c>
      <c r="I48" s="22">
        <v>45124.0</v>
      </c>
      <c r="J48" s="10"/>
      <c r="K48" s="45" t="s">
        <v>1215</v>
      </c>
    </row>
    <row r="49">
      <c r="A49" s="5">
        <v>48.0</v>
      </c>
      <c r="B49" s="44" t="str">
        <f>VLOOKUP(A49,vaccines!A:B,2)</f>
        <v>MenA_Microgen</v>
      </c>
      <c r="C49" s="14" t="s">
        <v>1216</v>
      </c>
      <c r="D49" s="14" t="s">
        <v>1217</v>
      </c>
      <c r="E49" s="22">
        <v>45414.0</v>
      </c>
      <c r="H49" s="35" t="s">
        <v>155</v>
      </c>
      <c r="I49" s="22">
        <v>45124.0</v>
      </c>
      <c r="J49" s="22">
        <v>45460.0</v>
      </c>
    </row>
    <row r="50">
      <c r="A50" s="5">
        <v>49.0</v>
      </c>
      <c r="B50" s="44" t="str">
        <f>VLOOKUP(A50,vaccines!A:B,2)</f>
        <v>MeningoVac_A_C</v>
      </c>
      <c r="C50" s="14" t="s">
        <v>1218</v>
      </c>
      <c r="D50" s="14" t="s">
        <v>1219</v>
      </c>
      <c r="E50" s="19">
        <v>45414.0</v>
      </c>
      <c r="F50" s="6"/>
      <c r="G50" s="6"/>
      <c r="H50" s="17" t="s">
        <v>158</v>
      </c>
      <c r="I50" s="22">
        <v>45124.0</v>
      </c>
      <c r="J50" s="22">
        <v>45460.0</v>
      </c>
    </row>
    <row r="51">
      <c r="A51" s="5">
        <v>50.0</v>
      </c>
      <c r="B51" s="44" t="str">
        <f>VLOOKUP(A51,vaccines!A:B,2)</f>
        <v>Menactra</v>
      </c>
      <c r="C51" s="14" t="s">
        <v>1220</v>
      </c>
      <c r="D51" s="14" t="s">
        <v>1221</v>
      </c>
      <c r="E51" s="15">
        <v>45188.0</v>
      </c>
      <c r="F51" s="16"/>
      <c r="G51" s="16"/>
      <c r="H51" s="17" t="s">
        <v>161</v>
      </c>
      <c r="I51" s="19">
        <f t="shared" ref="I51:I52" si="6">I50</f>
        <v>45124</v>
      </c>
      <c r="J51" s="19">
        <v>45483.0</v>
      </c>
    </row>
    <row r="52">
      <c r="A52" s="5">
        <v>51.0</v>
      </c>
      <c r="B52" s="44" t="str">
        <f>VLOOKUP(A52,vaccines!A:B,2)</f>
        <v>mumps_Microgen</v>
      </c>
      <c r="C52" s="14" t="s">
        <v>1222</v>
      </c>
      <c r="D52" s="14" t="s">
        <v>1223</v>
      </c>
      <c r="E52" s="15">
        <v>45454.0</v>
      </c>
      <c r="F52" s="16"/>
      <c r="G52" s="16"/>
      <c r="H52" s="29" t="s">
        <v>164</v>
      </c>
      <c r="I52" s="15">
        <f t="shared" si="6"/>
        <v>45124</v>
      </c>
      <c r="J52" s="19">
        <v>45589.0</v>
      </c>
    </row>
    <row r="53">
      <c r="A53" s="5">
        <v>52.0</v>
      </c>
      <c r="B53" s="44" t="str">
        <f>VLOOKUP(A53,vaccines!A:B,2)</f>
        <v>Prevenar_13</v>
      </c>
      <c r="C53" s="14" t="s">
        <v>1224</v>
      </c>
      <c r="D53" s="14" t="s">
        <v>1225</v>
      </c>
      <c r="E53" s="15">
        <v>45267.0</v>
      </c>
      <c r="F53" s="16"/>
      <c r="G53" s="16"/>
      <c r="H53" s="17" t="s">
        <v>167</v>
      </c>
      <c r="I53" s="28">
        <v>45125.0</v>
      </c>
      <c r="J53" s="19">
        <v>45481.0</v>
      </c>
    </row>
    <row r="54">
      <c r="A54" s="5">
        <v>53.0</v>
      </c>
      <c r="B54" s="44" t="str">
        <f>VLOOKUP(A54,vaccines!A:B,2)</f>
        <v>Synflorix</v>
      </c>
      <c r="C54" s="14" t="s">
        <v>1226</v>
      </c>
      <c r="D54" s="14" t="s">
        <v>1227</v>
      </c>
      <c r="E54" s="22">
        <v>43605.0</v>
      </c>
      <c r="F54" s="23">
        <v>1.0</v>
      </c>
      <c r="G54" s="23">
        <v>0.0</v>
      </c>
      <c r="H54" s="24" t="s">
        <v>170</v>
      </c>
      <c r="I54" s="28">
        <v>45125.0</v>
      </c>
      <c r="J54" s="10"/>
    </row>
    <row r="55">
      <c r="A55" s="5">
        <v>54.0</v>
      </c>
      <c r="B55" s="44" t="str">
        <f>VLOOKUP(A55,vaccines!A:B,2)</f>
        <v>Pneumovax_23</v>
      </c>
      <c r="C55" s="14" t="s">
        <v>1228</v>
      </c>
      <c r="D55" s="14" t="s">
        <v>1229</v>
      </c>
      <c r="E55" s="15">
        <v>45051.0</v>
      </c>
      <c r="F55" s="16"/>
      <c r="G55" s="16"/>
      <c r="H55" s="17" t="s">
        <v>173</v>
      </c>
      <c r="I55" s="15">
        <f>I54</f>
        <v>45125</v>
      </c>
      <c r="J55" s="19">
        <v>45489.0</v>
      </c>
    </row>
    <row r="56">
      <c r="A56" s="5">
        <v>55.0</v>
      </c>
      <c r="B56" s="44" t="str">
        <f>VLOOKUP(A56,vaccines!A:B,2)</f>
        <v>MonoVac_Polio</v>
      </c>
      <c r="C56" s="14" t="s">
        <v>1230</v>
      </c>
      <c r="D56" s="14" t="s">
        <v>1231</v>
      </c>
      <c r="E56" s="22">
        <v>44266.0</v>
      </c>
      <c r="F56" s="23">
        <v>1.0</v>
      </c>
      <c r="G56" s="23">
        <v>0.0</v>
      </c>
      <c r="H56" s="25" t="s">
        <v>636</v>
      </c>
      <c r="I56" s="22">
        <v>45125.0</v>
      </c>
      <c r="J56" s="10"/>
      <c r="K56" s="20" t="s">
        <v>18</v>
      </c>
    </row>
    <row r="57">
      <c r="A57" s="5">
        <v>56.0</v>
      </c>
      <c r="B57" s="44" t="str">
        <f>VLOOKUP(A57,vaccines!A:B,2)</f>
        <v>BiVac_Polio</v>
      </c>
      <c r="C57" s="14" t="s">
        <v>1232</v>
      </c>
      <c r="D57" s="14" t="s">
        <v>1233</v>
      </c>
      <c r="E57" s="15">
        <v>45736.0</v>
      </c>
      <c r="F57" s="21">
        <v>1.0</v>
      </c>
      <c r="G57" s="21">
        <v>0.0</v>
      </c>
      <c r="H57" s="17" t="s">
        <v>179</v>
      </c>
      <c r="I57" s="15">
        <f t="shared" ref="I57:I59" si="7">I56</f>
        <v>45125</v>
      </c>
      <c r="J57" s="19">
        <v>45988.0</v>
      </c>
    </row>
    <row r="58">
      <c r="A58" s="5">
        <v>57.0</v>
      </c>
      <c r="B58" s="44" t="str">
        <f>VLOOKUP(A58,vaccines!A:B,2)</f>
        <v>Polymilex</v>
      </c>
      <c r="C58" s="14" t="s">
        <v>1234</v>
      </c>
      <c r="D58" s="14" t="s">
        <v>1235</v>
      </c>
      <c r="E58" s="15">
        <v>45623.0</v>
      </c>
      <c r="F58" s="21">
        <v>1.0</v>
      </c>
      <c r="G58" s="21">
        <v>0.0</v>
      </c>
      <c r="H58" s="17" t="s">
        <v>182</v>
      </c>
      <c r="I58" s="15">
        <f t="shared" si="7"/>
        <v>45125</v>
      </c>
      <c r="J58" s="19">
        <v>45715.0</v>
      </c>
    </row>
    <row r="59">
      <c r="A59" s="5">
        <v>58.0</v>
      </c>
      <c r="B59" s="44" t="str">
        <f>VLOOKUP(A59,vaccines!A:B,2)</f>
        <v>COCAV</v>
      </c>
      <c r="C59" s="14" t="s">
        <v>1236</v>
      </c>
      <c r="D59" s="14" t="s">
        <v>1237</v>
      </c>
      <c r="E59" s="15">
        <v>45631.0</v>
      </c>
      <c r="F59" s="16"/>
      <c r="G59" s="16"/>
      <c r="H59" s="17" t="s">
        <v>185</v>
      </c>
      <c r="I59" s="15">
        <f t="shared" si="7"/>
        <v>45125</v>
      </c>
      <c r="J59" s="19">
        <v>45678.0</v>
      </c>
    </row>
    <row r="60">
      <c r="A60" s="5">
        <v>59.0</v>
      </c>
      <c r="B60" s="44" t="str">
        <f>VLOOKUP(A60,vaccines!A:B,2)</f>
        <v>rabies_Chumakov</v>
      </c>
      <c r="C60" s="14" t="s">
        <v>1238</v>
      </c>
      <c r="D60" s="14" t="s">
        <v>1239</v>
      </c>
      <c r="E60" s="22">
        <v>44862.0</v>
      </c>
      <c r="F60" s="23">
        <v>1.0</v>
      </c>
      <c r="G60" s="23">
        <v>0.0</v>
      </c>
      <c r="H60" s="25" t="s">
        <v>188</v>
      </c>
      <c r="I60" s="28">
        <v>45125.0</v>
      </c>
      <c r="J60" s="10"/>
    </row>
    <row r="61">
      <c r="A61" s="5">
        <v>60.0</v>
      </c>
      <c r="B61" s="44" t="str">
        <f>VLOOKUP(A61,vaccines!A:B,2)</f>
        <v>Rabivac_Vnukovo_32</v>
      </c>
      <c r="C61" s="14" t="s">
        <v>1240</v>
      </c>
      <c r="D61" s="14" t="s">
        <v>1241</v>
      </c>
      <c r="E61" s="22">
        <v>40925.0</v>
      </c>
      <c r="F61" s="23">
        <v>1.0</v>
      </c>
      <c r="G61" s="23">
        <v>0.0</v>
      </c>
      <c r="H61" s="24" t="s">
        <v>191</v>
      </c>
      <c r="I61" s="28">
        <v>45125.0</v>
      </c>
      <c r="J61" s="10"/>
    </row>
    <row r="62">
      <c r="A62" s="5">
        <v>61.0</v>
      </c>
      <c r="B62" s="44" t="str">
        <f>VLOOKUP(A62,vaccines!A:B,2)</f>
        <v>RotaTeq</v>
      </c>
      <c r="C62" s="14" t="s">
        <v>1242</v>
      </c>
      <c r="D62" s="14" t="s">
        <v>1243</v>
      </c>
      <c r="E62" s="22">
        <v>44495.0</v>
      </c>
      <c r="F62" s="23">
        <v>4.0</v>
      </c>
      <c r="G62" s="23">
        <v>4.0</v>
      </c>
      <c r="H62" s="25" t="s">
        <v>956</v>
      </c>
      <c r="I62" s="22">
        <v>45127.0</v>
      </c>
      <c r="J62" s="10"/>
    </row>
    <row r="63">
      <c r="A63" s="5">
        <v>62.0</v>
      </c>
      <c r="B63" s="44" t="str">
        <f>VLOOKUP(A63,vaccines!A:B,2)</f>
        <v>rubella_Microgen</v>
      </c>
      <c r="C63" s="14" t="s">
        <v>1244</v>
      </c>
      <c r="D63" s="14" t="s">
        <v>1245</v>
      </c>
      <c r="E63" s="15">
        <v>45531.0</v>
      </c>
      <c r="F63" s="16"/>
      <c r="G63" s="16"/>
      <c r="H63" s="29" t="s">
        <v>197</v>
      </c>
      <c r="I63" s="15">
        <f>I62</f>
        <v>45127</v>
      </c>
      <c r="J63" s="19">
        <v>45589.0</v>
      </c>
    </row>
    <row r="64">
      <c r="A64" s="5">
        <v>63.0</v>
      </c>
      <c r="B64" s="44" t="str">
        <f>VLOOKUP(A64,vaccines!A:B,2)</f>
        <v>rubella_Serum</v>
      </c>
      <c r="C64" s="14" t="s">
        <v>1246</v>
      </c>
      <c r="D64" s="14" t="s">
        <v>1247</v>
      </c>
      <c r="E64" s="22">
        <v>40142.0</v>
      </c>
      <c r="F64" s="23">
        <v>1.0</v>
      </c>
      <c r="G64" s="23">
        <v>0.0</v>
      </c>
      <c r="H64" s="24" t="s">
        <v>200</v>
      </c>
      <c r="I64" s="22">
        <v>45127.0</v>
      </c>
      <c r="J64" s="10"/>
    </row>
    <row r="65">
      <c r="A65" s="5">
        <v>64.0</v>
      </c>
      <c r="B65" s="44" t="str">
        <f>VLOOKUP(A65,vaccines!A:B,2)</f>
        <v>AS_Microgen</v>
      </c>
      <c r="C65" s="14" t="s">
        <v>1248</v>
      </c>
      <c r="D65" s="14" t="s">
        <v>1249</v>
      </c>
      <c r="E65" s="15">
        <v>45607.0</v>
      </c>
      <c r="F65" s="21">
        <v>1.0</v>
      </c>
      <c r="G65" s="21">
        <v>0.0</v>
      </c>
      <c r="H65" s="17" t="s">
        <v>203</v>
      </c>
      <c r="I65" s="15">
        <f>I64</f>
        <v>45127</v>
      </c>
      <c r="J65" s="19">
        <v>46053.0</v>
      </c>
    </row>
    <row r="66">
      <c r="A66" s="5">
        <v>65.0</v>
      </c>
      <c r="B66" s="44" t="str">
        <f>VLOOKUP(A66,vaccines!A:B,2)</f>
        <v>AS_Biomed</v>
      </c>
      <c r="C66" s="14" t="s">
        <v>963</v>
      </c>
      <c r="D66" s="14" t="s">
        <v>964</v>
      </c>
      <c r="E66" s="22">
        <v>41047.0</v>
      </c>
      <c r="F66" s="23">
        <v>1.0</v>
      </c>
      <c r="G66" s="23">
        <v>0.0</v>
      </c>
      <c r="H66" s="24" t="s">
        <v>206</v>
      </c>
      <c r="I66" s="22">
        <v>45128.0</v>
      </c>
      <c r="J66" s="10"/>
      <c r="K66" s="20" t="s">
        <v>18</v>
      </c>
    </row>
    <row r="67">
      <c r="A67" s="5">
        <v>66.0</v>
      </c>
      <c r="B67" s="44" t="str">
        <f>VLOOKUP(A67,vaccines!A:B,2)</f>
        <v>Vaqta_25</v>
      </c>
      <c r="C67" s="14" t="s">
        <v>1250</v>
      </c>
      <c r="D67" s="14" t="s">
        <v>1251</v>
      </c>
      <c r="E67" s="22">
        <v>41780.0</v>
      </c>
      <c r="F67" s="23">
        <v>1.0</v>
      </c>
      <c r="G67" s="23">
        <v>0.0</v>
      </c>
      <c r="H67" s="24" t="s">
        <v>209</v>
      </c>
      <c r="I67" s="22">
        <v>45128.0</v>
      </c>
      <c r="J67" s="10"/>
    </row>
    <row r="68">
      <c r="A68" s="5">
        <v>67.0</v>
      </c>
      <c r="B68" s="44" t="str">
        <f>VLOOKUP(A68,vaccines!A:B,2)</f>
        <v>Vaqta_50</v>
      </c>
      <c r="C68" s="14" t="s">
        <v>1252</v>
      </c>
      <c r="D68" s="14" t="s">
        <v>1253</v>
      </c>
      <c r="E68" s="22">
        <v>41780.0</v>
      </c>
      <c r="F68" s="23">
        <v>1.0</v>
      </c>
      <c r="G68" s="23">
        <v>0.0</v>
      </c>
      <c r="H68" s="24" t="s">
        <v>209</v>
      </c>
      <c r="I68" s="22">
        <v>45128.0</v>
      </c>
      <c r="J68" s="10"/>
    </row>
    <row r="69">
      <c r="A69" s="5">
        <v>68.0</v>
      </c>
      <c r="B69" s="44" t="str">
        <f>VLOOKUP(A69,vaccines!A:B,2)</f>
        <v>Klesh_E_Vac_0_5</v>
      </c>
      <c r="C69" s="14" t="s">
        <v>1254</v>
      </c>
      <c r="D69" s="14" t="s">
        <v>1255</v>
      </c>
      <c r="E69" s="15">
        <v>45904.0</v>
      </c>
      <c r="F69" s="21">
        <v>1.0</v>
      </c>
      <c r="G69" s="21">
        <v>0.0</v>
      </c>
      <c r="H69" s="17" t="s">
        <v>214</v>
      </c>
      <c r="I69" s="15">
        <f t="shared" ref="I69:I74" si="8">I68</f>
        <v>45128</v>
      </c>
      <c r="J69" s="19">
        <v>45988.0</v>
      </c>
    </row>
    <row r="70">
      <c r="A70" s="5">
        <v>69.0</v>
      </c>
      <c r="B70" s="44" t="str">
        <f>VLOOKUP(A70,vaccines!A:B,2)</f>
        <v>Klesh_E_Vac_0_25</v>
      </c>
      <c r="C70" s="14" t="s">
        <v>1254</v>
      </c>
      <c r="D70" s="14" t="s">
        <v>1255</v>
      </c>
      <c r="E70" s="15">
        <v>45904.0</v>
      </c>
      <c r="F70" s="21">
        <v>1.0</v>
      </c>
      <c r="G70" s="21">
        <v>0.0</v>
      </c>
      <c r="H70" s="17" t="s">
        <v>214</v>
      </c>
      <c r="I70" s="15">
        <f t="shared" si="8"/>
        <v>45128</v>
      </c>
      <c r="J70" s="19">
        <v>45988.0</v>
      </c>
    </row>
    <row r="71">
      <c r="A71" s="5">
        <v>70.0</v>
      </c>
      <c r="B71" s="44" t="str">
        <f>VLOOKUP(A71,vaccines!A:B,2)</f>
        <v>EnceVir_0_5</v>
      </c>
      <c r="C71" s="14" t="s">
        <v>1256</v>
      </c>
      <c r="D71" s="14" t="s">
        <v>1257</v>
      </c>
      <c r="E71" s="15">
        <v>45510.0</v>
      </c>
      <c r="F71" s="16"/>
      <c r="G71" s="16"/>
      <c r="H71" s="29" t="s">
        <v>219</v>
      </c>
      <c r="I71" s="15">
        <f t="shared" si="8"/>
        <v>45128</v>
      </c>
      <c r="J71" s="19">
        <v>45589.0</v>
      </c>
    </row>
    <row r="72">
      <c r="A72" s="5">
        <v>71.0</v>
      </c>
      <c r="B72" s="44" t="str">
        <f>VLOOKUP(A72,vaccines!A:B,2)</f>
        <v>EnceVir_Neo_kids</v>
      </c>
      <c r="C72" s="14" t="s">
        <v>1258</v>
      </c>
      <c r="D72" s="14" t="s">
        <v>1259</v>
      </c>
      <c r="E72" s="15">
        <v>45520.0</v>
      </c>
      <c r="F72" s="16"/>
      <c r="G72" s="16"/>
      <c r="H72" s="29" t="s">
        <v>222</v>
      </c>
      <c r="I72" s="15">
        <f t="shared" si="8"/>
        <v>45128</v>
      </c>
      <c r="J72" s="19">
        <v>45589.0</v>
      </c>
    </row>
    <row r="73">
      <c r="A73" s="5">
        <v>72.0</v>
      </c>
      <c r="B73" s="44" t="str">
        <f>VLOOKUP(A73,vaccines!A:B,2)</f>
        <v>TBE_Chumakov_lyo</v>
      </c>
      <c r="C73" s="14" t="s">
        <v>1260</v>
      </c>
      <c r="D73" s="14" t="s">
        <v>1261</v>
      </c>
      <c r="E73" s="15">
        <v>45727.0</v>
      </c>
      <c r="F73" s="21">
        <v>1.0</v>
      </c>
      <c r="G73" s="21">
        <v>0.0</v>
      </c>
      <c r="H73" s="17" t="s">
        <v>225</v>
      </c>
      <c r="I73" s="15">
        <f t="shared" si="8"/>
        <v>45128</v>
      </c>
      <c r="J73" s="19">
        <v>45750.0</v>
      </c>
    </row>
    <row r="74">
      <c r="A74" s="5">
        <v>73.0</v>
      </c>
      <c r="B74" s="44" t="str">
        <f>VLOOKUP(A74,vaccines!A:B,2)</f>
        <v>Varilrix</v>
      </c>
      <c r="C74" s="14" t="s">
        <v>1262</v>
      </c>
      <c r="D74" s="14" t="s">
        <v>1263</v>
      </c>
      <c r="E74" s="15">
        <v>45439.0</v>
      </c>
      <c r="F74" s="21">
        <v>1.0</v>
      </c>
      <c r="G74" s="21">
        <v>0.0</v>
      </c>
      <c r="H74" s="17" t="s">
        <v>228</v>
      </c>
      <c r="I74" s="15">
        <f t="shared" si="8"/>
        <v>45128</v>
      </c>
      <c r="J74" s="31">
        <v>45830.0</v>
      </c>
    </row>
    <row r="75">
      <c r="A75" s="5">
        <v>74.0</v>
      </c>
      <c r="B75" s="44" t="str">
        <f>VLOOKUP(A75,vaccines!A:B,2)</f>
        <v>YF_Chumakov_lyo</v>
      </c>
      <c r="C75" s="14" t="s">
        <v>1264</v>
      </c>
      <c r="D75" s="14" t="s">
        <v>1265</v>
      </c>
      <c r="E75" s="22">
        <v>45288.0</v>
      </c>
      <c r="F75" s="23">
        <v>3.0</v>
      </c>
      <c r="G75" s="23">
        <v>2.0</v>
      </c>
      <c r="H75" s="25" t="s">
        <v>975</v>
      </c>
      <c r="I75" s="22">
        <v>45129.0</v>
      </c>
      <c r="J75" s="22">
        <v>45715.0</v>
      </c>
    </row>
    <row r="76">
      <c r="A76" s="5">
        <v>75.0</v>
      </c>
      <c r="B76" s="44" t="str">
        <f>VLOOKUP(A76,vaccines!A:B,2)</f>
        <v>tularemia_Microgen</v>
      </c>
      <c r="C76" s="14" t="s">
        <v>1266</v>
      </c>
      <c r="D76" s="14" t="s">
        <v>1267</v>
      </c>
      <c r="E76" s="15">
        <v>45562.0</v>
      </c>
      <c r="F76" s="16"/>
      <c r="G76" s="16"/>
      <c r="H76" s="17" t="s">
        <v>234</v>
      </c>
      <c r="I76" s="15">
        <f>I75</f>
        <v>45129</v>
      </c>
      <c r="J76" s="19">
        <v>45589.0</v>
      </c>
      <c r="K76" s="20" t="s">
        <v>18</v>
      </c>
    </row>
    <row r="77">
      <c r="A77" s="5">
        <v>76.0</v>
      </c>
      <c r="B77" s="44" t="str">
        <f>VLOOKUP(A77,vaccines!A:B,2)</f>
        <v>plague_molecular_lyo_RPN</v>
      </c>
      <c r="C77" s="14" t="s">
        <v>1181</v>
      </c>
      <c r="D77" s="14" t="s">
        <v>1182</v>
      </c>
      <c r="E77" s="22">
        <v>43209.0</v>
      </c>
      <c r="F77" s="23">
        <v>1.0</v>
      </c>
      <c r="G77" s="23">
        <v>0.0</v>
      </c>
      <c r="H77" s="25" t="s">
        <v>237</v>
      </c>
      <c r="I77" s="22">
        <v>45129.0</v>
      </c>
      <c r="J77" s="10"/>
    </row>
    <row r="78">
      <c r="A78" s="5">
        <v>77.0</v>
      </c>
      <c r="B78" s="44" t="str">
        <f>VLOOKUP(A78,vaccines!A:B,2)</f>
        <v>plague_live_lyo_48_NII_Minoborony</v>
      </c>
      <c r="C78" s="14" t="s">
        <v>1268</v>
      </c>
      <c r="D78" s="14" t="s">
        <v>1269</v>
      </c>
      <c r="E78" s="22">
        <v>40675.0</v>
      </c>
      <c r="F78" s="23">
        <v>1.0</v>
      </c>
      <c r="G78" s="23">
        <v>0.0</v>
      </c>
      <c r="H78" s="25" t="s">
        <v>675</v>
      </c>
      <c r="I78" s="22">
        <v>45129.0</v>
      </c>
      <c r="J78" s="10"/>
    </row>
    <row r="79">
      <c r="A79" s="5">
        <v>78.0</v>
      </c>
      <c r="B79" s="44" t="str">
        <f>VLOOKUP(A79,vaccines!A:B,2)</f>
        <v>plague_live_tablets_48_NII_Minoborony</v>
      </c>
      <c r="C79" s="14" t="s">
        <v>1270</v>
      </c>
      <c r="D79" s="14" t="s">
        <v>1271</v>
      </c>
      <c r="E79" s="22">
        <v>40126.0</v>
      </c>
      <c r="F79" s="23">
        <v>1.0</v>
      </c>
      <c r="G79" s="23">
        <v>0.0</v>
      </c>
      <c r="H79" s="25" t="s">
        <v>676</v>
      </c>
      <c r="I79" s="22">
        <v>45129.0</v>
      </c>
      <c r="J79" s="10"/>
    </row>
    <row r="80">
      <c r="A80" s="5">
        <v>79.0</v>
      </c>
      <c r="B80" s="44" t="str">
        <f>VLOOKUP(A80,vaccines!A:B,2)</f>
        <v>plague_live_lyo_RPN</v>
      </c>
      <c r="C80" s="14" t="s">
        <v>1272</v>
      </c>
      <c r="D80" s="14" t="s">
        <v>1273</v>
      </c>
      <c r="E80" s="22">
        <v>44158.0</v>
      </c>
      <c r="F80" s="23">
        <v>1.0</v>
      </c>
      <c r="G80" s="23">
        <v>0.0</v>
      </c>
      <c r="H80" s="24" t="s">
        <v>246</v>
      </c>
      <c r="I80" s="22">
        <v>45129.0</v>
      </c>
      <c r="J80" s="10"/>
    </row>
    <row r="81">
      <c r="A81" s="5">
        <v>80.0</v>
      </c>
      <c r="B81" s="44" t="str">
        <f>VLOOKUP(A81,vaccines!A:B,2)</f>
        <v>brucellosis_therapeutic_48_NII_Minoborony</v>
      </c>
      <c r="C81" s="40" t="s">
        <v>1274</v>
      </c>
      <c r="D81" s="14" t="s">
        <v>1275</v>
      </c>
      <c r="E81" s="22">
        <v>40263.0</v>
      </c>
      <c r="F81" s="23">
        <v>1.0</v>
      </c>
      <c r="G81" s="23">
        <v>0.0</v>
      </c>
      <c r="H81" s="25" t="s">
        <v>679</v>
      </c>
      <c r="I81" s="22">
        <v>45130.0</v>
      </c>
      <c r="J81" s="10"/>
    </row>
    <row r="82">
      <c r="A82" s="5">
        <v>81.0</v>
      </c>
      <c r="B82" s="44" t="str">
        <f>VLOOKUP(A82,vaccines!A:B,2)</f>
        <v>brucellosis_prophylactic_Microgen</v>
      </c>
      <c r="C82" s="14" t="s">
        <v>1276</v>
      </c>
      <c r="D82" s="14" t="s">
        <v>1277</v>
      </c>
      <c r="E82" s="15">
        <v>45743.0</v>
      </c>
      <c r="F82" s="21">
        <v>1.0</v>
      </c>
      <c r="G82" s="21">
        <v>0.0</v>
      </c>
      <c r="H82" s="17" t="s">
        <v>252</v>
      </c>
      <c r="I82" s="15">
        <f>I81</f>
        <v>45130</v>
      </c>
      <c r="J82" s="19">
        <v>45798.0</v>
      </c>
    </row>
    <row r="83">
      <c r="A83" s="5">
        <v>82.0</v>
      </c>
      <c r="B83" s="44" t="str">
        <f>VLOOKUP(A83,vaccines!A:B,2)</f>
        <v>anthrax_live_48_NII_Minoborony</v>
      </c>
      <c r="C83" s="14" t="s">
        <v>1278</v>
      </c>
      <c r="D83" s="14" t="s">
        <v>1279</v>
      </c>
      <c r="E83" s="22">
        <v>43754.0</v>
      </c>
      <c r="F83" s="23">
        <v>1.0</v>
      </c>
      <c r="G83" s="23">
        <v>0.0</v>
      </c>
      <c r="H83" s="24" t="s">
        <v>255</v>
      </c>
      <c r="I83" s="22">
        <v>45130.0</v>
      </c>
      <c r="J83" s="10"/>
    </row>
    <row r="84">
      <c r="A84" s="5">
        <v>83.0</v>
      </c>
      <c r="B84" s="44" t="str">
        <f>VLOOKUP(A84,vaccines!A:B,2)</f>
        <v>anthrax_combined_48_NII_Minoborony</v>
      </c>
      <c r="C84" s="14" t="s">
        <v>1278</v>
      </c>
      <c r="D84" s="14" t="s">
        <v>1279</v>
      </c>
      <c r="E84" s="22">
        <v>39773.0</v>
      </c>
      <c r="F84" s="23">
        <v>1.0</v>
      </c>
      <c r="G84" s="23">
        <v>0.0</v>
      </c>
      <c r="H84" s="24" t="s">
        <v>684</v>
      </c>
      <c r="I84" s="22">
        <v>45130.0</v>
      </c>
      <c r="J84" s="10"/>
    </row>
    <row r="85">
      <c r="A85" s="5">
        <v>84.0</v>
      </c>
      <c r="B85" s="44" t="str">
        <f>VLOOKUP(A85,vaccines!A:B,2)</f>
        <v>Rabipur</v>
      </c>
      <c r="C85" s="14" t="s">
        <v>1280</v>
      </c>
      <c r="D85" s="14" t="s">
        <v>1281</v>
      </c>
      <c r="E85" s="22">
        <v>42996.0</v>
      </c>
      <c r="F85" s="23">
        <v>1.0</v>
      </c>
      <c r="G85" s="23">
        <v>0.0</v>
      </c>
      <c r="H85" s="25" t="s">
        <v>261</v>
      </c>
      <c r="I85" s="22">
        <v>45130.0</v>
      </c>
      <c r="J85" s="10"/>
    </row>
    <row r="86">
      <c r="A86" s="5">
        <v>85.0</v>
      </c>
      <c r="B86" s="44" t="str">
        <f>VLOOKUP(A86,vaccines!A:B,2)</f>
        <v>leptospirosis_Rostov_NII</v>
      </c>
      <c r="C86" s="14" t="s">
        <v>1282</v>
      </c>
      <c r="D86" s="14" t="s">
        <v>1283</v>
      </c>
      <c r="E86" s="22">
        <v>43881.0</v>
      </c>
      <c r="F86" s="23">
        <v>1.0</v>
      </c>
      <c r="G86" s="23">
        <v>0.0</v>
      </c>
      <c r="H86" s="24" t="s">
        <v>264</v>
      </c>
      <c r="I86" s="22">
        <v>45130.0</v>
      </c>
      <c r="J86" s="10"/>
      <c r="K86" s="20" t="s">
        <v>18</v>
      </c>
    </row>
    <row r="87">
      <c r="A87" s="5">
        <v>86.0</v>
      </c>
      <c r="B87" s="44" t="str">
        <f>VLOOKUP(A87,vaccines!A:B,2)</f>
        <v>Q_fever_M_44_Microgen</v>
      </c>
      <c r="C87" s="14" t="s">
        <v>1284</v>
      </c>
      <c r="D87" s="14" t="s">
        <v>1285</v>
      </c>
      <c r="E87" s="15">
        <v>45691.0</v>
      </c>
      <c r="F87" s="21">
        <v>1.0</v>
      </c>
      <c r="G87" s="21">
        <v>0.0</v>
      </c>
      <c r="H87" s="17" t="s">
        <v>267</v>
      </c>
      <c r="I87" s="15">
        <f>I86</f>
        <v>45130</v>
      </c>
      <c r="J87" s="19">
        <v>45716.0</v>
      </c>
    </row>
    <row r="88">
      <c r="A88" s="5">
        <v>87.0</v>
      </c>
      <c r="B88" s="44" t="str">
        <f>VLOOKUP(A88,vaccines!A:B,2)</f>
        <v>cholera_NII_Microb</v>
      </c>
      <c r="C88" s="14" t="s">
        <v>963</v>
      </c>
      <c r="D88" s="14" t="s">
        <v>964</v>
      </c>
      <c r="E88" s="22">
        <v>44705.0</v>
      </c>
      <c r="F88" s="23">
        <v>1.0</v>
      </c>
      <c r="G88" s="23">
        <v>0.0</v>
      </c>
      <c r="H88" s="25" t="s">
        <v>270</v>
      </c>
      <c r="I88" s="22">
        <v>45130.0</v>
      </c>
      <c r="J88" s="10"/>
    </row>
    <row r="89">
      <c r="A89" s="5">
        <v>88.0</v>
      </c>
      <c r="B89" s="44" t="str">
        <f>VLOOKUP(A89,vaccines!A:B,2)</f>
        <v>Vianvac</v>
      </c>
      <c r="C89" s="14" t="s">
        <v>1286</v>
      </c>
      <c r="D89" s="14" t="s">
        <v>1287</v>
      </c>
      <c r="E89" s="15">
        <v>46036.0</v>
      </c>
      <c r="F89" s="21">
        <v>1.0</v>
      </c>
      <c r="G89" s="21">
        <v>0.0</v>
      </c>
      <c r="H89" s="17" t="s">
        <v>273</v>
      </c>
      <c r="I89" s="15">
        <f>I88</f>
        <v>45130</v>
      </c>
      <c r="J89" s="19">
        <v>46130.0</v>
      </c>
    </row>
    <row r="90">
      <c r="A90" s="5">
        <v>89.0</v>
      </c>
      <c r="B90" s="44" t="str">
        <f>VLOOKUP(A90,vaccines!A:B,2)</f>
        <v>Typhivac</v>
      </c>
      <c r="C90" s="14" t="s">
        <v>1288</v>
      </c>
      <c r="D90" s="14" t="s">
        <v>1289</v>
      </c>
      <c r="E90" s="22">
        <v>42762.0</v>
      </c>
      <c r="F90" s="23">
        <v>1.0</v>
      </c>
      <c r="G90" s="23">
        <v>0.0</v>
      </c>
      <c r="H90" s="24" t="s">
        <v>276</v>
      </c>
      <c r="I90" s="22">
        <v>45130.0</v>
      </c>
      <c r="J90" s="10"/>
    </row>
    <row r="91">
      <c r="A91" s="5">
        <v>90.0</v>
      </c>
      <c r="B91" s="44" t="str">
        <f>VLOOKUP(A91,vaccines!A:B,2)</f>
        <v>Shigellvac</v>
      </c>
      <c r="C91" s="14" t="s">
        <v>1290</v>
      </c>
      <c r="D91" s="14" t="s">
        <v>1291</v>
      </c>
      <c r="E91" s="15">
        <v>46015.0</v>
      </c>
      <c r="F91" s="21">
        <v>1.0</v>
      </c>
      <c r="G91" s="21">
        <v>0.0</v>
      </c>
      <c r="H91" s="17" t="s">
        <v>279</v>
      </c>
      <c r="I91" s="15">
        <f>I90</f>
        <v>45130</v>
      </c>
      <c r="J91" s="19">
        <v>46130.0</v>
      </c>
    </row>
    <row r="92">
      <c r="A92" s="5">
        <v>91.0</v>
      </c>
      <c r="B92" s="44" t="str">
        <f>VLOOKUP(A92,vaccines!A:B,2)</f>
        <v>CoviVac</v>
      </c>
      <c r="C92" s="14" t="s">
        <v>1292</v>
      </c>
      <c r="D92" s="14" t="s">
        <v>1293</v>
      </c>
      <c r="E92" s="22">
        <v>44246.0</v>
      </c>
      <c r="F92" s="23">
        <v>1.0</v>
      </c>
      <c r="G92" s="23">
        <v>0.0</v>
      </c>
      <c r="H92" s="25" t="s">
        <v>697</v>
      </c>
      <c r="I92" s="22">
        <v>45130.0</v>
      </c>
      <c r="J92" s="10"/>
    </row>
    <row r="93">
      <c r="A93" s="5">
        <v>92.0</v>
      </c>
      <c r="B93" s="44" t="str">
        <f>VLOOKUP(A93,vaccines!A:B,2)</f>
        <v>Sputnik_light</v>
      </c>
      <c r="C93" s="14" t="s">
        <v>1294</v>
      </c>
      <c r="D93" s="14" t="s">
        <v>1295</v>
      </c>
      <c r="E93" s="15">
        <v>45810.0</v>
      </c>
      <c r="F93" s="21">
        <v>1.0</v>
      </c>
      <c r="G93" s="21">
        <v>0.0</v>
      </c>
      <c r="H93" s="17" t="s">
        <v>285</v>
      </c>
      <c r="I93" s="15">
        <f>I92</f>
        <v>45130</v>
      </c>
      <c r="J93" s="19">
        <v>45830.0</v>
      </c>
    </row>
    <row r="94">
      <c r="A94" s="5">
        <v>93.0</v>
      </c>
      <c r="B94" s="44" t="str">
        <f>VLOOKUP(A94,vaccines!A:B,2)</f>
        <v>Sputnik_M</v>
      </c>
      <c r="C94" s="14" t="s">
        <v>1296</v>
      </c>
      <c r="D94" s="14" t="s">
        <v>1297</v>
      </c>
      <c r="E94" s="22">
        <v>44524.0</v>
      </c>
      <c r="F94" s="23">
        <v>1.0</v>
      </c>
      <c r="G94" s="23">
        <v>0.0</v>
      </c>
      <c r="H94" s="25" t="s">
        <v>288</v>
      </c>
      <c r="I94" s="22">
        <v>45130.0</v>
      </c>
      <c r="J94" s="10"/>
    </row>
    <row r="95">
      <c r="A95" s="5">
        <v>94.0</v>
      </c>
      <c r="B95" s="44" t="str">
        <f>VLOOKUP(A95,vaccines!A:B,2)</f>
        <v>Convacel</v>
      </c>
      <c r="C95" s="14" t="s">
        <v>1298</v>
      </c>
      <c r="D95" s="14" t="s">
        <v>1299</v>
      </c>
      <c r="E95" s="15">
        <v>46009.0</v>
      </c>
      <c r="F95" s="21">
        <v>1.0</v>
      </c>
      <c r="G95" s="21">
        <v>0.0</v>
      </c>
      <c r="H95" s="17" t="s">
        <v>291</v>
      </c>
      <c r="I95" s="15">
        <f>I94</f>
        <v>45130</v>
      </c>
      <c r="J95" s="19">
        <v>46053.0</v>
      </c>
    </row>
    <row r="96">
      <c r="A96" s="5">
        <v>95.0</v>
      </c>
      <c r="B96" s="44" t="str">
        <f>VLOOKUP(A96,vaccines!A:B,2)</f>
        <v>Aurora</v>
      </c>
      <c r="C96" s="14" t="s">
        <v>1008</v>
      </c>
      <c r="D96" s="14" t="s">
        <v>1009</v>
      </c>
      <c r="E96" s="22">
        <v>44434.0</v>
      </c>
      <c r="F96" s="23">
        <v>1.0</v>
      </c>
      <c r="G96" s="23">
        <v>0.0</v>
      </c>
      <c r="H96" s="25" t="s">
        <v>294</v>
      </c>
      <c r="I96" s="22">
        <v>45130.0</v>
      </c>
      <c r="J96" s="10"/>
      <c r="K96" s="20" t="s">
        <v>18</v>
      </c>
    </row>
    <row r="97">
      <c r="A97" s="5">
        <v>96.0</v>
      </c>
      <c r="B97" s="44" t="str">
        <f>VLOOKUP(A97,vaccines!A:B,2)</f>
        <v>Rota_V_Aid</v>
      </c>
      <c r="C97" s="14" t="s">
        <v>1300</v>
      </c>
      <c r="D97" s="14" t="s">
        <v>1301</v>
      </c>
      <c r="E97" s="15">
        <v>45594.0</v>
      </c>
      <c r="F97" s="16"/>
      <c r="G97" s="16"/>
      <c r="H97" s="17" t="s">
        <v>297</v>
      </c>
      <c r="I97" s="15">
        <f>I96</f>
        <v>45130</v>
      </c>
      <c r="J97" s="15">
        <v>45629.0</v>
      </c>
    </row>
    <row r="98">
      <c r="A98" s="5">
        <v>97.0</v>
      </c>
      <c r="B98" s="44" t="str">
        <f>VLOOKUP(A98,vaccines!A:B,2)</f>
        <v>Hib_Rostov</v>
      </c>
      <c r="C98" s="14" t="s">
        <v>1302</v>
      </c>
      <c r="D98" s="14" t="s">
        <v>1303</v>
      </c>
      <c r="E98" s="22">
        <v>42577.0</v>
      </c>
      <c r="F98" s="23">
        <v>1.0</v>
      </c>
      <c r="G98" s="23">
        <v>0.0</v>
      </c>
      <c r="H98" s="24" t="s">
        <v>300</v>
      </c>
      <c r="I98" s="22">
        <v>45130.0</v>
      </c>
      <c r="J98" s="10"/>
    </row>
    <row r="99">
      <c r="A99" s="5">
        <v>98.0</v>
      </c>
      <c r="B99" s="44" t="str">
        <f>VLOOKUP(A99,vaccines!A:B,2)</f>
        <v>HepB_Combiotech_1_0</v>
      </c>
      <c r="C99" s="14" t="s">
        <v>1169</v>
      </c>
      <c r="D99" s="14" t="s">
        <v>1170</v>
      </c>
      <c r="E99" s="15">
        <v>46056.0</v>
      </c>
      <c r="F99" s="21">
        <v>1.0</v>
      </c>
      <c r="G99" s="21">
        <v>0.0</v>
      </c>
      <c r="H99" s="17" t="s">
        <v>84</v>
      </c>
      <c r="I99" s="15">
        <f t="shared" ref="I99:I101" si="9">I98</f>
        <v>45130</v>
      </c>
      <c r="J99" s="19">
        <v>46130.0</v>
      </c>
    </row>
    <row r="100">
      <c r="A100" s="5">
        <v>99.0</v>
      </c>
      <c r="B100" s="44" t="str">
        <f>VLOOKUP(A100,vaccines!A:B,2)</f>
        <v>Regevac_1_0</v>
      </c>
      <c r="C100" s="14" t="s">
        <v>1167</v>
      </c>
      <c r="D100" s="14" t="s">
        <v>1168</v>
      </c>
      <c r="E100" s="15">
        <v>45216.0</v>
      </c>
      <c r="F100" s="21">
        <v>1.0</v>
      </c>
      <c r="G100" s="21">
        <v>0.0</v>
      </c>
      <c r="H100" s="17" t="s">
        <v>81</v>
      </c>
      <c r="I100" s="15">
        <f t="shared" si="9"/>
        <v>45130</v>
      </c>
      <c r="J100" s="19">
        <v>45988.0</v>
      </c>
    </row>
    <row r="101">
      <c r="A101" s="5">
        <v>100.0</v>
      </c>
      <c r="B101" s="44" t="str">
        <f>VLOOKUP(A101,vaccines!A:B,2)</f>
        <v>Priorix_Tetra</v>
      </c>
      <c r="C101" s="14" t="s">
        <v>1304</v>
      </c>
      <c r="D101" s="14" t="s">
        <v>1305</v>
      </c>
      <c r="E101" s="15">
        <v>45453.0</v>
      </c>
      <c r="F101" s="16"/>
      <c r="G101" s="16"/>
      <c r="H101" s="17" t="s">
        <v>307</v>
      </c>
      <c r="I101" s="15">
        <f t="shared" si="9"/>
        <v>45130</v>
      </c>
      <c r="J101" s="19">
        <v>45510.0</v>
      </c>
    </row>
    <row r="102">
      <c r="A102" s="5">
        <v>101.0</v>
      </c>
      <c r="B102" s="44" t="str">
        <f>VLOOKUP(A102,vaccines!A:B,2)</f>
        <v>Menveo</v>
      </c>
      <c r="C102" s="14" t="s">
        <v>1306</v>
      </c>
      <c r="D102" s="14" t="s">
        <v>1307</v>
      </c>
      <c r="E102" s="22">
        <v>44890.0</v>
      </c>
      <c r="F102" s="23">
        <v>4.0</v>
      </c>
      <c r="G102" s="23">
        <v>3.0</v>
      </c>
      <c r="H102" s="25" t="s">
        <v>1016</v>
      </c>
      <c r="I102" s="22">
        <v>45130.0</v>
      </c>
      <c r="J102" s="10"/>
    </row>
    <row r="103">
      <c r="A103" s="5">
        <v>102.0</v>
      </c>
      <c r="B103" s="44" t="str">
        <f>VLOOKUP(A103,vaccines!A:B,2)</f>
        <v>Sputnik_intranasal</v>
      </c>
      <c r="C103" s="14" t="s">
        <v>1006</v>
      </c>
      <c r="D103" s="14" t="s">
        <v>1007</v>
      </c>
      <c r="E103" s="22">
        <v>44651.0</v>
      </c>
      <c r="F103" s="23">
        <v>1.0</v>
      </c>
      <c r="G103" s="23">
        <v>0.0</v>
      </c>
      <c r="H103" s="25" t="s">
        <v>313</v>
      </c>
      <c r="I103" s="22">
        <v>45130.0</v>
      </c>
      <c r="J103" s="10"/>
    </row>
    <row r="104">
      <c r="A104" s="5">
        <v>103.0</v>
      </c>
      <c r="B104" s="44" t="str">
        <f>VLOOKUP(A104,vaccines!A:B,2)</f>
        <v>Grippol_plus_0_25</v>
      </c>
      <c r="C104" s="14" t="s">
        <v>1187</v>
      </c>
      <c r="D104" s="14" t="s">
        <v>1188</v>
      </c>
      <c r="E104" s="15">
        <v>45182.0</v>
      </c>
      <c r="F104" s="16"/>
      <c r="G104" s="16"/>
      <c r="H104" s="17" t="s">
        <v>113</v>
      </c>
      <c r="I104" s="22">
        <v>45130.0</v>
      </c>
      <c r="J104" s="22">
        <v>45483.0</v>
      </c>
    </row>
    <row r="105">
      <c r="A105" s="5">
        <v>104.0</v>
      </c>
      <c r="B105" s="44" t="str">
        <f>VLOOKUP(A105,vaccines!A:B,2)</f>
        <v>Flu_M_Tetra</v>
      </c>
      <c r="C105" s="14" t="s">
        <v>1308</v>
      </c>
      <c r="D105" s="14" t="s">
        <v>1309</v>
      </c>
      <c r="E105" s="15">
        <v>45741.0</v>
      </c>
      <c r="F105" s="21">
        <v>1.0</v>
      </c>
      <c r="G105" s="21">
        <v>0.0</v>
      </c>
      <c r="H105" s="17" t="s">
        <v>318</v>
      </c>
      <c r="I105" s="15">
        <f t="shared" ref="I105:I106" si="10">I104</f>
        <v>45130</v>
      </c>
      <c r="J105" s="19">
        <v>45798.0</v>
      </c>
    </row>
    <row r="106">
      <c r="A106" s="5">
        <v>105.0</v>
      </c>
      <c r="B106" s="44" t="str">
        <f>VLOOKUP(A106,vaccines!A:B,2)</f>
        <v>Vaxigrip_Tetra</v>
      </c>
      <c r="C106" s="14" t="s">
        <v>1310</v>
      </c>
      <c r="D106" s="14" t="s">
        <v>1311</v>
      </c>
      <c r="E106" s="15">
        <v>45300.0</v>
      </c>
      <c r="F106" s="16"/>
      <c r="G106" s="16"/>
      <c r="H106" s="17" t="s">
        <v>321</v>
      </c>
      <c r="I106" s="15">
        <f t="shared" si="10"/>
        <v>45130</v>
      </c>
      <c r="J106" s="19">
        <v>45489.0</v>
      </c>
      <c r="K106" s="46" t="s">
        <v>1312</v>
      </c>
    </row>
    <row r="107">
      <c r="A107" s="5">
        <v>106.0</v>
      </c>
      <c r="B107" s="44" t="str">
        <f>VLOOKUP(A107,vaccines!A:B,2)</f>
        <v>Ocavax</v>
      </c>
      <c r="C107" s="14" t="s">
        <v>1313</v>
      </c>
      <c r="D107" s="14" t="s">
        <v>1314</v>
      </c>
      <c r="E107" s="22">
        <v>40233.0</v>
      </c>
      <c r="F107" s="23">
        <v>1.0</v>
      </c>
      <c r="G107" s="23">
        <v>0.0</v>
      </c>
      <c r="H107" s="25" t="s">
        <v>324</v>
      </c>
      <c r="I107" s="22">
        <v>45130.0</v>
      </c>
      <c r="J107" s="10"/>
    </row>
    <row r="108">
      <c r="A108" s="5">
        <v>107.0</v>
      </c>
      <c r="B108" s="44" t="str">
        <f>VLOOKUP(A108,vaccines!A:B,2)</f>
        <v>Pneumo_23</v>
      </c>
      <c r="C108" s="14" t="s">
        <v>1315</v>
      </c>
      <c r="D108" s="14" t="s">
        <v>1316</v>
      </c>
      <c r="E108" s="22">
        <v>41688.0</v>
      </c>
      <c r="F108" s="23">
        <v>1.0</v>
      </c>
      <c r="G108" s="23">
        <v>0.0</v>
      </c>
      <c r="H108" s="25" t="s">
        <v>327</v>
      </c>
      <c r="I108" s="22">
        <v>45130.0</v>
      </c>
      <c r="J108" s="10"/>
    </row>
    <row r="109">
      <c r="A109" s="5">
        <v>108.0</v>
      </c>
      <c r="B109" s="44" t="str">
        <f>VLOOKUP(A109,vaccines!A:B,2)</f>
        <v>Varivax</v>
      </c>
      <c r="C109" s="14" t="s">
        <v>1317</v>
      </c>
      <c r="D109" s="14" t="s">
        <v>1318</v>
      </c>
      <c r="E109" s="15">
        <v>45126.0</v>
      </c>
      <c r="F109" s="16"/>
      <c r="G109" s="16"/>
      <c r="H109" s="17" t="s">
        <v>330</v>
      </c>
      <c r="I109" s="22">
        <v>45131.0</v>
      </c>
      <c r="J109" s="19">
        <v>45489.0</v>
      </c>
    </row>
    <row r="110">
      <c r="A110" s="5">
        <v>109.0</v>
      </c>
      <c r="B110" s="44" t="str">
        <f>VLOOKUP(A110,vaccines!A:B,2)</f>
        <v>Pneumotex</v>
      </c>
      <c r="C110" s="14" t="s">
        <v>1319</v>
      </c>
      <c r="D110" s="14" t="s">
        <v>1320</v>
      </c>
      <c r="E110" s="15">
        <v>45777.0</v>
      </c>
      <c r="F110" s="21">
        <v>1.0</v>
      </c>
      <c r="G110" s="21">
        <v>0.0</v>
      </c>
      <c r="H110" s="17" t="s">
        <v>333</v>
      </c>
      <c r="I110" s="22">
        <v>45131.0</v>
      </c>
      <c r="J110" s="19">
        <v>45818.0</v>
      </c>
    </row>
    <row r="111">
      <c r="A111" s="5">
        <v>110.0</v>
      </c>
      <c r="B111" s="44" t="str">
        <f>VLOOKUP(A111,vaccines!A:B,2)</f>
        <v>Priorix</v>
      </c>
      <c r="C111" s="14" t="s">
        <v>1321</v>
      </c>
      <c r="D111" s="14" t="s">
        <v>1322</v>
      </c>
      <c r="E111" s="22">
        <v>43437.0</v>
      </c>
      <c r="F111" s="23">
        <v>5.0</v>
      </c>
      <c r="G111" s="23">
        <v>7.0</v>
      </c>
      <c r="H111" s="25" t="s">
        <v>1029</v>
      </c>
      <c r="I111" s="22">
        <v>45131.0</v>
      </c>
      <c r="J111" s="10"/>
    </row>
    <row r="112">
      <c r="A112" s="5">
        <v>111.0</v>
      </c>
      <c r="B112" s="44" t="str">
        <f>VLOOKUP(A112,vaccines!A:B,2)</f>
        <v>MenQuadfi</v>
      </c>
      <c r="C112" s="14" t="s">
        <v>1323</v>
      </c>
      <c r="D112" s="14" t="s">
        <v>1324</v>
      </c>
      <c r="E112" s="15">
        <v>45932.0</v>
      </c>
      <c r="F112" s="21">
        <v>1.0</v>
      </c>
      <c r="G112" s="21">
        <v>0.0</v>
      </c>
      <c r="H112" s="17" t="s">
        <v>339</v>
      </c>
      <c r="I112" s="22">
        <v>45131.0</v>
      </c>
      <c r="J112" s="19">
        <v>46072.0</v>
      </c>
    </row>
    <row r="113">
      <c r="A113" s="5">
        <v>112.0</v>
      </c>
      <c r="B113" s="44" t="str">
        <f>VLOOKUP(A113,vaccines!A:B,2)</f>
        <v>Bexsero</v>
      </c>
      <c r="C113" s="14" t="s">
        <v>1325</v>
      </c>
      <c r="D113" s="14" t="s">
        <v>1326</v>
      </c>
      <c r="E113" s="15">
        <v>45391.0</v>
      </c>
      <c r="F113" s="16"/>
      <c r="G113" s="16"/>
      <c r="H113" s="17" t="s">
        <v>342</v>
      </c>
      <c r="I113" s="22">
        <v>45131.0</v>
      </c>
      <c r="J113" s="19">
        <v>45489.0</v>
      </c>
    </row>
    <row r="114">
      <c r="A114" s="5">
        <v>113.0</v>
      </c>
      <c r="B114" s="44" t="str">
        <f>VLOOKUP(A114,vaccines!A:B,2)</f>
        <v>Sputnik_D</v>
      </c>
      <c r="C114" s="14" t="s">
        <v>1327</v>
      </c>
      <c r="D114" s="14" t="s">
        <v>1328</v>
      </c>
      <c r="E114" s="22">
        <v>45030.0</v>
      </c>
      <c r="F114" s="23">
        <v>1.0</v>
      </c>
      <c r="G114" s="23">
        <v>0.0</v>
      </c>
      <c r="H114" s="25" t="s">
        <v>345</v>
      </c>
      <c r="I114" s="22">
        <v>45131.0</v>
      </c>
      <c r="J114" s="10"/>
    </row>
    <row r="115">
      <c r="A115" s="5">
        <v>114.0</v>
      </c>
      <c r="B115" s="44" t="str">
        <f>VLOOKUP(A115,vaccines!A:B,2)</f>
        <v>Encepur_0_25</v>
      </c>
      <c r="C115" s="14" t="s">
        <v>1329</v>
      </c>
      <c r="D115" s="14" t="s">
        <v>1330</v>
      </c>
      <c r="E115" s="22">
        <v>40252.0</v>
      </c>
      <c r="F115" s="23">
        <v>1.0</v>
      </c>
      <c r="G115" s="23">
        <v>0.0</v>
      </c>
      <c r="H115" s="24" t="s">
        <v>348</v>
      </c>
      <c r="I115" s="22">
        <v>45131.0</v>
      </c>
      <c r="J115" s="10"/>
    </row>
    <row r="116">
      <c r="A116" s="5">
        <v>115.0</v>
      </c>
      <c r="B116" s="44" t="str">
        <f>VLOOKUP(A116,vaccines!A:B,2)</f>
        <v>Encepur_0_5</v>
      </c>
      <c r="C116" s="14" t="s">
        <v>1331</v>
      </c>
      <c r="D116" s="14" t="s">
        <v>1332</v>
      </c>
      <c r="E116" s="22">
        <v>39878.0</v>
      </c>
      <c r="F116" s="23">
        <v>1.0</v>
      </c>
      <c r="G116" s="23">
        <v>0.0</v>
      </c>
      <c r="H116" s="24" t="s">
        <v>351</v>
      </c>
      <c r="I116" s="22">
        <v>45131.0</v>
      </c>
      <c r="J116" s="10"/>
      <c r="K116" s="20" t="s">
        <v>18</v>
      </c>
    </row>
    <row r="117">
      <c r="A117" s="5">
        <v>116.0</v>
      </c>
      <c r="B117" s="44" t="str">
        <f>VLOOKUP(A117,vaccines!A:B,2)</f>
        <v>Poliovaccine</v>
      </c>
      <c r="C117" s="14" t="s">
        <v>1333</v>
      </c>
      <c r="D117" s="14" t="s">
        <v>1334</v>
      </c>
      <c r="E117" s="22">
        <v>44476.0</v>
      </c>
      <c r="F117" s="23">
        <v>1.0</v>
      </c>
      <c r="G117" s="23">
        <v>0.0</v>
      </c>
      <c r="H117" s="25" t="s">
        <v>354</v>
      </c>
      <c r="I117" s="22">
        <v>45131.0</v>
      </c>
      <c r="J117" s="10"/>
    </row>
    <row r="118">
      <c r="A118" s="5">
        <v>117.0</v>
      </c>
      <c r="B118" s="44" t="str">
        <f>VLOOKUP(A118,vaccines!A:B,2)</f>
        <v>Act_Hib</v>
      </c>
      <c r="C118" s="14" t="s">
        <v>1335</v>
      </c>
      <c r="D118" s="14" t="s">
        <v>1336</v>
      </c>
      <c r="E118" s="22">
        <v>41936.0</v>
      </c>
      <c r="F118" s="23">
        <v>1.0</v>
      </c>
      <c r="G118" s="23">
        <v>0.0</v>
      </c>
      <c r="H118" s="24" t="s">
        <v>748</v>
      </c>
      <c r="I118" s="22">
        <v>45131.0</v>
      </c>
      <c r="J118" s="10"/>
    </row>
    <row r="119">
      <c r="A119" s="5">
        <v>118.0</v>
      </c>
      <c r="B119" s="44" t="str">
        <f>VLOOKUP(A119,vaccines!A:B,2)</f>
        <v>Hiberix</v>
      </c>
      <c r="C119" s="14" t="s">
        <v>1337</v>
      </c>
      <c r="D119" s="14" t="s">
        <v>1338</v>
      </c>
      <c r="E119" s="22">
        <v>41047.0</v>
      </c>
      <c r="F119" s="23">
        <v>1.0</v>
      </c>
      <c r="G119" s="23">
        <v>0.0</v>
      </c>
      <c r="H119" s="24" t="s">
        <v>1044</v>
      </c>
      <c r="I119" s="22">
        <v>45131.0</v>
      </c>
      <c r="J119" s="10"/>
    </row>
    <row r="120">
      <c r="A120" s="5">
        <v>119.0</v>
      </c>
      <c r="B120" s="44" t="str">
        <f>VLOOKUP(A120,vaccines!A:B,2)</f>
        <v>FSME_Immun_Junior</v>
      </c>
      <c r="C120" s="14" t="s">
        <v>1339</v>
      </c>
      <c r="D120" s="14" t="s">
        <v>1340</v>
      </c>
      <c r="E120" s="22">
        <v>43115.0</v>
      </c>
      <c r="F120" s="23">
        <v>1.0</v>
      </c>
      <c r="G120" s="23">
        <v>0.0</v>
      </c>
      <c r="H120" s="24" t="s">
        <v>363</v>
      </c>
      <c r="I120" s="22">
        <v>45131.0</v>
      </c>
      <c r="J120" s="10"/>
      <c r="K120" s="20" t="s">
        <v>18</v>
      </c>
    </row>
    <row r="121">
      <c r="A121" s="5">
        <v>120.0</v>
      </c>
      <c r="B121" s="44" t="str">
        <f>VLOOKUP(A121,vaccines!A:B,2)</f>
        <v>FSME_Immun</v>
      </c>
      <c r="C121" s="14" t="s">
        <v>1341</v>
      </c>
      <c r="D121" s="14" t="s">
        <v>1342</v>
      </c>
      <c r="E121" s="22">
        <v>44169.0</v>
      </c>
      <c r="F121" s="23">
        <v>1.0</v>
      </c>
      <c r="G121" s="23">
        <v>0.0</v>
      </c>
      <c r="H121" s="24" t="s">
        <v>366</v>
      </c>
      <c r="I121" s="22">
        <v>45131.0</v>
      </c>
      <c r="J121" s="10"/>
    </row>
    <row r="122">
      <c r="A122" s="5">
        <v>121.0</v>
      </c>
      <c r="B122" s="44" t="str">
        <f>VLOOKUP(A122,vaccines!A:B,2)</f>
        <v>SciBiVac</v>
      </c>
      <c r="C122" s="14" t="s">
        <v>1343</v>
      </c>
      <c r="D122" s="14" t="s">
        <v>1344</v>
      </c>
      <c r="E122" s="22">
        <v>44762.0</v>
      </c>
      <c r="F122" s="23">
        <v>1.0</v>
      </c>
      <c r="G122" s="23">
        <v>0.0</v>
      </c>
      <c r="H122" s="25" t="s">
        <v>369</v>
      </c>
      <c r="I122" s="22">
        <v>45131.0</v>
      </c>
      <c r="J122" s="10"/>
    </row>
    <row r="123">
      <c r="A123" s="5">
        <v>122.0</v>
      </c>
      <c r="B123" s="44" t="str">
        <f>VLOOKUP(A123,vaccines!A:B,2)</f>
        <v>Pentavaccina</v>
      </c>
      <c r="C123" s="14" t="s">
        <v>1345</v>
      </c>
      <c r="D123" s="14" t="s">
        <v>1346</v>
      </c>
      <c r="E123" s="43">
        <v>45320.0</v>
      </c>
      <c r="H123" s="25" t="s">
        <v>372</v>
      </c>
      <c r="I123" s="22">
        <v>45131.0</v>
      </c>
      <c r="J123" s="22">
        <v>45460.0</v>
      </c>
    </row>
    <row r="124">
      <c r="A124" s="5">
        <v>123.0</v>
      </c>
      <c r="B124" s="6" t="str">
        <f>VLOOKUP(A124,vaccines!A:B,2)</f>
        <v>Vitagerpavac</v>
      </c>
      <c r="C124" s="40" t="s">
        <v>1274</v>
      </c>
      <c r="D124" s="40" t="s">
        <v>1347</v>
      </c>
      <c r="E124" s="31">
        <v>40255.0</v>
      </c>
      <c r="F124" s="5">
        <v>1.0</v>
      </c>
      <c r="G124" s="5">
        <v>0.0</v>
      </c>
      <c r="H124" s="32" t="s">
        <v>375</v>
      </c>
      <c r="I124" s="22">
        <v>45169.0</v>
      </c>
      <c r="J124" s="10"/>
      <c r="K124" s="20" t="s">
        <v>14</v>
      </c>
    </row>
    <row r="125">
      <c r="A125" s="6">
        <v>124.0</v>
      </c>
      <c r="B125" s="6" t="str">
        <f>VLOOKUP(A125,vaccines!A:B,2)</f>
        <v>Shingrix</v>
      </c>
      <c r="C125" s="14" t="s">
        <v>1348</v>
      </c>
      <c r="D125" s="14" t="s">
        <v>1349</v>
      </c>
      <c r="E125" s="15">
        <v>45440.0</v>
      </c>
      <c r="F125" s="16"/>
      <c r="G125" s="16"/>
      <c r="H125" s="17" t="s">
        <v>379</v>
      </c>
      <c r="I125" s="18">
        <v>45447.0</v>
      </c>
      <c r="J125" s="15">
        <v>45589.0</v>
      </c>
    </row>
    <row r="126">
      <c r="A126" s="6">
        <v>125.0</v>
      </c>
      <c r="B126" s="6" t="str">
        <f>VLOOKUP(A126,vaccines!A:B,2)</f>
        <v>Trivaid</v>
      </c>
      <c r="C126" s="14" t="s">
        <v>1350</v>
      </c>
      <c r="D126" s="14" t="s">
        <v>1351</v>
      </c>
      <c r="E126" s="15">
        <v>45996.0</v>
      </c>
      <c r="F126" s="21">
        <v>1.0</v>
      </c>
      <c r="G126" s="21">
        <v>0.0</v>
      </c>
      <c r="H126" s="17" t="s">
        <v>382</v>
      </c>
      <c r="I126" s="15">
        <v>45436.0</v>
      </c>
      <c r="J126" s="15">
        <v>46053.0</v>
      </c>
    </row>
    <row r="127">
      <c r="A127" s="6">
        <v>126.0</v>
      </c>
      <c r="B127" s="6" t="str">
        <f>VLOOKUP(A127,vaccines!A:B,2)</f>
        <v>BabyHib</v>
      </c>
      <c r="C127" s="14" t="s">
        <v>1352</v>
      </c>
      <c r="D127" s="14" t="s">
        <v>1353</v>
      </c>
      <c r="E127" s="15">
        <v>45938.0</v>
      </c>
      <c r="F127" s="21">
        <v>1.0</v>
      </c>
      <c r="G127" s="21">
        <v>0.0</v>
      </c>
      <c r="H127" s="17" t="s">
        <v>385</v>
      </c>
      <c r="I127" s="15">
        <v>45436.0</v>
      </c>
      <c r="J127" s="15">
        <v>45988.0</v>
      </c>
    </row>
    <row r="128">
      <c r="A128" s="6">
        <v>127.0</v>
      </c>
      <c r="B128" s="6" t="str">
        <f>VLOOKUP(A128,vaccines!A:B,2)</f>
        <v>AD_M_Biomed</v>
      </c>
      <c r="C128" s="14" t="s">
        <v>1354</v>
      </c>
      <c r="D128" s="14" t="s">
        <v>1355</v>
      </c>
      <c r="E128" s="31">
        <v>41046.0</v>
      </c>
      <c r="F128" s="5">
        <v>1.0</v>
      </c>
      <c r="G128" s="5">
        <v>0.0</v>
      </c>
      <c r="H128" s="32" t="s">
        <v>388</v>
      </c>
      <c r="I128" s="18">
        <v>45461.0</v>
      </c>
      <c r="J128" s="10"/>
    </row>
    <row r="129">
      <c r="A129" s="6">
        <v>128.0</v>
      </c>
      <c r="B129" s="6" t="str">
        <f>VLOOKUP(A129,vaccines!A:B,2)</f>
        <v>AS_D_Microgen</v>
      </c>
      <c r="C129" s="14" t="s">
        <v>1356</v>
      </c>
      <c r="D129" s="14" t="s">
        <v>1357</v>
      </c>
      <c r="E129" s="15">
        <v>45266.0</v>
      </c>
      <c r="F129" s="6"/>
      <c r="G129" s="6"/>
      <c r="H129" s="32" t="s">
        <v>391</v>
      </c>
      <c r="I129" s="18">
        <v>45461.0</v>
      </c>
      <c r="J129" s="10"/>
    </row>
    <row r="130">
      <c r="A130" s="6">
        <v>129.0</v>
      </c>
      <c r="B130" s="6" t="str">
        <f>VLOOKUP(A130,vaccines!A:B,2)</f>
        <v>Variola</v>
      </c>
      <c r="C130" s="14" t="s">
        <v>1358</v>
      </c>
      <c r="D130" s="14" t="s">
        <v>1359</v>
      </c>
      <c r="E130" s="15">
        <v>45252.0</v>
      </c>
      <c r="F130" s="6"/>
      <c r="G130" s="6"/>
      <c r="H130" s="32" t="s">
        <v>394</v>
      </c>
      <c r="I130" s="18">
        <v>45461.0</v>
      </c>
      <c r="J130" s="10"/>
    </row>
    <row r="131">
      <c r="A131" s="6">
        <v>130.0</v>
      </c>
      <c r="B131" s="6" t="str">
        <f>VLOOKUP(A131,vaccines!A:B,2)</f>
        <v>AKDS_HepB_Microgen</v>
      </c>
      <c r="C131" s="14" t="s">
        <v>1360</v>
      </c>
      <c r="D131" s="14" t="s">
        <v>1361</v>
      </c>
      <c r="E131" s="15">
        <v>45135.0</v>
      </c>
      <c r="F131" s="6"/>
      <c r="G131" s="6"/>
      <c r="H131" s="32" t="s">
        <v>397</v>
      </c>
      <c r="I131" s="15">
        <v>45464.0</v>
      </c>
      <c r="J131" s="10"/>
    </row>
    <row r="132">
      <c r="A132" s="6">
        <v>131.0</v>
      </c>
      <c r="B132" s="6" t="str">
        <f>VLOOKUP(A132,vaccines!A:B,2)</f>
        <v>Rickettsia</v>
      </c>
      <c r="C132" s="14" t="s">
        <v>1362</v>
      </c>
      <c r="D132" s="14" t="s">
        <v>1363</v>
      </c>
      <c r="E132" s="15">
        <v>45107.0</v>
      </c>
      <c r="F132" s="6"/>
      <c r="G132" s="6"/>
      <c r="H132" s="32" t="s">
        <v>400</v>
      </c>
      <c r="I132" s="15">
        <v>45464.0</v>
      </c>
      <c r="J132" s="10"/>
    </row>
    <row r="133">
      <c r="A133" s="6">
        <v>132.0</v>
      </c>
      <c r="B133" s="6" t="str">
        <f>VLOOKUP(A133,vaccines!A:B,2)</f>
        <v>OspaVir</v>
      </c>
      <c r="C133" s="14" t="s">
        <v>1364</v>
      </c>
      <c r="D133" s="14" t="s">
        <v>1365</v>
      </c>
      <c r="E133" s="15">
        <v>45077.0</v>
      </c>
      <c r="F133" s="6"/>
      <c r="G133" s="6"/>
      <c r="H133" s="32" t="s">
        <v>403</v>
      </c>
      <c r="I133" s="15">
        <v>45464.0</v>
      </c>
      <c r="J133" s="10"/>
    </row>
    <row r="134">
      <c r="A134" s="6">
        <v>133.0</v>
      </c>
      <c r="B134" s="6" t="str">
        <f>VLOOKUP(A134,vaccines!A:B,2)</f>
        <v>Gonovaccina_therapeutic</v>
      </c>
      <c r="C134" s="40" t="s">
        <v>1274</v>
      </c>
      <c r="D134" s="40" t="s">
        <v>1347</v>
      </c>
      <c r="E134" s="15">
        <v>44942.0</v>
      </c>
      <c r="F134" s="6"/>
      <c r="G134" s="6"/>
      <c r="H134" s="32" t="s">
        <v>406</v>
      </c>
      <c r="I134" s="15">
        <v>45464.0</v>
      </c>
      <c r="J134" s="10"/>
    </row>
    <row r="135">
      <c r="A135" s="6">
        <v>134.0</v>
      </c>
      <c r="B135" s="6" t="str">
        <f>VLOOKUP(A135,vaccines!A:B,2)</f>
        <v>OrtopoxVac</v>
      </c>
      <c r="C135" s="14" t="s">
        <v>1366</v>
      </c>
      <c r="D135" s="14" t="s">
        <v>1367</v>
      </c>
      <c r="E135" s="22">
        <v>45147.0</v>
      </c>
      <c r="H135" s="24" t="s">
        <v>409</v>
      </c>
      <c r="I135" s="22">
        <v>45465.0</v>
      </c>
      <c r="J135" s="10"/>
    </row>
    <row r="136">
      <c r="A136" s="6">
        <v>135.0</v>
      </c>
      <c r="B136" s="6" t="str">
        <f>VLOOKUP(A136,vaccines!A:B,2)</f>
        <v>FlexVac</v>
      </c>
      <c r="C136" s="30" t="s">
        <v>1368</v>
      </c>
      <c r="D136" s="30" t="s">
        <v>1369</v>
      </c>
      <c r="E136" s="15">
        <v>46126.0</v>
      </c>
      <c r="F136" s="5">
        <v>1.0</v>
      </c>
      <c r="G136" s="5">
        <v>0.0</v>
      </c>
      <c r="H136" s="32" t="s">
        <v>412</v>
      </c>
      <c r="I136" s="15">
        <v>45465.0</v>
      </c>
      <c r="J136" s="15">
        <v>46188.0</v>
      </c>
    </row>
    <row r="137">
      <c r="A137" s="6">
        <v>136.0</v>
      </c>
      <c r="B137" s="6" t="str">
        <f>VLOOKUP(A137,vaccines!A:B,2)</f>
        <v>SinSaVac</v>
      </c>
      <c r="C137" s="14" t="s">
        <v>1370</v>
      </c>
      <c r="D137" s="14" t="s">
        <v>1371</v>
      </c>
      <c r="E137" s="18">
        <v>45635.0</v>
      </c>
      <c r="F137" s="34">
        <v>4.0</v>
      </c>
      <c r="G137" s="34">
        <v>4.0</v>
      </c>
      <c r="H137" s="35" t="s">
        <v>1074</v>
      </c>
      <c r="I137" s="15">
        <v>45465.0</v>
      </c>
      <c r="J137" s="22">
        <v>45716.0</v>
      </c>
    </row>
    <row r="138">
      <c r="A138" s="6">
        <v>138.0</v>
      </c>
      <c r="B138" s="6" t="str">
        <f>VLOOKUP(A138,vaccines!A:B,2)</f>
        <v>EpiVacEbola</v>
      </c>
      <c r="C138" s="14" t="s">
        <v>1075</v>
      </c>
      <c r="D138" s="14" t="s">
        <v>1076</v>
      </c>
      <c r="E138" s="15">
        <v>43185.0</v>
      </c>
      <c r="F138" s="5">
        <v>1.0</v>
      </c>
      <c r="G138" s="5">
        <v>0.0</v>
      </c>
      <c r="H138" s="32" t="s">
        <v>418</v>
      </c>
      <c r="I138" s="15">
        <v>45465.0</v>
      </c>
      <c r="J138" s="10"/>
    </row>
    <row r="139">
      <c r="A139" s="33">
        <v>139.0</v>
      </c>
      <c r="B139" s="6" t="str">
        <f>VLOOKUP(A139,vaccines!A:B,2)</f>
        <v>GamEvac_Combi</v>
      </c>
      <c r="C139" s="14" t="s">
        <v>1077</v>
      </c>
      <c r="D139" s="14" t="s">
        <v>1078</v>
      </c>
      <c r="E139" s="15">
        <v>46099.0</v>
      </c>
      <c r="F139" s="5">
        <v>1.0</v>
      </c>
      <c r="G139" s="5">
        <v>0.0</v>
      </c>
      <c r="H139" s="32" t="s">
        <v>421</v>
      </c>
      <c r="I139" s="15">
        <v>46131.0</v>
      </c>
      <c r="J139" s="10"/>
    </row>
    <row r="140">
      <c r="A140" s="6">
        <v>141.0</v>
      </c>
      <c r="B140" s="6" t="str">
        <f>VLOOKUP(A140,vaccines!A:B,2)</f>
        <v>Staphylococcus_therapeutic_Biomed</v>
      </c>
      <c r="C140" s="14" t="s">
        <v>1079</v>
      </c>
      <c r="D140" s="14" t="s">
        <v>1080</v>
      </c>
      <c r="E140" s="15">
        <v>43388.0</v>
      </c>
      <c r="F140" s="5">
        <v>1.0</v>
      </c>
      <c r="G140" s="5">
        <v>0.0</v>
      </c>
      <c r="H140" s="32" t="s">
        <v>424</v>
      </c>
      <c r="I140" s="15">
        <v>45465.0</v>
      </c>
      <c r="J140" s="10"/>
    </row>
    <row r="141">
      <c r="A141" s="6">
        <v>142.0</v>
      </c>
      <c r="B141" s="6" t="str">
        <f>VLOOKUP(A141,vaccines!A:B,2)</f>
        <v>Pseudovac</v>
      </c>
      <c r="C141" s="14" t="s">
        <v>1081</v>
      </c>
      <c r="D141" s="14" t="s">
        <v>1082</v>
      </c>
      <c r="E141" s="15">
        <v>42809.0</v>
      </c>
      <c r="F141" s="5">
        <v>1.0</v>
      </c>
      <c r="G141" s="5">
        <v>0.0</v>
      </c>
      <c r="H141" s="32" t="s">
        <v>427</v>
      </c>
      <c r="I141" s="15">
        <v>45466.0</v>
      </c>
      <c r="J141" s="10"/>
    </row>
    <row r="142">
      <c r="A142" s="6">
        <v>143.0</v>
      </c>
      <c r="B142" s="6" t="str">
        <f>VLOOKUP(A142,vaccines!A:B,2)</f>
        <v>SPSA_therapeutic</v>
      </c>
      <c r="C142" s="14" t="s">
        <v>1372</v>
      </c>
      <c r="D142" s="14" t="s">
        <v>1373</v>
      </c>
      <c r="E142" s="15">
        <v>40819.0</v>
      </c>
      <c r="F142" s="5">
        <v>1.0</v>
      </c>
      <c r="G142" s="5">
        <v>0.0</v>
      </c>
      <c r="H142" s="32" t="s">
        <v>430</v>
      </c>
      <c r="I142" s="15">
        <v>45466.0</v>
      </c>
      <c r="J142" s="10"/>
    </row>
    <row r="143">
      <c r="A143" s="6">
        <v>144.0</v>
      </c>
      <c r="B143" s="6" t="str">
        <f>VLOOKUP(A143,vaccines!A:B,2)</f>
        <v>HepB_Serum_India_0_5</v>
      </c>
      <c r="C143" s="14" t="s">
        <v>1374</v>
      </c>
      <c r="D143" s="14" t="s">
        <v>1375</v>
      </c>
      <c r="E143" s="15">
        <v>45981.0</v>
      </c>
      <c r="F143" s="5">
        <v>1.0</v>
      </c>
      <c r="G143" s="5">
        <v>0.0</v>
      </c>
      <c r="H143" s="32" t="s">
        <v>433</v>
      </c>
      <c r="I143" s="15">
        <v>45466.0</v>
      </c>
      <c r="J143" s="31">
        <v>46053.0</v>
      </c>
    </row>
    <row r="144">
      <c r="A144" s="6">
        <v>145.0</v>
      </c>
      <c r="B144" s="6" t="str">
        <f>VLOOKUP(A144,vaccines!A:B,2)</f>
        <v>Polio_1_2_3</v>
      </c>
      <c r="C144" s="14" t="s">
        <v>1376</v>
      </c>
      <c r="D144" s="14" t="s">
        <v>1377</v>
      </c>
      <c r="E144" s="15">
        <v>45275.0</v>
      </c>
      <c r="F144" s="5">
        <v>1.0</v>
      </c>
      <c r="G144" s="5">
        <v>0.0</v>
      </c>
      <c r="H144" s="32" t="s">
        <v>436</v>
      </c>
      <c r="I144" s="15">
        <v>45466.0</v>
      </c>
      <c r="J144" s="10"/>
    </row>
    <row r="145">
      <c r="A145" s="6">
        <v>146.0</v>
      </c>
      <c r="B145" s="6" t="str">
        <f>VLOOKUP(A145,vaccines!A:B,2)</f>
        <v>TEOVac_chew_tablets</v>
      </c>
      <c r="C145" s="14" t="s">
        <v>1378</v>
      </c>
      <c r="D145" s="14" t="s">
        <v>1379</v>
      </c>
      <c r="E145" s="15">
        <v>40396.0</v>
      </c>
      <c r="F145" s="5">
        <v>1.0</v>
      </c>
      <c r="G145" s="5">
        <v>0.0</v>
      </c>
      <c r="H145" s="32" t="s">
        <v>439</v>
      </c>
      <c r="I145" s="15">
        <v>45467.0</v>
      </c>
      <c r="J145" s="10"/>
    </row>
    <row r="146">
      <c r="A146" s="6">
        <v>147.0</v>
      </c>
      <c r="B146" s="6" t="str">
        <f>VLOOKUP(A146,vaccines!A:B,2)</f>
        <v>TEOVac_tablets</v>
      </c>
      <c r="C146" s="14" t="s">
        <v>1378</v>
      </c>
      <c r="D146" s="14" t="s">
        <v>1379</v>
      </c>
      <c r="E146" s="15">
        <v>40392.0</v>
      </c>
      <c r="F146" s="5">
        <v>1.0</v>
      </c>
      <c r="G146" s="5">
        <v>0.0</v>
      </c>
      <c r="H146" s="32" t="s">
        <v>442</v>
      </c>
      <c r="I146" s="15">
        <v>45467.0</v>
      </c>
      <c r="J146" s="10"/>
    </row>
    <row r="147">
      <c r="A147" s="23">
        <v>148.0</v>
      </c>
      <c r="B147" s="6" t="str">
        <f>VLOOKUP(A147,vaccines!A:B,2)</f>
        <v>Uro_BCG_therapeutic</v>
      </c>
      <c r="C147" s="40" t="s">
        <v>1274</v>
      </c>
      <c r="D147" s="40" t="s">
        <v>1347</v>
      </c>
      <c r="E147" s="15">
        <v>42947.0</v>
      </c>
      <c r="F147" s="5">
        <v>1.0</v>
      </c>
      <c r="G147" s="5">
        <v>0.0</v>
      </c>
      <c r="H147" s="32" t="s">
        <v>445</v>
      </c>
      <c r="I147" s="15">
        <v>45494.0</v>
      </c>
      <c r="J147" s="10"/>
    </row>
    <row r="148">
      <c r="A148" s="6">
        <v>149.0</v>
      </c>
      <c r="B148" s="6" t="str">
        <f>VLOOKUP(A148,vaccines!A:B,2)</f>
        <v>Flu_Microgen</v>
      </c>
      <c r="C148" s="14" t="s">
        <v>1380</v>
      </c>
      <c r="D148" s="14" t="s">
        <v>1381</v>
      </c>
      <c r="E148" s="15">
        <v>40940.0</v>
      </c>
      <c r="F148" s="5">
        <v>1.0</v>
      </c>
      <c r="G148" s="5">
        <v>0.0</v>
      </c>
      <c r="H148" s="32" t="s">
        <v>448</v>
      </c>
      <c r="I148" s="15">
        <v>45494.0</v>
      </c>
      <c r="J148" s="10"/>
    </row>
    <row r="149">
      <c r="A149" s="23">
        <v>150.0</v>
      </c>
      <c r="B149" s="6" t="str">
        <f>VLOOKUP(A149,vaccines!A:B,2)</f>
        <v>MonoGrippol_plus</v>
      </c>
      <c r="C149" s="14" t="s">
        <v>1382</v>
      </c>
      <c r="D149" s="14" t="s">
        <v>1383</v>
      </c>
      <c r="E149" s="15">
        <v>42719.0</v>
      </c>
      <c r="F149" s="5">
        <v>1.0</v>
      </c>
      <c r="G149" s="5">
        <v>0.0</v>
      </c>
      <c r="H149" s="32" t="s">
        <v>451</v>
      </c>
      <c r="I149" s="15">
        <v>45494.0</v>
      </c>
      <c r="J149" s="10"/>
    </row>
    <row r="150">
      <c r="A150" s="6">
        <v>151.0</v>
      </c>
      <c r="B150" s="6" t="str">
        <f>VLOOKUP(A150,vaccines!A:B,2)</f>
        <v>MonoGrippol_Neo</v>
      </c>
      <c r="C150" s="14" t="s">
        <v>1384</v>
      </c>
      <c r="D150" s="14" t="s">
        <v>1385</v>
      </c>
      <c r="E150" s="15">
        <v>40102.0</v>
      </c>
      <c r="F150" s="5">
        <v>1.0</v>
      </c>
      <c r="G150" s="5">
        <v>0.0</v>
      </c>
      <c r="H150" s="32" t="s">
        <v>806</v>
      </c>
      <c r="I150" s="15">
        <v>45494.0</v>
      </c>
      <c r="J150" s="10"/>
    </row>
    <row r="151">
      <c r="A151" s="23">
        <v>152.0</v>
      </c>
      <c r="B151" s="6" t="str">
        <f>VLOOKUP(A151,vaccines!A:B,2)</f>
        <v>MonoGrippol</v>
      </c>
      <c r="C151" s="14" t="s">
        <v>1386</v>
      </c>
      <c r="D151" s="14" t="s">
        <v>1387</v>
      </c>
      <c r="E151" s="15">
        <v>40102.0</v>
      </c>
      <c r="F151" s="5">
        <v>1.0</v>
      </c>
      <c r="G151" s="5">
        <v>0.0</v>
      </c>
      <c r="H151" s="32" t="s">
        <v>455</v>
      </c>
      <c r="I151" s="15">
        <v>45494.0</v>
      </c>
      <c r="J151" s="10"/>
    </row>
    <row r="152">
      <c r="A152" s="6">
        <v>153.0</v>
      </c>
      <c r="B152" s="6" t="str">
        <f>VLOOKUP(A152,vaccines!A:B,2)</f>
        <v>Influvir</v>
      </c>
      <c r="C152" s="14" t="s">
        <v>1388</v>
      </c>
      <c r="D152" s="14" t="s">
        <v>1389</v>
      </c>
      <c r="E152" s="15">
        <v>45681.0</v>
      </c>
      <c r="F152" s="5">
        <v>1.0</v>
      </c>
      <c r="G152" s="5">
        <v>0.0</v>
      </c>
      <c r="H152" s="32" t="s">
        <v>458</v>
      </c>
      <c r="I152" s="15">
        <v>45494.0</v>
      </c>
      <c r="J152" s="15">
        <v>45717.0</v>
      </c>
    </row>
    <row r="153">
      <c r="A153" s="23">
        <v>154.0</v>
      </c>
      <c r="B153" s="6" t="str">
        <f>VLOOKUP(A153,vaccines!A:B,2)</f>
        <v>Pandeflu</v>
      </c>
      <c r="C153" s="14" t="s">
        <v>1390</v>
      </c>
      <c r="D153" s="14" t="s">
        <v>1391</v>
      </c>
      <c r="E153" s="15">
        <v>45719.0</v>
      </c>
      <c r="F153" s="5">
        <v>1.0</v>
      </c>
      <c r="G153" s="5">
        <v>0.0</v>
      </c>
      <c r="H153" s="32" t="s">
        <v>461</v>
      </c>
      <c r="I153" s="15">
        <v>45494.0</v>
      </c>
      <c r="J153" s="15">
        <v>45750.0</v>
      </c>
    </row>
    <row r="154">
      <c r="A154" s="6">
        <v>155.0</v>
      </c>
      <c r="B154" s="6" t="str">
        <f>VLOOKUP(A154,vaccines!A:B,2)</f>
        <v>Grippol_Neo</v>
      </c>
      <c r="C154" s="14" t="s">
        <v>1392</v>
      </c>
      <c r="D154" s="14" t="s">
        <v>1393</v>
      </c>
      <c r="E154" s="15">
        <v>40274.0</v>
      </c>
      <c r="F154" s="5">
        <v>1.0</v>
      </c>
      <c r="G154" s="5">
        <v>0.0</v>
      </c>
      <c r="H154" s="32" t="s">
        <v>813</v>
      </c>
      <c r="I154" s="15">
        <v>45494.0</v>
      </c>
      <c r="J154" s="10"/>
    </row>
    <row r="155">
      <c r="A155" s="23">
        <v>156.0</v>
      </c>
      <c r="B155" s="6" t="str">
        <f>VLOOKUP(A155,vaccines!A:B,2)</f>
        <v>Ultravac</v>
      </c>
      <c r="C155" s="41" t="s">
        <v>1394</v>
      </c>
      <c r="D155" s="14" t="s">
        <v>1395</v>
      </c>
      <c r="E155" s="15">
        <v>45569.0</v>
      </c>
      <c r="F155" s="16"/>
      <c r="G155" s="16"/>
      <c r="H155" s="29" t="s">
        <v>467</v>
      </c>
      <c r="I155" s="15">
        <v>45494.0</v>
      </c>
      <c r="J155" s="15">
        <v>45622.0</v>
      </c>
    </row>
    <row r="156">
      <c r="A156" s="23">
        <v>158.0</v>
      </c>
      <c r="B156" s="6" t="str">
        <f>VLOOKUP(A156,vaccines!A:B,2)</f>
        <v>Gerpovax_therapeutic</v>
      </c>
      <c r="C156" s="40" t="s">
        <v>1274</v>
      </c>
      <c r="D156" s="40" t="s">
        <v>1347</v>
      </c>
      <c r="E156" s="15">
        <v>43808.0</v>
      </c>
      <c r="F156" s="5">
        <v>1.0</v>
      </c>
      <c r="G156" s="5">
        <v>0.0</v>
      </c>
      <c r="H156" s="32" t="s">
        <v>470</v>
      </c>
      <c r="I156" s="15">
        <v>45496.0</v>
      </c>
      <c r="J156" s="10"/>
    </row>
    <row r="157">
      <c r="A157" s="23">
        <v>159.0</v>
      </c>
      <c r="B157" s="6" t="str">
        <f>VLOOKUP(A157,vaccines!A:B,2)</f>
        <v>Ultragrivac</v>
      </c>
      <c r="C157" s="41" t="s">
        <v>1388</v>
      </c>
      <c r="D157" s="41" t="s">
        <v>1389</v>
      </c>
      <c r="E157" s="15">
        <v>45775.0</v>
      </c>
      <c r="F157" s="5">
        <v>1.0</v>
      </c>
      <c r="G157" s="5">
        <v>0.0</v>
      </c>
      <c r="H157" s="32" t="s">
        <v>473</v>
      </c>
      <c r="I157" s="15">
        <v>45496.0</v>
      </c>
      <c r="J157" s="15">
        <v>45818.0</v>
      </c>
    </row>
    <row r="158">
      <c r="A158" s="23">
        <v>160.0</v>
      </c>
      <c r="B158" s="6" t="str">
        <f>VLOOKUP(A158,vaccines!A:B,2)</f>
        <v>OrniFlu</v>
      </c>
      <c r="C158" s="14" t="s">
        <v>1191</v>
      </c>
      <c r="D158" s="14" t="s">
        <v>1192</v>
      </c>
      <c r="E158" s="15">
        <v>45720.0</v>
      </c>
      <c r="F158" s="5">
        <v>1.0</v>
      </c>
      <c r="G158" s="5">
        <v>0.0</v>
      </c>
      <c r="H158" s="32" t="s">
        <v>476</v>
      </c>
      <c r="I158" s="15">
        <v>45496.0</v>
      </c>
      <c r="J158" s="15">
        <v>45750.0</v>
      </c>
    </row>
    <row r="159">
      <c r="A159" s="23">
        <v>161.0</v>
      </c>
      <c r="B159" s="6" t="str">
        <f>VLOOKUP(A159,vaccines!A:B,2)</f>
        <v>rubella_Croatia</v>
      </c>
      <c r="C159" s="14" t="s">
        <v>1396</v>
      </c>
      <c r="D159" s="14" t="s">
        <v>1397</v>
      </c>
      <c r="E159" s="15">
        <v>37712.0</v>
      </c>
      <c r="F159" s="5">
        <v>1.0</v>
      </c>
      <c r="G159" s="5">
        <v>0.0</v>
      </c>
      <c r="H159" s="32" t="s">
        <v>479</v>
      </c>
      <c r="I159" s="15">
        <v>45496.0</v>
      </c>
      <c r="J159" s="10"/>
    </row>
    <row r="160">
      <c r="A160" s="23">
        <v>162.0</v>
      </c>
      <c r="B160" s="6" t="str">
        <f>VLOOKUP(A160,vaccines!A:B,2)</f>
        <v>Tetraanatoxin</v>
      </c>
      <c r="C160" s="14" t="s">
        <v>1398</v>
      </c>
      <c r="D160" s="14" t="s">
        <v>1399</v>
      </c>
      <c r="E160" s="15">
        <v>45546.0</v>
      </c>
      <c r="F160" s="6"/>
      <c r="G160" s="6"/>
      <c r="H160" s="36" t="s">
        <v>482</v>
      </c>
      <c r="I160" s="15">
        <v>45497.0</v>
      </c>
      <c r="J160" s="15">
        <v>45581.0</v>
      </c>
    </row>
    <row r="161">
      <c r="A161" s="23">
        <v>163.0</v>
      </c>
      <c r="B161" s="6" t="str">
        <f>VLOOKUP(A161,vaccines!A:B,2)</f>
        <v>Staphylococcus_Gamaleya</v>
      </c>
      <c r="C161" s="40" t="s">
        <v>1274</v>
      </c>
      <c r="D161" s="40" t="s">
        <v>1347</v>
      </c>
      <c r="E161" s="15">
        <v>45799.0</v>
      </c>
      <c r="F161" s="5">
        <v>1.0</v>
      </c>
      <c r="G161" s="5">
        <v>0.0</v>
      </c>
      <c r="H161" s="32" t="s">
        <v>485</v>
      </c>
      <c r="I161" s="15">
        <v>45497.0</v>
      </c>
      <c r="J161" s="31">
        <v>45830.0</v>
      </c>
    </row>
    <row r="162">
      <c r="A162" s="23">
        <v>164.0</v>
      </c>
      <c r="B162" s="6" t="str">
        <f>VLOOKUP(A162,vaccines!A:B,2)</f>
        <v>Staphylococcus_therapeutic_Gamaleya</v>
      </c>
      <c r="C162" s="40" t="s">
        <v>1274</v>
      </c>
      <c r="D162" s="40" t="s">
        <v>1347</v>
      </c>
      <c r="E162" s="15">
        <v>45799.0</v>
      </c>
      <c r="F162" s="5">
        <v>1.0</v>
      </c>
      <c r="G162" s="5">
        <v>0.0</v>
      </c>
      <c r="H162" s="32" t="s">
        <v>488</v>
      </c>
      <c r="I162" s="15">
        <v>45497.0</v>
      </c>
      <c r="J162" s="15">
        <v>45830.0</v>
      </c>
    </row>
    <row r="163">
      <c r="A163" s="23">
        <v>165.0</v>
      </c>
      <c r="B163" s="6" t="str">
        <f>VLOOKUP(A163,vaccines!A:B,2)</f>
        <v>Imuron_vac_therapeutic</v>
      </c>
      <c r="C163" s="40" t="s">
        <v>1274</v>
      </c>
      <c r="D163" s="40" t="s">
        <v>1347</v>
      </c>
      <c r="E163" s="15">
        <v>45811.0</v>
      </c>
      <c r="F163" s="5">
        <v>1.0</v>
      </c>
      <c r="G163" s="5">
        <v>0.0</v>
      </c>
      <c r="H163" s="32" t="s">
        <v>491</v>
      </c>
      <c r="I163" s="15">
        <v>45497.0</v>
      </c>
      <c r="J163" s="15">
        <v>45861.0</v>
      </c>
    </row>
    <row r="164">
      <c r="A164" s="23">
        <v>166.0</v>
      </c>
      <c r="B164" s="6" t="str">
        <f>VLOOKUP(A164,vaccines!A:B,2)</f>
        <v>HepB_Serum_India_1_0</v>
      </c>
      <c r="C164" s="14" t="s">
        <v>1374</v>
      </c>
      <c r="D164" s="14" t="s">
        <v>1375</v>
      </c>
      <c r="E164" s="15">
        <v>45981.0</v>
      </c>
      <c r="F164" s="5">
        <v>1.0</v>
      </c>
      <c r="G164" s="5">
        <v>0.0</v>
      </c>
      <c r="H164" s="32" t="s">
        <v>433</v>
      </c>
      <c r="I164" s="15">
        <v>45466.0</v>
      </c>
      <c r="J164" s="31">
        <v>46053.0</v>
      </c>
    </row>
    <row r="165">
      <c r="A165" s="23">
        <v>167.0</v>
      </c>
      <c r="B165" s="6" t="str">
        <f>VLOOKUP(A165,vaccines!A:B,2)</f>
        <v>Hexaxim</v>
      </c>
      <c r="C165" s="14" t="s">
        <v>1400</v>
      </c>
      <c r="D165" s="14" t="s">
        <v>1401</v>
      </c>
      <c r="E165" s="15">
        <v>45504.0</v>
      </c>
      <c r="F165" s="6"/>
      <c r="G165" s="6"/>
      <c r="H165" s="36" t="s">
        <v>496</v>
      </c>
      <c r="I165" s="15">
        <v>45558.0</v>
      </c>
      <c r="J165" s="10"/>
    </row>
    <row r="166">
      <c r="A166" s="23">
        <v>168.0</v>
      </c>
      <c r="B166" s="6" t="str">
        <f>VLOOKUP(A166,vaccines!A:B,2)</f>
        <v>Gam_VLP_multivac</v>
      </c>
      <c r="C166" s="14" t="s">
        <v>1402</v>
      </c>
      <c r="D166" s="14" t="s">
        <v>1403</v>
      </c>
      <c r="E166" s="15">
        <v>45632.0</v>
      </c>
      <c r="F166" s="5">
        <v>1.0</v>
      </c>
      <c r="G166" s="5">
        <v>0.0</v>
      </c>
      <c r="H166" s="36" t="s">
        <v>499</v>
      </c>
      <c r="I166" s="15">
        <v>45678.0</v>
      </c>
      <c r="J166" s="10"/>
    </row>
    <row r="167">
      <c r="A167" s="23">
        <v>169.0</v>
      </c>
      <c r="B167" s="6" t="str">
        <f>VLOOKUP(A167,vaccines!A:B,2)</f>
        <v>Gam_VLP_multivac_nasal</v>
      </c>
      <c r="C167" s="14" t="s">
        <v>1006</v>
      </c>
      <c r="D167" s="14" t="s">
        <v>1007</v>
      </c>
      <c r="E167" s="15">
        <v>45737.0</v>
      </c>
      <c r="F167" s="5">
        <v>1.0</v>
      </c>
      <c r="G167" s="5">
        <v>0.0</v>
      </c>
      <c r="H167" s="32" t="s">
        <v>502</v>
      </c>
      <c r="I167" s="15">
        <v>45742.0</v>
      </c>
      <c r="J167" s="10"/>
    </row>
    <row r="168">
      <c r="A168" s="23">
        <v>170.0</v>
      </c>
      <c r="B168" s="6" t="str">
        <f>VLOOKUP(A168,vaccines!A:B,2)</f>
        <v>Cegardex</v>
      </c>
      <c r="C168" s="14" t="s">
        <v>1404</v>
      </c>
      <c r="D168" s="14" t="s">
        <v>1405</v>
      </c>
      <c r="E168" s="15">
        <v>45721.0</v>
      </c>
      <c r="F168" s="5">
        <v>1.0</v>
      </c>
      <c r="G168" s="5">
        <v>0.0</v>
      </c>
      <c r="H168" s="32" t="s">
        <v>505</v>
      </c>
      <c r="I168" s="15">
        <v>45742.0</v>
      </c>
      <c r="J168" s="10"/>
    </row>
    <row r="169">
      <c r="A169" s="23">
        <v>171.0</v>
      </c>
      <c r="B169" s="6" t="str">
        <f>VLOOKUP(A169,vaccines!A:B,2)</f>
        <v>Menvaid</v>
      </c>
      <c r="C169" s="14" t="s">
        <v>1406</v>
      </c>
      <c r="D169" s="14" t="s">
        <v>1407</v>
      </c>
      <c r="E169" s="15">
        <v>45740.0</v>
      </c>
      <c r="F169" s="5">
        <v>1.0</v>
      </c>
      <c r="G169" s="5">
        <v>0.0</v>
      </c>
      <c r="H169" s="32" t="s">
        <v>508</v>
      </c>
      <c r="I169" s="15">
        <v>45755.0</v>
      </c>
      <c r="J169" s="10"/>
    </row>
    <row r="170">
      <c r="A170" s="23">
        <v>172.0</v>
      </c>
      <c r="B170" s="6" t="str">
        <f>VLOOKUP(A170,vaccines!A:B,2)</f>
        <v>ChiroRab</v>
      </c>
      <c r="C170" s="14" t="s">
        <v>1280</v>
      </c>
      <c r="D170" s="14" t="s">
        <v>1281</v>
      </c>
      <c r="E170" s="22">
        <v>42996.0</v>
      </c>
      <c r="F170" s="23">
        <v>1.0</v>
      </c>
      <c r="G170" s="23">
        <v>0.0</v>
      </c>
      <c r="H170" s="25" t="s">
        <v>261</v>
      </c>
      <c r="I170" s="22">
        <v>45818.0</v>
      </c>
      <c r="J170" s="10"/>
      <c r="K170" s="37" t="s">
        <v>511</v>
      </c>
    </row>
    <row r="171">
      <c r="A171" s="23">
        <v>173.0</v>
      </c>
      <c r="B171" s="6" t="str">
        <f>VLOOKUP(A171,vaccines!A:B,2)</f>
        <v>Prevenar_20</v>
      </c>
      <c r="C171" s="14" t="s">
        <v>1408</v>
      </c>
      <c r="D171" s="14" t="s">
        <v>1409</v>
      </c>
      <c r="E171" s="15">
        <v>45835.0</v>
      </c>
      <c r="F171" s="5">
        <v>1.0</v>
      </c>
      <c r="G171" s="5">
        <v>0.0</v>
      </c>
      <c r="H171" s="32" t="s">
        <v>514</v>
      </c>
      <c r="I171" s="15">
        <v>45861.0</v>
      </c>
      <c r="J171" s="10"/>
    </row>
    <row r="172">
      <c r="A172" s="23">
        <v>174.0</v>
      </c>
      <c r="B172" s="6" t="str">
        <f>VLOOKUP(A172,vaccines!A:B,2)</f>
        <v>aAKDS_M</v>
      </c>
      <c r="C172" s="14" t="s">
        <v>1410</v>
      </c>
      <c r="D172" s="14" t="s">
        <v>1411</v>
      </c>
      <c r="E172" s="15">
        <v>46104.0</v>
      </c>
      <c r="F172" s="5">
        <v>1.0</v>
      </c>
      <c r="G172" s="5">
        <v>0.0</v>
      </c>
      <c r="H172" s="32" t="s">
        <v>517</v>
      </c>
      <c r="I172" s="15">
        <v>46131.0</v>
      </c>
      <c r="J172" s="10"/>
    </row>
    <row r="173">
      <c r="A173" s="23">
        <v>175.0</v>
      </c>
      <c r="B173" s="6" t="str">
        <f>VLOOKUP(A173,vaccines!A:B,2)</f>
        <v>Nimenrix</v>
      </c>
      <c r="C173" s="14" t="s">
        <v>1412</v>
      </c>
      <c r="D173" s="14" t="s">
        <v>1413</v>
      </c>
      <c r="E173" s="15">
        <v>46111.0</v>
      </c>
      <c r="F173" s="5">
        <v>1.0</v>
      </c>
      <c r="G173" s="5">
        <v>0.0</v>
      </c>
      <c r="H173" s="32" t="s">
        <v>520</v>
      </c>
      <c r="I173" s="15">
        <v>46131.0</v>
      </c>
      <c r="J173" s="10"/>
    </row>
    <row r="174">
      <c r="B174" s="9"/>
      <c r="C174" s="38"/>
      <c r="D174" s="38"/>
      <c r="E174" s="10"/>
      <c r="I174" s="10"/>
      <c r="J174" s="10"/>
    </row>
    <row r="175">
      <c r="B175" s="9"/>
      <c r="C175" s="38"/>
      <c r="D175" s="38"/>
      <c r="E175" s="10"/>
      <c r="I175" s="10"/>
      <c r="J175" s="10"/>
    </row>
    <row r="176">
      <c r="B176" s="9"/>
      <c r="C176" s="38"/>
      <c r="D176" s="38"/>
      <c r="E176" s="10"/>
      <c r="I176" s="10"/>
      <c r="J176" s="10"/>
    </row>
    <row r="177">
      <c r="B177" s="9"/>
      <c r="C177" s="38"/>
      <c r="D177" s="38"/>
      <c r="E177" s="10"/>
      <c r="I177" s="10"/>
      <c r="J177" s="10"/>
    </row>
    <row r="178">
      <c r="B178" s="9"/>
      <c r="C178" s="38"/>
      <c r="D178" s="38"/>
      <c r="E178" s="10"/>
      <c r="I178" s="10"/>
      <c r="J178" s="10"/>
    </row>
    <row r="179">
      <c r="B179" s="9"/>
      <c r="C179" s="38"/>
      <c r="D179" s="38"/>
      <c r="E179" s="10"/>
      <c r="I179" s="10"/>
      <c r="J179" s="10"/>
    </row>
    <row r="180">
      <c r="B180" s="9"/>
      <c r="C180" s="38"/>
      <c r="D180" s="38"/>
      <c r="E180" s="10"/>
      <c r="I180" s="10"/>
      <c r="J180" s="10"/>
    </row>
    <row r="181">
      <c r="B181" s="9"/>
      <c r="C181" s="38"/>
      <c r="D181" s="38"/>
      <c r="E181" s="10"/>
      <c r="I181" s="10"/>
      <c r="J181" s="10"/>
    </row>
    <row r="182">
      <c r="B182" s="9"/>
      <c r="C182" s="38"/>
      <c r="D182" s="38"/>
      <c r="E182" s="10"/>
      <c r="I182" s="10"/>
      <c r="J182" s="10"/>
    </row>
    <row r="183">
      <c r="B183" s="9"/>
      <c r="C183" s="38"/>
      <c r="D183" s="38"/>
      <c r="E183" s="10"/>
      <c r="I183" s="10"/>
      <c r="J183" s="10"/>
    </row>
    <row r="184">
      <c r="B184" s="9"/>
      <c r="C184" s="38"/>
      <c r="D184" s="38"/>
      <c r="E184" s="10"/>
      <c r="I184" s="10"/>
      <c r="J184" s="10"/>
    </row>
    <row r="185">
      <c r="B185" s="9"/>
      <c r="C185" s="38"/>
      <c r="D185" s="38"/>
      <c r="E185" s="10"/>
      <c r="I185" s="10"/>
      <c r="J185" s="10"/>
    </row>
    <row r="186">
      <c r="B186" s="9"/>
      <c r="C186" s="38"/>
      <c r="D186" s="38"/>
      <c r="E186" s="10"/>
      <c r="I186" s="10"/>
      <c r="J186" s="10"/>
    </row>
    <row r="187">
      <c r="B187" s="9"/>
      <c r="C187" s="38"/>
      <c r="D187" s="38"/>
      <c r="E187" s="10"/>
      <c r="I187" s="10"/>
      <c r="J187" s="10"/>
    </row>
    <row r="188">
      <c r="B188" s="9"/>
      <c r="C188" s="38"/>
      <c r="D188" s="38"/>
      <c r="E188" s="10"/>
      <c r="I188" s="10"/>
      <c r="J188" s="10"/>
    </row>
    <row r="189">
      <c r="B189" s="9"/>
      <c r="C189" s="38"/>
      <c r="D189" s="38"/>
      <c r="E189" s="10"/>
      <c r="I189" s="10"/>
      <c r="J189" s="10"/>
    </row>
    <row r="190">
      <c r="B190" s="9"/>
      <c r="C190" s="38"/>
      <c r="D190" s="38"/>
      <c r="E190" s="10"/>
      <c r="I190" s="10"/>
      <c r="J190" s="10"/>
    </row>
    <row r="191">
      <c r="B191" s="9"/>
      <c r="C191" s="38"/>
      <c r="D191" s="38"/>
      <c r="E191" s="10"/>
      <c r="I191" s="10"/>
      <c r="J191" s="10"/>
    </row>
    <row r="192">
      <c r="B192" s="9"/>
      <c r="C192" s="38"/>
      <c r="D192" s="38"/>
      <c r="E192" s="10"/>
      <c r="I192" s="10"/>
      <c r="J192" s="10"/>
    </row>
    <row r="193">
      <c r="B193" s="9"/>
      <c r="C193" s="38"/>
      <c r="D193" s="38"/>
      <c r="E193" s="10"/>
      <c r="I193" s="10"/>
      <c r="J193" s="10"/>
    </row>
    <row r="194">
      <c r="B194" s="9"/>
      <c r="C194" s="38"/>
      <c r="D194" s="38"/>
      <c r="E194" s="10"/>
      <c r="I194" s="10"/>
      <c r="J194" s="10"/>
    </row>
    <row r="195">
      <c r="B195" s="9"/>
      <c r="C195" s="38"/>
      <c r="D195" s="38"/>
      <c r="E195" s="10"/>
      <c r="I195" s="10"/>
      <c r="J195" s="10"/>
    </row>
    <row r="196">
      <c r="B196" s="9"/>
      <c r="C196" s="38"/>
      <c r="D196" s="38"/>
      <c r="E196" s="10"/>
      <c r="I196" s="10"/>
      <c r="J196" s="10"/>
    </row>
    <row r="197">
      <c r="B197" s="9"/>
      <c r="C197" s="38"/>
      <c r="D197" s="38"/>
      <c r="E197" s="10"/>
      <c r="I197" s="10"/>
      <c r="J197" s="10"/>
    </row>
    <row r="198">
      <c r="B198" s="9"/>
      <c r="C198" s="38"/>
      <c r="D198" s="38"/>
      <c r="E198" s="10"/>
      <c r="I198" s="10"/>
      <c r="J198" s="10"/>
    </row>
    <row r="199">
      <c r="B199" s="9"/>
      <c r="C199" s="38"/>
      <c r="D199" s="38"/>
      <c r="E199" s="10"/>
      <c r="I199" s="10"/>
      <c r="J199" s="10"/>
    </row>
    <row r="200">
      <c r="B200" s="9"/>
      <c r="C200" s="38"/>
      <c r="D200" s="38"/>
      <c r="E200" s="10"/>
      <c r="I200" s="10"/>
      <c r="J200" s="10"/>
    </row>
    <row r="201">
      <c r="B201" s="9"/>
      <c r="C201" s="38"/>
      <c r="D201" s="38"/>
      <c r="E201" s="10"/>
      <c r="I201" s="10"/>
      <c r="J201" s="10"/>
    </row>
    <row r="202">
      <c r="B202" s="9"/>
      <c r="C202" s="38"/>
      <c r="D202" s="38"/>
      <c r="E202" s="10"/>
      <c r="I202" s="10"/>
      <c r="J202" s="10"/>
    </row>
    <row r="203">
      <c r="B203" s="9"/>
      <c r="C203" s="38"/>
      <c r="D203" s="38"/>
      <c r="E203" s="10"/>
      <c r="I203" s="10"/>
      <c r="J203" s="10"/>
    </row>
    <row r="204">
      <c r="B204" s="9"/>
      <c r="C204" s="38"/>
      <c r="D204" s="38"/>
      <c r="E204" s="10"/>
      <c r="I204" s="10"/>
      <c r="J204" s="10"/>
    </row>
    <row r="205">
      <c r="B205" s="9"/>
      <c r="C205" s="38"/>
      <c r="D205" s="38"/>
      <c r="E205" s="10"/>
      <c r="I205" s="10"/>
      <c r="J205" s="10"/>
    </row>
    <row r="206">
      <c r="B206" s="9"/>
      <c r="C206" s="38"/>
      <c r="D206" s="38"/>
      <c r="E206" s="10"/>
      <c r="I206" s="10"/>
      <c r="J206" s="10"/>
    </row>
    <row r="207">
      <c r="B207" s="9"/>
      <c r="C207" s="38"/>
      <c r="D207" s="38"/>
      <c r="E207" s="10"/>
      <c r="I207" s="10"/>
      <c r="J207" s="10"/>
    </row>
    <row r="208">
      <c r="B208" s="9"/>
      <c r="C208" s="38"/>
      <c r="D208" s="38"/>
      <c r="E208" s="10"/>
      <c r="I208" s="10"/>
      <c r="J208" s="10"/>
    </row>
    <row r="209">
      <c r="B209" s="9"/>
      <c r="C209" s="38"/>
      <c r="D209" s="38"/>
      <c r="E209" s="10"/>
      <c r="I209" s="10"/>
      <c r="J209" s="10"/>
    </row>
    <row r="210">
      <c r="B210" s="9"/>
      <c r="C210" s="38"/>
      <c r="D210" s="38"/>
      <c r="E210" s="10"/>
      <c r="I210" s="10"/>
      <c r="J210" s="10"/>
    </row>
    <row r="211">
      <c r="B211" s="9"/>
      <c r="C211" s="38"/>
      <c r="D211" s="38"/>
      <c r="E211" s="10"/>
      <c r="I211" s="10"/>
      <c r="J211" s="10"/>
    </row>
    <row r="212">
      <c r="B212" s="9"/>
      <c r="C212" s="38"/>
      <c r="D212" s="38"/>
      <c r="E212" s="10"/>
      <c r="I212" s="10"/>
      <c r="J212" s="10"/>
    </row>
    <row r="213">
      <c r="B213" s="9"/>
      <c r="C213" s="38"/>
      <c r="D213" s="38"/>
      <c r="E213" s="10"/>
      <c r="I213" s="10"/>
      <c r="J213" s="10"/>
    </row>
    <row r="214">
      <c r="B214" s="9"/>
      <c r="C214" s="38"/>
      <c r="D214" s="38"/>
      <c r="E214" s="10"/>
      <c r="I214" s="10"/>
      <c r="J214" s="10"/>
    </row>
    <row r="215">
      <c r="B215" s="9"/>
      <c r="C215" s="38"/>
      <c r="D215" s="38"/>
      <c r="E215" s="10"/>
      <c r="I215" s="10"/>
      <c r="J215" s="10"/>
    </row>
    <row r="216">
      <c r="B216" s="9"/>
      <c r="C216" s="38"/>
      <c r="D216" s="38"/>
      <c r="E216" s="10"/>
      <c r="I216" s="10"/>
      <c r="J216" s="10"/>
    </row>
    <row r="217">
      <c r="B217" s="9"/>
      <c r="C217" s="38"/>
      <c r="D217" s="38"/>
      <c r="E217" s="10"/>
      <c r="I217" s="10"/>
      <c r="J217" s="10"/>
    </row>
    <row r="218">
      <c r="B218" s="9"/>
      <c r="C218" s="38"/>
      <c r="D218" s="38"/>
      <c r="E218" s="10"/>
      <c r="I218" s="10"/>
      <c r="J218" s="10"/>
    </row>
    <row r="219">
      <c r="B219" s="9"/>
      <c r="C219" s="38"/>
      <c r="D219" s="38"/>
      <c r="E219" s="10"/>
      <c r="I219" s="10"/>
      <c r="J219" s="10"/>
    </row>
    <row r="220">
      <c r="B220" s="9"/>
      <c r="C220" s="38"/>
      <c r="D220" s="38"/>
      <c r="E220" s="10"/>
      <c r="I220" s="10"/>
      <c r="J220" s="10"/>
    </row>
    <row r="221">
      <c r="B221" s="9"/>
      <c r="C221" s="38"/>
      <c r="D221" s="38"/>
      <c r="E221" s="10"/>
      <c r="I221" s="10"/>
      <c r="J221" s="10"/>
    </row>
    <row r="222">
      <c r="B222" s="9"/>
      <c r="C222" s="38"/>
      <c r="D222" s="38"/>
      <c r="E222" s="10"/>
      <c r="I222" s="10"/>
      <c r="J222" s="10"/>
    </row>
    <row r="223">
      <c r="B223" s="9"/>
      <c r="C223" s="38"/>
      <c r="D223" s="38"/>
      <c r="E223" s="10"/>
      <c r="I223" s="10"/>
      <c r="J223" s="10"/>
    </row>
    <row r="224">
      <c r="B224" s="9"/>
      <c r="C224" s="38"/>
      <c r="D224" s="38"/>
      <c r="E224" s="10"/>
      <c r="I224" s="10"/>
      <c r="J224" s="10"/>
    </row>
    <row r="225">
      <c r="B225" s="9"/>
      <c r="C225" s="38"/>
      <c r="D225" s="38"/>
      <c r="E225" s="10"/>
      <c r="I225" s="10"/>
      <c r="J225" s="10"/>
    </row>
    <row r="226">
      <c r="B226" s="9"/>
      <c r="C226" s="38"/>
      <c r="D226" s="38"/>
      <c r="E226" s="10"/>
      <c r="I226" s="10"/>
      <c r="J226" s="10"/>
    </row>
    <row r="227">
      <c r="B227" s="9"/>
      <c r="C227" s="38"/>
      <c r="D227" s="38"/>
      <c r="E227" s="10"/>
      <c r="I227" s="10"/>
      <c r="J227" s="10"/>
    </row>
    <row r="228">
      <c r="B228" s="9"/>
      <c r="C228" s="38"/>
      <c r="D228" s="38"/>
      <c r="E228" s="10"/>
      <c r="I228" s="10"/>
      <c r="J228" s="10"/>
    </row>
    <row r="229">
      <c r="B229" s="9"/>
      <c r="C229" s="38"/>
      <c r="D229" s="38"/>
      <c r="E229" s="10"/>
      <c r="I229" s="10"/>
      <c r="J229" s="10"/>
    </row>
    <row r="230">
      <c r="B230" s="9"/>
      <c r="C230" s="38"/>
      <c r="D230" s="38"/>
      <c r="E230" s="10"/>
      <c r="I230" s="10"/>
      <c r="J230" s="10"/>
    </row>
    <row r="231">
      <c r="B231" s="9"/>
      <c r="C231" s="38"/>
      <c r="D231" s="38"/>
      <c r="E231" s="10"/>
      <c r="I231" s="10"/>
      <c r="J231" s="10"/>
    </row>
    <row r="232">
      <c r="B232" s="9"/>
      <c r="C232" s="38"/>
      <c r="D232" s="38"/>
      <c r="E232" s="10"/>
      <c r="I232" s="10"/>
      <c r="J232" s="10"/>
    </row>
    <row r="233">
      <c r="B233" s="9"/>
      <c r="C233" s="38"/>
      <c r="D233" s="38"/>
      <c r="E233" s="10"/>
      <c r="I233" s="10"/>
      <c r="J233" s="10"/>
    </row>
    <row r="234">
      <c r="B234" s="9"/>
      <c r="C234" s="38"/>
      <c r="D234" s="38"/>
      <c r="E234" s="10"/>
      <c r="I234" s="10"/>
      <c r="J234" s="10"/>
    </row>
    <row r="235">
      <c r="B235" s="9"/>
      <c r="C235" s="38"/>
      <c r="D235" s="38"/>
      <c r="E235" s="10"/>
      <c r="I235" s="10"/>
      <c r="J235" s="10"/>
    </row>
    <row r="236">
      <c r="B236" s="9"/>
      <c r="C236" s="38"/>
      <c r="D236" s="38"/>
      <c r="E236" s="10"/>
      <c r="I236" s="10"/>
      <c r="J236" s="10"/>
    </row>
    <row r="237">
      <c r="B237" s="9"/>
      <c r="C237" s="38"/>
      <c r="D237" s="38"/>
      <c r="E237" s="10"/>
      <c r="I237" s="10"/>
      <c r="J237" s="10"/>
    </row>
    <row r="238">
      <c r="B238" s="9"/>
      <c r="C238" s="38"/>
      <c r="D238" s="38"/>
      <c r="E238" s="10"/>
      <c r="I238" s="10"/>
      <c r="J238" s="10"/>
    </row>
    <row r="239">
      <c r="B239" s="9"/>
      <c r="C239" s="38"/>
      <c r="D239" s="38"/>
      <c r="E239" s="10"/>
      <c r="I239" s="10"/>
      <c r="J239" s="10"/>
    </row>
    <row r="240">
      <c r="B240" s="9"/>
      <c r="C240" s="38"/>
      <c r="D240" s="38"/>
      <c r="E240" s="10"/>
      <c r="I240" s="10"/>
      <c r="J240" s="10"/>
    </row>
    <row r="241">
      <c r="B241" s="9"/>
      <c r="C241" s="38"/>
      <c r="D241" s="38"/>
      <c r="E241" s="10"/>
      <c r="I241" s="10"/>
      <c r="J241" s="10"/>
    </row>
    <row r="242">
      <c r="B242" s="9"/>
      <c r="C242" s="38"/>
      <c r="D242" s="38"/>
      <c r="E242" s="10"/>
      <c r="I242" s="10"/>
      <c r="J242" s="10"/>
    </row>
    <row r="243">
      <c r="B243" s="9"/>
      <c r="C243" s="38"/>
      <c r="D243" s="38"/>
      <c r="E243" s="10"/>
      <c r="I243" s="10"/>
      <c r="J243" s="10"/>
    </row>
    <row r="244">
      <c r="B244" s="9"/>
      <c r="C244" s="38"/>
      <c r="D244" s="38"/>
      <c r="E244" s="10"/>
      <c r="I244" s="10"/>
      <c r="J244" s="10"/>
    </row>
    <row r="245">
      <c r="B245" s="9"/>
      <c r="C245" s="38"/>
      <c r="D245" s="38"/>
      <c r="E245" s="10"/>
      <c r="I245" s="10"/>
      <c r="J245" s="10"/>
    </row>
    <row r="246">
      <c r="B246" s="9"/>
      <c r="C246" s="38"/>
      <c r="D246" s="38"/>
      <c r="E246" s="10"/>
      <c r="I246" s="10"/>
      <c r="J246" s="10"/>
    </row>
    <row r="247">
      <c r="B247" s="9"/>
      <c r="C247" s="38"/>
      <c r="D247" s="38"/>
      <c r="E247" s="10"/>
      <c r="I247" s="10"/>
      <c r="J247" s="10"/>
    </row>
    <row r="248">
      <c r="B248" s="9"/>
      <c r="C248" s="38"/>
      <c r="D248" s="38"/>
      <c r="E248" s="10"/>
      <c r="I248" s="10"/>
      <c r="J248" s="10"/>
    </row>
    <row r="249">
      <c r="B249" s="9"/>
      <c r="C249" s="38"/>
      <c r="D249" s="38"/>
      <c r="E249" s="10"/>
      <c r="I249" s="10"/>
      <c r="J249" s="10"/>
    </row>
    <row r="250">
      <c r="B250" s="9"/>
      <c r="C250" s="38"/>
      <c r="D250" s="38"/>
      <c r="E250" s="10"/>
      <c r="I250" s="10"/>
      <c r="J250" s="10"/>
    </row>
    <row r="251">
      <c r="B251" s="9"/>
      <c r="C251" s="38"/>
      <c r="D251" s="38"/>
      <c r="E251" s="10"/>
      <c r="I251" s="10"/>
      <c r="J251" s="10"/>
    </row>
    <row r="252">
      <c r="B252" s="9"/>
      <c r="C252" s="38"/>
      <c r="D252" s="38"/>
      <c r="E252" s="10"/>
      <c r="I252" s="10"/>
      <c r="J252" s="10"/>
    </row>
    <row r="253">
      <c r="B253" s="9"/>
      <c r="C253" s="38"/>
      <c r="D253" s="38"/>
      <c r="E253" s="10"/>
      <c r="I253" s="10"/>
      <c r="J253" s="10"/>
    </row>
    <row r="254">
      <c r="B254" s="9"/>
      <c r="C254" s="38"/>
      <c r="D254" s="38"/>
      <c r="E254" s="10"/>
      <c r="I254" s="10"/>
      <c r="J254" s="10"/>
    </row>
    <row r="255">
      <c r="B255" s="9"/>
      <c r="C255" s="38"/>
      <c r="D255" s="38"/>
      <c r="E255" s="10"/>
      <c r="I255" s="10"/>
      <c r="J255" s="10"/>
    </row>
    <row r="256">
      <c r="B256" s="9"/>
      <c r="C256" s="38"/>
      <c r="D256" s="38"/>
      <c r="E256" s="10"/>
      <c r="I256" s="10"/>
      <c r="J256" s="10"/>
    </row>
    <row r="257">
      <c r="B257" s="9"/>
      <c r="C257" s="38"/>
      <c r="D257" s="38"/>
      <c r="E257" s="10"/>
      <c r="I257" s="10"/>
      <c r="J257" s="10"/>
    </row>
    <row r="258">
      <c r="B258" s="9"/>
      <c r="C258" s="38"/>
      <c r="D258" s="38"/>
      <c r="E258" s="10"/>
      <c r="I258" s="10"/>
      <c r="J258" s="10"/>
    </row>
    <row r="259">
      <c r="B259" s="9"/>
      <c r="C259" s="38"/>
      <c r="D259" s="38"/>
      <c r="E259" s="10"/>
      <c r="I259" s="10"/>
      <c r="J259" s="10"/>
    </row>
    <row r="260">
      <c r="B260" s="9"/>
      <c r="C260" s="38"/>
      <c r="D260" s="38"/>
      <c r="E260" s="10"/>
      <c r="I260" s="10"/>
      <c r="J260" s="10"/>
    </row>
    <row r="261">
      <c r="B261" s="9"/>
      <c r="C261" s="38"/>
      <c r="D261" s="38"/>
      <c r="E261" s="10"/>
      <c r="I261" s="10"/>
      <c r="J261" s="10"/>
    </row>
    <row r="262">
      <c r="B262" s="9"/>
      <c r="C262" s="38"/>
      <c r="D262" s="38"/>
      <c r="E262" s="10"/>
      <c r="I262" s="10"/>
      <c r="J262" s="10"/>
    </row>
    <row r="263">
      <c r="B263" s="9"/>
      <c r="C263" s="38"/>
      <c r="D263" s="38"/>
      <c r="E263" s="10"/>
      <c r="I263" s="10"/>
      <c r="J263" s="10"/>
    </row>
    <row r="264">
      <c r="B264" s="9"/>
      <c r="C264" s="38"/>
      <c r="D264" s="38"/>
      <c r="E264" s="10"/>
      <c r="I264" s="10"/>
      <c r="J264" s="10"/>
    </row>
    <row r="265">
      <c r="B265" s="9"/>
      <c r="C265" s="38"/>
      <c r="D265" s="38"/>
      <c r="E265" s="10"/>
      <c r="I265" s="10"/>
      <c r="J265" s="10"/>
    </row>
    <row r="266">
      <c r="B266" s="9"/>
      <c r="C266" s="38"/>
      <c r="D266" s="38"/>
      <c r="E266" s="10"/>
      <c r="I266" s="10"/>
      <c r="J266" s="10"/>
    </row>
    <row r="267">
      <c r="B267" s="9"/>
      <c r="C267" s="38"/>
      <c r="D267" s="38"/>
      <c r="E267" s="10"/>
      <c r="I267" s="10"/>
      <c r="J267" s="10"/>
    </row>
    <row r="268">
      <c r="B268" s="9"/>
      <c r="C268" s="38"/>
      <c r="D268" s="38"/>
      <c r="E268" s="10"/>
      <c r="I268" s="10"/>
      <c r="J268" s="10"/>
    </row>
    <row r="269">
      <c r="B269" s="9"/>
      <c r="C269" s="38"/>
      <c r="D269" s="38"/>
      <c r="E269" s="10"/>
      <c r="I269" s="10"/>
      <c r="J269" s="10"/>
    </row>
    <row r="270">
      <c r="B270" s="9"/>
      <c r="C270" s="38"/>
      <c r="D270" s="38"/>
      <c r="E270" s="10"/>
      <c r="I270" s="10"/>
      <c r="J270" s="10"/>
    </row>
    <row r="271">
      <c r="B271" s="9"/>
      <c r="C271" s="38"/>
      <c r="D271" s="38"/>
      <c r="E271" s="10"/>
      <c r="I271" s="10"/>
      <c r="J271" s="10"/>
    </row>
    <row r="272">
      <c r="B272" s="9"/>
      <c r="C272" s="38"/>
      <c r="D272" s="38"/>
      <c r="E272" s="10"/>
      <c r="I272" s="10"/>
      <c r="J272" s="10"/>
    </row>
    <row r="273">
      <c r="B273" s="9"/>
      <c r="C273" s="38"/>
      <c r="D273" s="38"/>
      <c r="E273" s="10"/>
      <c r="I273" s="10"/>
      <c r="J273" s="10"/>
    </row>
    <row r="274">
      <c r="B274" s="9"/>
      <c r="C274" s="38"/>
      <c r="D274" s="38"/>
      <c r="E274" s="10"/>
      <c r="I274" s="10"/>
      <c r="J274" s="10"/>
    </row>
    <row r="275">
      <c r="B275" s="9"/>
      <c r="C275" s="38"/>
      <c r="D275" s="38"/>
      <c r="E275" s="10"/>
      <c r="I275" s="10"/>
      <c r="J275" s="10"/>
    </row>
    <row r="276">
      <c r="B276" s="9"/>
      <c r="C276" s="38"/>
      <c r="D276" s="38"/>
      <c r="E276" s="10"/>
      <c r="I276" s="10"/>
      <c r="J276" s="10"/>
    </row>
    <row r="277">
      <c r="B277" s="9"/>
      <c r="C277" s="38"/>
      <c r="D277" s="38"/>
      <c r="E277" s="10"/>
      <c r="I277" s="10"/>
      <c r="J277" s="10"/>
    </row>
    <row r="278">
      <c r="B278" s="9"/>
      <c r="C278" s="38"/>
      <c r="D278" s="38"/>
      <c r="E278" s="10"/>
      <c r="I278" s="10"/>
      <c r="J278" s="10"/>
    </row>
    <row r="279">
      <c r="B279" s="9"/>
      <c r="C279" s="38"/>
      <c r="D279" s="38"/>
      <c r="E279" s="10"/>
      <c r="I279" s="10"/>
      <c r="J279" s="10"/>
    </row>
    <row r="280">
      <c r="B280" s="9"/>
      <c r="C280" s="38"/>
      <c r="D280" s="38"/>
      <c r="E280" s="10"/>
      <c r="I280" s="10"/>
      <c r="J280" s="10"/>
    </row>
    <row r="281">
      <c r="B281" s="9"/>
      <c r="C281" s="38"/>
      <c r="D281" s="38"/>
      <c r="E281" s="10"/>
      <c r="I281" s="10"/>
      <c r="J281" s="10"/>
    </row>
    <row r="282">
      <c r="B282" s="9"/>
      <c r="C282" s="38"/>
      <c r="D282" s="38"/>
      <c r="E282" s="10"/>
      <c r="I282" s="10"/>
      <c r="J282" s="10"/>
    </row>
    <row r="283">
      <c r="B283" s="9"/>
      <c r="C283" s="38"/>
      <c r="D283" s="38"/>
      <c r="E283" s="10"/>
      <c r="I283" s="10"/>
      <c r="J283" s="10"/>
    </row>
    <row r="284">
      <c r="B284" s="9"/>
      <c r="C284" s="38"/>
      <c r="D284" s="38"/>
      <c r="E284" s="10"/>
      <c r="I284" s="10"/>
      <c r="J284" s="10"/>
    </row>
    <row r="285">
      <c r="B285" s="9"/>
      <c r="C285" s="38"/>
      <c r="D285" s="38"/>
      <c r="E285" s="10"/>
      <c r="I285" s="10"/>
      <c r="J285" s="10"/>
    </row>
    <row r="286">
      <c r="B286" s="9"/>
      <c r="C286" s="38"/>
      <c r="D286" s="38"/>
      <c r="E286" s="10"/>
      <c r="I286" s="10"/>
      <c r="J286" s="10"/>
    </row>
    <row r="287">
      <c r="B287" s="9"/>
      <c r="C287" s="38"/>
      <c r="D287" s="38"/>
      <c r="E287" s="10"/>
      <c r="I287" s="10"/>
      <c r="J287" s="10"/>
    </row>
    <row r="288">
      <c r="B288" s="9"/>
      <c r="C288" s="38"/>
      <c r="D288" s="38"/>
      <c r="E288" s="10"/>
      <c r="I288" s="10"/>
      <c r="J288" s="10"/>
    </row>
    <row r="289">
      <c r="B289" s="9"/>
      <c r="C289" s="38"/>
      <c r="D289" s="38"/>
      <c r="E289" s="10"/>
      <c r="I289" s="10"/>
      <c r="J289" s="10"/>
    </row>
    <row r="290">
      <c r="B290" s="9"/>
      <c r="C290" s="38"/>
      <c r="D290" s="38"/>
      <c r="E290" s="10"/>
      <c r="I290" s="10"/>
      <c r="J290" s="10"/>
    </row>
    <row r="291">
      <c r="B291" s="9"/>
      <c r="C291" s="38"/>
      <c r="D291" s="38"/>
      <c r="E291" s="10"/>
      <c r="I291" s="10"/>
      <c r="J291" s="10"/>
    </row>
    <row r="292">
      <c r="B292" s="9"/>
      <c r="C292" s="38"/>
      <c r="D292" s="38"/>
      <c r="E292" s="10"/>
      <c r="I292" s="10"/>
      <c r="J292" s="10"/>
    </row>
    <row r="293">
      <c r="B293" s="9"/>
      <c r="C293" s="38"/>
      <c r="D293" s="38"/>
      <c r="E293" s="10"/>
      <c r="I293" s="10"/>
      <c r="J293" s="10"/>
    </row>
    <row r="294">
      <c r="B294" s="9"/>
      <c r="C294" s="38"/>
      <c r="D294" s="38"/>
      <c r="E294" s="10"/>
      <c r="I294" s="10"/>
      <c r="J294" s="10"/>
    </row>
    <row r="295">
      <c r="B295" s="9"/>
      <c r="C295" s="38"/>
      <c r="D295" s="38"/>
      <c r="E295" s="10"/>
      <c r="I295" s="10"/>
      <c r="J295" s="10"/>
    </row>
    <row r="296">
      <c r="B296" s="9"/>
      <c r="C296" s="38"/>
      <c r="D296" s="38"/>
      <c r="E296" s="10"/>
      <c r="I296" s="10"/>
      <c r="J296" s="10"/>
    </row>
    <row r="297">
      <c r="B297" s="9"/>
      <c r="C297" s="38"/>
      <c r="D297" s="38"/>
      <c r="E297" s="10"/>
      <c r="I297" s="10"/>
      <c r="J297" s="10"/>
    </row>
    <row r="298">
      <c r="B298" s="9"/>
      <c r="C298" s="38"/>
      <c r="D298" s="38"/>
      <c r="E298" s="10"/>
      <c r="I298" s="10"/>
      <c r="J298" s="10"/>
    </row>
    <row r="299">
      <c r="B299" s="9"/>
      <c r="C299" s="38"/>
      <c r="D299" s="38"/>
      <c r="E299" s="10"/>
      <c r="I299" s="10"/>
      <c r="J299" s="10"/>
    </row>
    <row r="300">
      <c r="B300" s="9"/>
      <c r="C300" s="38"/>
      <c r="D300" s="38"/>
      <c r="E300" s="10"/>
      <c r="I300" s="10"/>
      <c r="J300" s="10"/>
    </row>
    <row r="301">
      <c r="B301" s="9"/>
      <c r="C301" s="38"/>
      <c r="D301" s="38"/>
      <c r="E301" s="10"/>
      <c r="I301" s="10"/>
      <c r="J301" s="10"/>
    </row>
    <row r="302">
      <c r="B302" s="9"/>
      <c r="C302" s="38"/>
      <c r="D302" s="38"/>
      <c r="E302" s="10"/>
      <c r="I302" s="10"/>
      <c r="J302" s="10"/>
    </row>
    <row r="303">
      <c r="B303" s="9"/>
      <c r="C303" s="38"/>
      <c r="D303" s="38"/>
      <c r="E303" s="10"/>
      <c r="I303" s="10"/>
      <c r="J303" s="10"/>
    </row>
    <row r="304">
      <c r="B304" s="9"/>
      <c r="C304" s="38"/>
      <c r="D304" s="38"/>
      <c r="E304" s="10"/>
      <c r="I304" s="10"/>
      <c r="J304" s="10"/>
    </row>
    <row r="305">
      <c r="B305" s="9"/>
      <c r="C305" s="38"/>
      <c r="D305" s="38"/>
      <c r="E305" s="10"/>
      <c r="I305" s="10"/>
      <c r="J305" s="10"/>
    </row>
    <row r="306">
      <c r="B306" s="9"/>
      <c r="C306" s="38"/>
      <c r="D306" s="38"/>
      <c r="E306" s="10"/>
      <c r="I306" s="10"/>
      <c r="J306" s="10"/>
    </row>
    <row r="307">
      <c r="B307" s="9"/>
      <c r="C307" s="38"/>
      <c r="D307" s="38"/>
      <c r="E307" s="10"/>
      <c r="I307" s="10"/>
      <c r="J307" s="10"/>
    </row>
    <row r="308">
      <c r="B308" s="9"/>
      <c r="C308" s="38"/>
      <c r="D308" s="38"/>
      <c r="E308" s="10"/>
      <c r="I308" s="10"/>
      <c r="J308" s="10"/>
    </row>
    <row r="309">
      <c r="B309" s="9"/>
      <c r="C309" s="38"/>
      <c r="D309" s="38"/>
      <c r="E309" s="10"/>
      <c r="I309" s="10"/>
      <c r="J309" s="10"/>
    </row>
    <row r="310">
      <c r="B310" s="9"/>
      <c r="C310" s="38"/>
      <c r="D310" s="38"/>
      <c r="E310" s="10"/>
      <c r="I310" s="10"/>
      <c r="J310" s="10"/>
    </row>
    <row r="311">
      <c r="B311" s="9"/>
      <c r="C311" s="38"/>
      <c r="D311" s="38"/>
      <c r="E311" s="10"/>
      <c r="I311" s="10"/>
      <c r="J311" s="10"/>
    </row>
    <row r="312">
      <c r="B312" s="9"/>
      <c r="C312" s="38"/>
      <c r="D312" s="38"/>
      <c r="E312" s="10"/>
      <c r="I312" s="10"/>
      <c r="J312" s="10"/>
    </row>
    <row r="313">
      <c r="B313" s="9"/>
      <c r="C313" s="38"/>
      <c r="D313" s="38"/>
      <c r="E313" s="10"/>
      <c r="I313" s="10"/>
      <c r="J313" s="10"/>
    </row>
    <row r="314">
      <c r="B314" s="9"/>
      <c r="C314" s="38"/>
      <c r="D314" s="38"/>
      <c r="E314" s="10"/>
      <c r="I314" s="10"/>
      <c r="J314" s="10"/>
    </row>
    <row r="315">
      <c r="B315" s="9"/>
      <c r="C315" s="38"/>
      <c r="D315" s="38"/>
      <c r="E315" s="10"/>
      <c r="I315" s="10"/>
      <c r="J315" s="10"/>
    </row>
    <row r="316">
      <c r="B316" s="9"/>
      <c r="C316" s="38"/>
      <c r="D316" s="38"/>
      <c r="E316" s="10"/>
      <c r="I316" s="10"/>
      <c r="J316" s="10"/>
    </row>
    <row r="317">
      <c r="B317" s="9"/>
      <c r="C317" s="38"/>
      <c r="D317" s="38"/>
      <c r="E317" s="10"/>
      <c r="I317" s="10"/>
      <c r="J317" s="10"/>
    </row>
    <row r="318">
      <c r="B318" s="9"/>
      <c r="C318" s="38"/>
      <c r="D318" s="38"/>
      <c r="E318" s="10"/>
      <c r="I318" s="10"/>
      <c r="J318" s="10"/>
    </row>
    <row r="319">
      <c r="B319" s="9"/>
      <c r="C319" s="38"/>
      <c r="D319" s="38"/>
      <c r="E319" s="10"/>
      <c r="I319" s="10"/>
      <c r="J319" s="10"/>
    </row>
    <row r="320">
      <c r="B320" s="9"/>
      <c r="C320" s="38"/>
      <c r="D320" s="38"/>
      <c r="E320" s="10"/>
      <c r="I320" s="10"/>
      <c r="J320" s="10"/>
    </row>
    <row r="321">
      <c r="B321" s="9"/>
      <c r="C321" s="38"/>
      <c r="D321" s="38"/>
      <c r="E321" s="10"/>
      <c r="I321" s="10"/>
      <c r="J321" s="10"/>
    </row>
    <row r="322">
      <c r="B322" s="9"/>
      <c r="C322" s="38"/>
      <c r="D322" s="38"/>
      <c r="E322" s="10"/>
      <c r="I322" s="10"/>
      <c r="J322" s="10"/>
    </row>
    <row r="323">
      <c r="B323" s="9"/>
      <c r="C323" s="38"/>
      <c r="D323" s="38"/>
      <c r="E323" s="10"/>
      <c r="I323" s="10"/>
      <c r="J323" s="10"/>
    </row>
    <row r="324">
      <c r="B324" s="9"/>
      <c r="C324" s="38"/>
      <c r="D324" s="38"/>
      <c r="E324" s="10"/>
      <c r="I324" s="10"/>
      <c r="J324" s="10"/>
    </row>
    <row r="325">
      <c r="B325" s="9"/>
      <c r="C325" s="38"/>
      <c r="D325" s="38"/>
      <c r="E325" s="10"/>
      <c r="I325" s="10"/>
      <c r="J325" s="10"/>
    </row>
    <row r="326">
      <c r="B326" s="9"/>
      <c r="C326" s="38"/>
      <c r="D326" s="38"/>
      <c r="E326" s="10"/>
      <c r="I326" s="10"/>
      <c r="J326" s="10"/>
    </row>
    <row r="327">
      <c r="B327" s="9"/>
      <c r="C327" s="38"/>
      <c r="D327" s="38"/>
      <c r="E327" s="10"/>
      <c r="I327" s="10"/>
      <c r="J327" s="10"/>
    </row>
    <row r="328">
      <c r="B328" s="9"/>
      <c r="C328" s="38"/>
      <c r="D328" s="38"/>
      <c r="E328" s="10"/>
      <c r="I328" s="10"/>
      <c r="J328" s="10"/>
    </row>
    <row r="329">
      <c r="B329" s="9"/>
      <c r="C329" s="38"/>
      <c r="D329" s="38"/>
      <c r="E329" s="10"/>
      <c r="I329" s="10"/>
      <c r="J329" s="10"/>
    </row>
    <row r="330">
      <c r="B330" s="9"/>
      <c r="C330" s="38"/>
      <c r="D330" s="38"/>
      <c r="E330" s="10"/>
      <c r="I330" s="10"/>
      <c r="J330" s="10"/>
    </row>
    <row r="331">
      <c r="B331" s="9"/>
      <c r="C331" s="38"/>
      <c r="D331" s="38"/>
      <c r="E331" s="10"/>
      <c r="I331" s="10"/>
      <c r="J331" s="10"/>
    </row>
    <row r="332">
      <c r="B332" s="9"/>
      <c r="C332" s="38"/>
      <c r="D332" s="38"/>
      <c r="E332" s="10"/>
      <c r="I332" s="10"/>
      <c r="J332" s="10"/>
    </row>
    <row r="333">
      <c r="B333" s="9"/>
      <c r="C333" s="38"/>
      <c r="D333" s="38"/>
      <c r="E333" s="10"/>
      <c r="I333" s="10"/>
      <c r="J333" s="10"/>
    </row>
    <row r="334">
      <c r="B334" s="9"/>
      <c r="C334" s="38"/>
      <c r="D334" s="38"/>
      <c r="E334" s="10"/>
      <c r="I334" s="10"/>
      <c r="J334" s="10"/>
    </row>
    <row r="335">
      <c r="B335" s="9"/>
      <c r="C335" s="38"/>
      <c r="D335" s="38"/>
      <c r="E335" s="10"/>
      <c r="I335" s="10"/>
      <c r="J335" s="10"/>
    </row>
    <row r="336">
      <c r="B336" s="9"/>
      <c r="C336" s="38"/>
      <c r="D336" s="38"/>
      <c r="E336" s="10"/>
      <c r="I336" s="10"/>
      <c r="J336" s="10"/>
    </row>
    <row r="337">
      <c r="B337" s="9"/>
      <c r="C337" s="38"/>
      <c r="D337" s="38"/>
      <c r="E337" s="10"/>
      <c r="I337" s="10"/>
      <c r="J337" s="10"/>
    </row>
    <row r="338">
      <c r="B338" s="9"/>
      <c r="C338" s="38"/>
      <c r="D338" s="38"/>
      <c r="E338" s="10"/>
      <c r="I338" s="10"/>
      <c r="J338" s="10"/>
    </row>
    <row r="339">
      <c r="B339" s="9"/>
      <c r="C339" s="38"/>
      <c r="D339" s="38"/>
      <c r="E339" s="10"/>
      <c r="I339" s="10"/>
      <c r="J339" s="10"/>
    </row>
    <row r="340">
      <c r="B340" s="9"/>
      <c r="C340" s="38"/>
      <c r="D340" s="38"/>
      <c r="E340" s="10"/>
      <c r="I340" s="10"/>
      <c r="J340" s="10"/>
    </row>
    <row r="341">
      <c r="B341" s="9"/>
      <c r="C341" s="38"/>
      <c r="D341" s="38"/>
      <c r="E341" s="10"/>
      <c r="I341" s="10"/>
      <c r="J341" s="10"/>
    </row>
    <row r="342">
      <c r="B342" s="9"/>
      <c r="C342" s="38"/>
      <c r="D342" s="38"/>
      <c r="E342" s="10"/>
      <c r="I342" s="10"/>
      <c r="J342" s="10"/>
    </row>
    <row r="343">
      <c r="B343" s="9"/>
      <c r="C343" s="38"/>
      <c r="D343" s="38"/>
      <c r="E343" s="10"/>
      <c r="I343" s="10"/>
      <c r="J343" s="10"/>
    </row>
    <row r="344">
      <c r="B344" s="9"/>
      <c r="C344" s="38"/>
      <c r="D344" s="38"/>
      <c r="E344" s="10"/>
      <c r="I344" s="10"/>
      <c r="J344" s="10"/>
    </row>
    <row r="345">
      <c r="B345" s="9"/>
      <c r="C345" s="38"/>
      <c r="D345" s="38"/>
      <c r="E345" s="10"/>
      <c r="I345" s="10"/>
      <c r="J345" s="10"/>
    </row>
    <row r="346">
      <c r="B346" s="9"/>
      <c r="C346" s="38"/>
      <c r="D346" s="38"/>
      <c r="E346" s="10"/>
      <c r="I346" s="10"/>
      <c r="J346" s="10"/>
    </row>
    <row r="347">
      <c r="B347" s="9"/>
      <c r="C347" s="38"/>
      <c r="D347" s="38"/>
      <c r="E347" s="10"/>
      <c r="I347" s="10"/>
      <c r="J347" s="10"/>
    </row>
    <row r="348">
      <c r="B348" s="9"/>
      <c r="C348" s="38"/>
      <c r="D348" s="38"/>
      <c r="E348" s="10"/>
      <c r="I348" s="10"/>
      <c r="J348" s="10"/>
    </row>
    <row r="349">
      <c r="B349" s="9"/>
      <c r="C349" s="38"/>
      <c r="D349" s="38"/>
      <c r="E349" s="10"/>
      <c r="I349" s="10"/>
      <c r="J349" s="10"/>
    </row>
    <row r="350">
      <c r="B350" s="9"/>
      <c r="C350" s="38"/>
      <c r="D350" s="38"/>
      <c r="E350" s="10"/>
      <c r="I350" s="10"/>
      <c r="J350" s="10"/>
    </row>
    <row r="351">
      <c r="B351" s="9"/>
      <c r="C351" s="38"/>
      <c r="D351" s="38"/>
      <c r="E351" s="10"/>
      <c r="I351" s="10"/>
      <c r="J351" s="10"/>
    </row>
    <row r="352">
      <c r="B352" s="9"/>
      <c r="C352" s="38"/>
      <c r="D352" s="38"/>
      <c r="E352" s="10"/>
      <c r="I352" s="10"/>
      <c r="J352" s="10"/>
    </row>
    <row r="353">
      <c r="B353" s="9"/>
      <c r="C353" s="38"/>
      <c r="D353" s="38"/>
      <c r="E353" s="10"/>
      <c r="I353" s="10"/>
      <c r="J353" s="10"/>
    </row>
    <row r="354">
      <c r="B354" s="9"/>
      <c r="C354" s="38"/>
      <c r="D354" s="38"/>
      <c r="E354" s="10"/>
      <c r="I354" s="10"/>
      <c r="J354" s="10"/>
    </row>
    <row r="355">
      <c r="B355" s="9"/>
      <c r="C355" s="38"/>
      <c r="D355" s="38"/>
      <c r="E355" s="10"/>
      <c r="I355" s="10"/>
      <c r="J355" s="10"/>
    </row>
    <row r="356">
      <c r="B356" s="9"/>
      <c r="C356" s="38"/>
      <c r="D356" s="38"/>
      <c r="E356" s="10"/>
      <c r="I356" s="10"/>
      <c r="J356" s="10"/>
    </row>
    <row r="357">
      <c r="B357" s="9"/>
      <c r="C357" s="38"/>
      <c r="D357" s="38"/>
      <c r="E357" s="10"/>
      <c r="I357" s="10"/>
      <c r="J357" s="10"/>
    </row>
    <row r="358">
      <c r="B358" s="9"/>
      <c r="C358" s="38"/>
      <c r="D358" s="38"/>
      <c r="E358" s="10"/>
      <c r="I358" s="10"/>
      <c r="J358" s="10"/>
    </row>
    <row r="359">
      <c r="B359" s="9"/>
      <c r="C359" s="38"/>
      <c r="D359" s="38"/>
      <c r="E359" s="10"/>
      <c r="I359" s="10"/>
      <c r="J359" s="10"/>
    </row>
    <row r="360">
      <c r="B360" s="9"/>
      <c r="C360" s="38"/>
      <c r="D360" s="38"/>
      <c r="E360" s="10"/>
      <c r="I360" s="10"/>
      <c r="J360" s="10"/>
    </row>
    <row r="361">
      <c r="B361" s="9"/>
      <c r="C361" s="38"/>
      <c r="D361" s="38"/>
      <c r="E361" s="10"/>
      <c r="I361" s="10"/>
      <c r="J361" s="10"/>
    </row>
    <row r="362">
      <c r="B362" s="9"/>
      <c r="C362" s="38"/>
      <c r="D362" s="38"/>
      <c r="E362" s="10"/>
      <c r="I362" s="10"/>
      <c r="J362" s="10"/>
    </row>
    <row r="363">
      <c r="B363" s="9"/>
      <c r="C363" s="38"/>
      <c r="D363" s="38"/>
      <c r="E363" s="10"/>
      <c r="I363" s="10"/>
      <c r="J363" s="10"/>
    </row>
    <row r="364">
      <c r="B364" s="9"/>
      <c r="C364" s="38"/>
      <c r="D364" s="38"/>
      <c r="E364" s="10"/>
      <c r="I364" s="10"/>
      <c r="J364" s="10"/>
    </row>
    <row r="365">
      <c r="B365" s="9"/>
      <c r="C365" s="38"/>
      <c r="D365" s="38"/>
      <c r="E365" s="10"/>
      <c r="I365" s="10"/>
      <c r="J365" s="10"/>
    </row>
    <row r="366">
      <c r="B366" s="9"/>
      <c r="C366" s="38"/>
      <c r="D366" s="38"/>
      <c r="E366" s="10"/>
      <c r="I366" s="10"/>
      <c r="J366" s="10"/>
    </row>
    <row r="367">
      <c r="B367" s="9"/>
      <c r="C367" s="38"/>
      <c r="D367" s="38"/>
      <c r="E367" s="10"/>
      <c r="I367" s="10"/>
      <c r="J367" s="10"/>
    </row>
    <row r="368">
      <c r="B368" s="9"/>
      <c r="C368" s="38"/>
      <c r="D368" s="38"/>
      <c r="E368" s="10"/>
      <c r="I368" s="10"/>
      <c r="J368" s="10"/>
    </row>
    <row r="369">
      <c r="B369" s="9"/>
      <c r="C369" s="38"/>
      <c r="D369" s="38"/>
      <c r="E369" s="10"/>
      <c r="I369" s="10"/>
      <c r="J369" s="10"/>
    </row>
    <row r="370">
      <c r="B370" s="9"/>
      <c r="C370" s="38"/>
      <c r="D370" s="38"/>
      <c r="E370" s="10"/>
      <c r="I370" s="10"/>
      <c r="J370" s="10"/>
    </row>
    <row r="371">
      <c r="B371" s="9"/>
      <c r="C371" s="38"/>
      <c r="D371" s="38"/>
      <c r="E371" s="10"/>
      <c r="I371" s="10"/>
      <c r="J371" s="10"/>
    </row>
    <row r="372">
      <c r="B372" s="9"/>
      <c r="C372" s="38"/>
      <c r="D372" s="38"/>
      <c r="E372" s="10"/>
      <c r="I372" s="10"/>
      <c r="J372" s="10"/>
    </row>
    <row r="373">
      <c r="B373" s="9"/>
      <c r="C373" s="38"/>
      <c r="D373" s="38"/>
      <c r="E373" s="10"/>
      <c r="I373" s="10"/>
      <c r="J373" s="10"/>
    </row>
    <row r="374">
      <c r="B374" s="9"/>
      <c r="C374" s="38"/>
      <c r="D374" s="38"/>
      <c r="E374" s="10"/>
      <c r="I374" s="10"/>
      <c r="J374" s="10"/>
    </row>
    <row r="375">
      <c r="B375" s="9"/>
      <c r="C375" s="38"/>
      <c r="D375" s="38"/>
      <c r="E375" s="10"/>
      <c r="I375" s="10"/>
      <c r="J375" s="10"/>
    </row>
    <row r="376">
      <c r="B376" s="9"/>
      <c r="C376" s="38"/>
      <c r="D376" s="38"/>
      <c r="E376" s="10"/>
      <c r="I376" s="10"/>
      <c r="J376" s="10"/>
    </row>
    <row r="377">
      <c r="B377" s="9"/>
      <c r="C377" s="38"/>
      <c r="D377" s="38"/>
      <c r="E377" s="10"/>
      <c r="I377" s="10"/>
      <c r="J377" s="10"/>
    </row>
    <row r="378">
      <c r="B378" s="9"/>
      <c r="C378" s="38"/>
      <c r="D378" s="38"/>
      <c r="E378" s="10"/>
      <c r="I378" s="10"/>
      <c r="J378" s="10"/>
    </row>
    <row r="379">
      <c r="B379" s="9"/>
      <c r="C379" s="38"/>
      <c r="D379" s="38"/>
      <c r="E379" s="10"/>
      <c r="I379" s="10"/>
      <c r="J379" s="10"/>
    </row>
    <row r="380">
      <c r="B380" s="9"/>
      <c r="C380" s="38"/>
      <c r="D380" s="38"/>
      <c r="E380" s="10"/>
      <c r="I380" s="10"/>
      <c r="J380" s="10"/>
    </row>
    <row r="381">
      <c r="B381" s="9"/>
      <c r="C381" s="38"/>
      <c r="D381" s="38"/>
      <c r="E381" s="10"/>
      <c r="I381" s="10"/>
      <c r="J381" s="10"/>
    </row>
    <row r="382">
      <c r="B382" s="9"/>
      <c r="C382" s="38"/>
      <c r="D382" s="38"/>
      <c r="E382" s="10"/>
      <c r="I382" s="10"/>
      <c r="J382" s="10"/>
    </row>
    <row r="383">
      <c r="B383" s="9"/>
      <c r="C383" s="38"/>
      <c r="D383" s="38"/>
      <c r="E383" s="10"/>
      <c r="I383" s="10"/>
      <c r="J383" s="10"/>
    </row>
    <row r="384">
      <c r="B384" s="9"/>
      <c r="C384" s="38"/>
      <c r="D384" s="38"/>
      <c r="E384" s="10"/>
      <c r="I384" s="10"/>
      <c r="J384" s="10"/>
    </row>
    <row r="385">
      <c r="B385" s="9"/>
      <c r="C385" s="38"/>
      <c r="D385" s="38"/>
      <c r="E385" s="10"/>
      <c r="I385" s="10"/>
      <c r="J385" s="10"/>
    </row>
    <row r="386">
      <c r="B386" s="9"/>
      <c r="C386" s="38"/>
      <c r="D386" s="38"/>
      <c r="E386" s="10"/>
      <c r="I386" s="10"/>
      <c r="J386" s="10"/>
    </row>
    <row r="387">
      <c r="B387" s="9"/>
      <c r="C387" s="38"/>
      <c r="D387" s="38"/>
      <c r="E387" s="10"/>
      <c r="I387" s="10"/>
      <c r="J387" s="10"/>
    </row>
    <row r="388">
      <c r="B388" s="9"/>
      <c r="C388" s="38"/>
      <c r="D388" s="38"/>
      <c r="E388" s="10"/>
      <c r="I388" s="10"/>
      <c r="J388" s="10"/>
    </row>
    <row r="389">
      <c r="B389" s="9"/>
      <c r="C389" s="38"/>
      <c r="D389" s="38"/>
      <c r="E389" s="10"/>
      <c r="I389" s="10"/>
      <c r="J389" s="10"/>
    </row>
    <row r="390">
      <c r="B390" s="9"/>
      <c r="C390" s="38"/>
      <c r="D390" s="38"/>
      <c r="E390" s="10"/>
      <c r="I390" s="10"/>
      <c r="J390" s="10"/>
    </row>
    <row r="391">
      <c r="B391" s="9"/>
      <c r="C391" s="38"/>
      <c r="D391" s="38"/>
      <c r="E391" s="10"/>
      <c r="I391" s="10"/>
      <c r="J391" s="10"/>
    </row>
    <row r="392">
      <c r="B392" s="9"/>
      <c r="C392" s="38"/>
      <c r="D392" s="38"/>
      <c r="E392" s="10"/>
      <c r="I392" s="10"/>
      <c r="J392" s="10"/>
    </row>
    <row r="393">
      <c r="B393" s="9"/>
      <c r="C393" s="38"/>
      <c r="D393" s="38"/>
      <c r="E393" s="10"/>
      <c r="I393" s="10"/>
      <c r="J393" s="10"/>
    </row>
    <row r="394">
      <c r="B394" s="9"/>
      <c r="C394" s="38"/>
      <c r="D394" s="38"/>
      <c r="E394" s="10"/>
      <c r="I394" s="10"/>
      <c r="J394" s="10"/>
    </row>
    <row r="395">
      <c r="B395" s="9"/>
      <c r="C395" s="38"/>
      <c r="D395" s="38"/>
      <c r="E395" s="10"/>
      <c r="I395" s="10"/>
      <c r="J395" s="10"/>
    </row>
    <row r="396">
      <c r="B396" s="9"/>
      <c r="C396" s="38"/>
      <c r="D396" s="38"/>
      <c r="E396" s="10"/>
      <c r="I396" s="10"/>
      <c r="J396" s="10"/>
    </row>
    <row r="397">
      <c r="B397" s="9"/>
      <c r="C397" s="38"/>
      <c r="D397" s="38"/>
      <c r="E397" s="10"/>
      <c r="I397" s="10"/>
      <c r="J397" s="10"/>
    </row>
    <row r="398">
      <c r="B398" s="9"/>
      <c r="C398" s="38"/>
      <c r="D398" s="38"/>
      <c r="E398" s="10"/>
      <c r="I398" s="10"/>
      <c r="J398" s="10"/>
    </row>
    <row r="399">
      <c r="B399" s="9"/>
      <c r="C399" s="38"/>
      <c r="D399" s="38"/>
      <c r="E399" s="10"/>
      <c r="I399" s="10"/>
      <c r="J399" s="10"/>
    </row>
    <row r="400">
      <c r="B400" s="9"/>
      <c r="C400" s="38"/>
      <c r="D400" s="38"/>
      <c r="E400" s="10"/>
      <c r="I400" s="10"/>
      <c r="J400" s="10"/>
    </row>
    <row r="401">
      <c r="B401" s="9"/>
      <c r="C401" s="38"/>
      <c r="D401" s="38"/>
      <c r="E401" s="10"/>
      <c r="I401" s="10"/>
      <c r="J401" s="10"/>
    </row>
    <row r="402">
      <c r="B402" s="9"/>
      <c r="C402" s="38"/>
      <c r="D402" s="38"/>
      <c r="E402" s="10"/>
      <c r="I402" s="10"/>
      <c r="J402" s="10"/>
    </row>
    <row r="403">
      <c r="B403" s="9"/>
      <c r="C403" s="38"/>
      <c r="D403" s="38"/>
      <c r="E403" s="10"/>
      <c r="I403" s="10"/>
      <c r="J403" s="10"/>
    </row>
    <row r="404">
      <c r="B404" s="9"/>
      <c r="C404" s="38"/>
      <c r="D404" s="38"/>
      <c r="E404" s="10"/>
      <c r="I404" s="10"/>
      <c r="J404" s="10"/>
    </row>
    <row r="405">
      <c r="B405" s="9"/>
      <c r="C405" s="38"/>
      <c r="D405" s="38"/>
      <c r="E405" s="10"/>
      <c r="I405" s="10"/>
      <c r="J405" s="10"/>
    </row>
    <row r="406">
      <c r="B406" s="9"/>
      <c r="C406" s="38"/>
      <c r="D406" s="38"/>
      <c r="E406" s="10"/>
      <c r="I406" s="10"/>
      <c r="J406" s="10"/>
    </row>
    <row r="407">
      <c r="B407" s="9"/>
      <c r="C407" s="38"/>
      <c r="D407" s="38"/>
      <c r="E407" s="10"/>
      <c r="I407" s="10"/>
      <c r="J407" s="10"/>
    </row>
    <row r="408">
      <c r="B408" s="9"/>
      <c r="C408" s="38"/>
      <c r="D408" s="38"/>
      <c r="E408" s="10"/>
      <c r="I408" s="10"/>
      <c r="J408" s="10"/>
    </row>
    <row r="409">
      <c r="B409" s="9"/>
      <c r="C409" s="38"/>
      <c r="D409" s="38"/>
      <c r="E409" s="10"/>
      <c r="I409" s="10"/>
      <c r="J409" s="10"/>
    </row>
    <row r="410">
      <c r="B410" s="9"/>
      <c r="C410" s="38"/>
      <c r="D410" s="38"/>
      <c r="E410" s="10"/>
      <c r="I410" s="10"/>
      <c r="J410" s="10"/>
    </row>
    <row r="411">
      <c r="B411" s="9"/>
      <c r="C411" s="38"/>
      <c r="D411" s="38"/>
      <c r="E411" s="10"/>
      <c r="I411" s="10"/>
      <c r="J411" s="10"/>
    </row>
    <row r="412">
      <c r="B412" s="9"/>
      <c r="C412" s="38"/>
      <c r="D412" s="38"/>
      <c r="E412" s="10"/>
      <c r="I412" s="10"/>
      <c r="J412" s="10"/>
    </row>
    <row r="413">
      <c r="B413" s="9"/>
      <c r="C413" s="38"/>
      <c r="D413" s="38"/>
      <c r="E413" s="10"/>
      <c r="I413" s="10"/>
      <c r="J413" s="10"/>
    </row>
    <row r="414">
      <c r="B414" s="9"/>
      <c r="C414" s="38"/>
      <c r="D414" s="38"/>
      <c r="E414" s="10"/>
      <c r="I414" s="10"/>
      <c r="J414" s="10"/>
    </row>
    <row r="415">
      <c r="B415" s="9"/>
      <c r="C415" s="38"/>
      <c r="D415" s="38"/>
      <c r="E415" s="10"/>
      <c r="I415" s="10"/>
      <c r="J415" s="10"/>
    </row>
    <row r="416">
      <c r="B416" s="9"/>
      <c r="C416" s="38"/>
      <c r="D416" s="38"/>
      <c r="E416" s="10"/>
      <c r="I416" s="10"/>
      <c r="J416" s="10"/>
    </row>
    <row r="417">
      <c r="B417" s="9"/>
      <c r="C417" s="38"/>
      <c r="D417" s="38"/>
      <c r="E417" s="10"/>
      <c r="I417" s="10"/>
      <c r="J417" s="10"/>
    </row>
    <row r="418">
      <c r="B418" s="9"/>
      <c r="C418" s="38"/>
      <c r="D418" s="38"/>
      <c r="E418" s="10"/>
      <c r="I418" s="10"/>
      <c r="J418" s="10"/>
    </row>
    <row r="419">
      <c r="B419" s="9"/>
      <c r="C419" s="38"/>
      <c r="D419" s="38"/>
      <c r="E419" s="10"/>
      <c r="I419" s="10"/>
      <c r="J419" s="10"/>
    </row>
    <row r="420">
      <c r="B420" s="9"/>
      <c r="C420" s="38"/>
      <c r="D420" s="38"/>
      <c r="E420" s="10"/>
      <c r="I420" s="10"/>
      <c r="J420" s="10"/>
    </row>
    <row r="421">
      <c r="B421" s="9"/>
      <c r="C421" s="38"/>
      <c r="D421" s="38"/>
      <c r="E421" s="10"/>
      <c r="I421" s="10"/>
      <c r="J421" s="10"/>
    </row>
    <row r="422">
      <c r="B422" s="9"/>
      <c r="C422" s="38"/>
      <c r="D422" s="38"/>
      <c r="E422" s="10"/>
      <c r="I422" s="10"/>
      <c r="J422" s="10"/>
    </row>
    <row r="423">
      <c r="B423" s="9"/>
      <c r="C423" s="38"/>
      <c r="D423" s="38"/>
      <c r="E423" s="10"/>
      <c r="I423" s="10"/>
      <c r="J423" s="10"/>
    </row>
    <row r="424">
      <c r="B424" s="9"/>
      <c r="C424" s="38"/>
      <c r="D424" s="38"/>
      <c r="E424" s="10"/>
      <c r="I424" s="10"/>
      <c r="J424" s="10"/>
    </row>
    <row r="425">
      <c r="B425" s="9"/>
      <c r="C425" s="38"/>
      <c r="D425" s="38"/>
      <c r="E425" s="10"/>
      <c r="I425" s="10"/>
      <c r="J425" s="10"/>
    </row>
    <row r="426">
      <c r="B426" s="9"/>
      <c r="C426" s="38"/>
      <c r="D426" s="38"/>
      <c r="E426" s="10"/>
      <c r="I426" s="10"/>
      <c r="J426" s="10"/>
    </row>
    <row r="427">
      <c r="B427" s="9"/>
      <c r="C427" s="38"/>
      <c r="D427" s="38"/>
      <c r="E427" s="10"/>
      <c r="I427" s="10"/>
      <c r="J427" s="10"/>
    </row>
    <row r="428">
      <c r="B428" s="9"/>
      <c r="C428" s="38"/>
      <c r="D428" s="38"/>
      <c r="E428" s="10"/>
      <c r="I428" s="10"/>
      <c r="J428" s="10"/>
    </row>
    <row r="429">
      <c r="B429" s="9"/>
      <c r="C429" s="38"/>
      <c r="D429" s="38"/>
      <c r="E429" s="10"/>
      <c r="I429" s="10"/>
      <c r="J429" s="10"/>
    </row>
    <row r="430">
      <c r="B430" s="9"/>
      <c r="C430" s="38"/>
      <c r="D430" s="38"/>
      <c r="E430" s="10"/>
      <c r="I430" s="10"/>
      <c r="J430" s="10"/>
    </row>
    <row r="431">
      <c r="B431" s="9"/>
      <c r="C431" s="38"/>
      <c r="D431" s="38"/>
      <c r="E431" s="10"/>
      <c r="I431" s="10"/>
      <c r="J431" s="10"/>
    </row>
    <row r="432">
      <c r="B432" s="9"/>
      <c r="C432" s="38"/>
      <c r="D432" s="38"/>
      <c r="E432" s="10"/>
      <c r="I432" s="10"/>
      <c r="J432" s="10"/>
    </row>
    <row r="433">
      <c r="B433" s="9"/>
      <c r="C433" s="38"/>
      <c r="D433" s="38"/>
      <c r="E433" s="10"/>
      <c r="I433" s="10"/>
      <c r="J433" s="10"/>
    </row>
    <row r="434">
      <c r="B434" s="9"/>
      <c r="C434" s="38"/>
      <c r="D434" s="38"/>
      <c r="E434" s="10"/>
      <c r="I434" s="10"/>
      <c r="J434" s="10"/>
    </row>
    <row r="435">
      <c r="B435" s="9"/>
      <c r="C435" s="38"/>
      <c r="D435" s="38"/>
      <c r="E435" s="10"/>
      <c r="I435" s="10"/>
      <c r="J435" s="10"/>
    </row>
    <row r="436">
      <c r="B436" s="9"/>
      <c r="C436" s="38"/>
      <c r="D436" s="38"/>
      <c r="E436" s="10"/>
      <c r="I436" s="10"/>
      <c r="J436" s="10"/>
    </row>
    <row r="437">
      <c r="B437" s="9"/>
      <c r="C437" s="38"/>
      <c r="D437" s="38"/>
      <c r="E437" s="10"/>
      <c r="I437" s="10"/>
      <c r="J437" s="10"/>
    </row>
    <row r="438">
      <c r="B438" s="9"/>
      <c r="C438" s="38"/>
      <c r="D438" s="38"/>
      <c r="E438" s="10"/>
      <c r="I438" s="10"/>
      <c r="J438" s="10"/>
    </row>
    <row r="439">
      <c r="B439" s="9"/>
      <c r="C439" s="38"/>
      <c r="D439" s="38"/>
      <c r="E439" s="10"/>
      <c r="I439" s="10"/>
      <c r="J439" s="10"/>
    </row>
    <row r="440">
      <c r="B440" s="9"/>
      <c r="C440" s="38"/>
      <c r="D440" s="38"/>
      <c r="E440" s="10"/>
      <c r="I440" s="10"/>
      <c r="J440" s="10"/>
    </row>
    <row r="441">
      <c r="B441" s="9"/>
      <c r="C441" s="38"/>
      <c r="D441" s="38"/>
      <c r="E441" s="10"/>
      <c r="I441" s="10"/>
      <c r="J441" s="10"/>
    </row>
    <row r="442">
      <c r="B442" s="9"/>
      <c r="C442" s="38"/>
      <c r="D442" s="38"/>
      <c r="E442" s="10"/>
      <c r="I442" s="10"/>
      <c r="J442" s="10"/>
    </row>
    <row r="443">
      <c r="B443" s="9"/>
      <c r="C443" s="38"/>
      <c r="D443" s="38"/>
      <c r="E443" s="10"/>
      <c r="I443" s="10"/>
      <c r="J443" s="10"/>
    </row>
    <row r="444">
      <c r="B444" s="9"/>
      <c r="C444" s="38"/>
      <c r="D444" s="38"/>
      <c r="E444" s="10"/>
      <c r="I444" s="10"/>
      <c r="J444" s="10"/>
    </row>
    <row r="445">
      <c r="B445" s="9"/>
      <c r="C445" s="38"/>
      <c r="D445" s="38"/>
      <c r="E445" s="10"/>
      <c r="I445" s="10"/>
      <c r="J445" s="10"/>
    </row>
    <row r="446">
      <c r="B446" s="9"/>
      <c r="C446" s="38"/>
      <c r="D446" s="38"/>
      <c r="E446" s="10"/>
      <c r="I446" s="10"/>
      <c r="J446" s="10"/>
    </row>
    <row r="447">
      <c r="B447" s="9"/>
      <c r="C447" s="38"/>
      <c r="D447" s="38"/>
      <c r="E447" s="10"/>
      <c r="I447" s="10"/>
      <c r="J447" s="10"/>
    </row>
    <row r="448">
      <c r="B448" s="9"/>
      <c r="C448" s="38"/>
      <c r="D448" s="38"/>
      <c r="E448" s="10"/>
      <c r="I448" s="10"/>
      <c r="J448" s="10"/>
    </row>
    <row r="449">
      <c r="B449" s="9"/>
      <c r="C449" s="38"/>
      <c r="D449" s="38"/>
      <c r="E449" s="10"/>
      <c r="I449" s="10"/>
      <c r="J449" s="10"/>
    </row>
    <row r="450">
      <c r="B450" s="9"/>
      <c r="C450" s="38"/>
      <c r="D450" s="38"/>
      <c r="E450" s="10"/>
      <c r="I450" s="10"/>
      <c r="J450" s="10"/>
    </row>
    <row r="451">
      <c r="B451" s="9"/>
      <c r="C451" s="38"/>
      <c r="D451" s="38"/>
      <c r="E451" s="10"/>
      <c r="I451" s="10"/>
      <c r="J451" s="10"/>
    </row>
    <row r="452">
      <c r="B452" s="9"/>
      <c r="C452" s="38"/>
      <c r="D452" s="38"/>
      <c r="E452" s="10"/>
      <c r="I452" s="10"/>
      <c r="J452" s="10"/>
    </row>
    <row r="453">
      <c r="B453" s="9"/>
      <c r="C453" s="38"/>
      <c r="D453" s="38"/>
      <c r="E453" s="10"/>
      <c r="I453" s="10"/>
      <c r="J453" s="10"/>
    </row>
    <row r="454">
      <c r="B454" s="9"/>
      <c r="C454" s="38"/>
      <c r="D454" s="38"/>
      <c r="E454" s="10"/>
      <c r="I454" s="10"/>
      <c r="J454" s="10"/>
    </row>
    <row r="455">
      <c r="B455" s="9"/>
      <c r="C455" s="38"/>
      <c r="D455" s="38"/>
      <c r="E455" s="10"/>
      <c r="I455" s="10"/>
      <c r="J455" s="10"/>
    </row>
    <row r="456">
      <c r="B456" s="9"/>
      <c r="C456" s="38"/>
      <c r="D456" s="38"/>
      <c r="E456" s="10"/>
      <c r="I456" s="10"/>
      <c r="J456" s="10"/>
    </row>
    <row r="457">
      <c r="B457" s="9"/>
      <c r="C457" s="38"/>
      <c r="D457" s="38"/>
      <c r="E457" s="10"/>
      <c r="I457" s="10"/>
      <c r="J457" s="10"/>
    </row>
    <row r="458">
      <c r="B458" s="9"/>
      <c r="C458" s="38"/>
      <c r="D458" s="38"/>
      <c r="E458" s="10"/>
      <c r="I458" s="10"/>
      <c r="J458" s="10"/>
    </row>
    <row r="459">
      <c r="B459" s="9"/>
      <c r="C459" s="38"/>
      <c r="D459" s="38"/>
      <c r="E459" s="10"/>
      <c r="I459" s="10"/>
      <c r="J459" s="10"/>
    </row>
    <row r="460">
      <c r="B460" s="9"/>
      <c r="C460" s="38"/>
      <c r="D460" s="38"/>
      <c r="E460" s="10"/>
      <c r="I460" s="10"/>
      <c r="J460" s="10"/>
    </row>
    <row r="461">
      <c r="B461" s="9"/>
      <c r="C461" s="38"/>
      <c r="D461" s="38"/>
      <c r="E461" s="10"/>
      <c r="I461" s="10"/>
      <c r="J461" s="10"/>
    </row>
    <row r="462">
      <c r="B462" s="9"/>
      <c r="C462" s="38"/>
      <c r="D462" s="38"/>
      <c r="E462" s="10"/>
      <c r="I462" s="10"/>
      <c r="J462" s="10"/>
    </row>
    <row r="463">
      <c r="B463" s="9"/>
      <c r="C463" s="38"/>
      <c r="D463" s="38"/>
      <c r="E463" s="10"/>
      <c r="I463" s="10"/>
      <c r="J463" s="10"/>
    </row>
    <row r="464">
      <c r="B464" s="9"/>
      <c r="C464" s="38"/>
      <c r="D464" s="38"/>
      <c r="E464" s="10"/>
      <c r="I464" s="10"/>
      <c r="J464" s="10"/>
    </row>
    <row r="465">
      <c r="B465" s="9"/>
      <c r="C465" s="38"/>
      <c r="D465" s="38"/>
      <c r="E465" s="10"/>
      <c r="I465" s="10"/>
      <c r="J465" s="10"/>
    </row>
    <row r="466">
      <c r="B466" s="9"/>
      <c r="C466" s="38"/>
      <c r="D466" s="38"/>
      <c r="E466" s="10"/>
      <c r="I466" s="10"/>
      <c r="J466" s="10"/>
    </row>
    <row r="467">
      <c r="B467" s="9"/>
      <c r="C467" s="38"/>
      <c r="D467" s="38"/>
      <c r="E467" s="10"/>
      <c r="I467" s="10"/>
      <c r="J467" s="10"/>
    </row>
    <row r="468">
      <c r="B468" s="9"/>
      <c r="C468" s="38"/>
      <c r="D468" s="38"/>
      <c r="E468" s="10"/>
      <c r="I468" s="10"/>
      <c r="J468" s="10"/>
    </row>
    <row r="469">
      <c r="B469" s="9"/>
      <c r="C469" s="38"/>
      <c r="D469" s="38"/>
      <c r="E469" s="10"/>
      <c r="I469" s="10"/>
      <c r="J469" s="10"/>
    </row>
    <row r="470">
      <c r="B470" s="9"/>
      <c r="C470" s="38"/>
      <c r="D470" s="38"/>
      <c r="E470" s="10"/>
      <c r="I470" s="10"/>
      <c r="J470" s="10"/>
    </row>
    <row r="471">
      <c r="B471" s="9"/>
      <c r="C471" s="38"/>
      <c r="D471" s="38"/>
      <c r="E471" s="10"/>
      <c r="I471" s="10"/>
      <c r="J471" s="10"/>
    </row>
    <row r="472">
      <c r="B472" s="9"/>
      <c r="C472" s="38"/>
      <c r="D472" s="38"/>
      <c r="E472" s="10"/>
      <c r="I472" s="10"/>
      <c r="J472" s="10"/>
    </row>
    <row r="473">
      <c r="B473" s="9"/>
      <c r="C473" s="38"/>
      <c r="D473" s="38"/>
      <c r="E473" s="10"/>
      <c r="I473" s="10"/>
      <c r="J473" s="10"/>
    </row>
    <row r="474">
      <c r="B474" s="9"/>
      <c r="C474" s="38"/>
      <c r="D474" s="38"/>
      <c r="E474" s="10"/>
      <c r="I474" s="10"/>
      <c r="J474" s="10"/>
    </row>
    <row r="475">
      <c r="B475" s="9"/>
      <c r="C475" s="38"/>
      <c r="D475" s="38"/>
      <c r="E475" s="10"/>
      <c r="I475" s="10"/>
      <c r="J475" s="10"/>
    </row>
    <row r="476">
      <c r="B476" s="9"/>
      <c r="C476" s="38"/>
      <c r="D476" s="38"/>
      <c r="E476" s="10"/>
      <c r="I476" s="10"/>
      <c r="J476" s="10"/>
    </row>
    <row r="477">
      <c r="B477" s="9"/>
      <c r="C477" s="38"/>
      <c r="D477" s="38"/>
      <c r="E477" s="10"/>
      <c r="I477" s="10"/>
      <c r="J477" s="10"/>
    </row>
    <row r="478">
      <c r="B478" s="9"/>
      <c r="C478" s="38"/>
      <c r="D478" s="38"/>
      <c r="E478" s="10"/>
      <c r="I478" s="10"/>
      <c r="J478" s="10"/>
    </row>
    <row r="479">
      <c r="B479" s="9"/>
      <c r="C479" s="38"/>
      <c r="D479" s="38"/>
      <c r="E479" s="10"/>
      <c r="I479" s="10"/>
      <c r="J479" s="10"/>
    </row>
    <row r="480">
      <c r="B480" s="9"/>
      <c r="C480" s="38"/>
      <c r="D480" s="38"/>
      <c r="E480" s="10"/>
      <c r="I480" s="10"/>
      <c r="J480" s="10"/>
    </row>
    <row r="481">
      <c r="B481" s="9"/>
      <c r="C481" s="38"/>
      <c r="D481" s="38"/>
      <c r="E481" s="10"/>
      <c r="I481" s="10"/>
      <c r="J481" s="10"/>
    </row>
    <row r="482">
      <c r="B482" s="9"/>
      <c r="C482" s="38"/>
      <c r="D482" s="38"/>
      <c r="E482" s="10"/>
      <c r="I482" s="10"/>
      <c r="J482" s="10"/>
    </row>
    <row r="483">
      <c r="B483" s="9"/>
      <c r="C483" s="38"/>
      <c r="D483" s="38"/>
      <c r="E483" s="10"/>
      <c r="I483" s="10"/>
      <c r="J483" s="10"/>
    </row>
    <row r="484">
      <c r="B484" s="9"/>
      <c r="C484" s="38"/>
      <c r="D484" s="38"/>
      <c r="E484" s="10"/>
      <c r="I484" s="10"/>
      <c r="J484" s="10"/>
    </row>
    <row r="485">
      <c r="B485" s="9"/>
      <c r="C485" s="38"/>
      <c r="D485" s="38"/>
      <c r="E485" s="10"/>
      <c r="I485" s="10"/>
      <c r="J485" s="10"/>
    </row>
    <row r="486">
      <c r="B486" s="9"/>
      <c r="C486" s="38"/>
      <c r="D486" s="38"/>
      <c r="E486" s="10"/>
      <c r="I486" s="10"/>
      <c r="J486" s="10"/>
    </row>
    <row r="487">
      <c r="B487" s="9"/>
      <c r="C487" s="38"/>
      <c r="D487" s="38"/>
      <c r="E487" s="10"/>
      <c r="I487" s="10"/>
      <c r="J487" s="10"/>
    </row>
    <row r="488">
      <c r="B488" s="9"/>
      <c r="C488" s="38"/>
      <c r="D488" s="38"/>
      <c r="E488" s="10"/>
      <c r="I488" s="10"/>
      <c r="J488" s="10"/>
    </row>
    <row r="489">
      <c r="B489" s="9"/>
      <c r="C489" s="38"/>
      <c r="D489" s="38"/>
      <c r="E489" s="10"/>
      <c r="I489" s="10"/>
      <c r="J489" s="10"/>
    </row>
    <row r="490">
      <c r="B490" s="9"/>
      <c r="C490" s="38"/>
      <c r="D490" s="38"/>
      <c r="E490" s="10"/>
      <c r="I490" s="10"/>
      <c r="J490" s="10"/>
    </row>
    <row r="491">
      <c r="B491" s="9"/>
      <c r="C491" s="38"/>
      <c r="D491" s="38"/>
      <c r="E491" s="10"/>
      <c r="I491" s="10"/>
      <c r="J491" s="10"/>
    </row>
    <row r="492">
      <c r="B492" s="9"/>
      <c r="C492" s="38"/>
      <c r="D492" s="38"/>
      <c r="E492" s="10"/>
      <c r="I492" s="10"/>
      <c r="J492" s="10"/>
    </row>
    <row r="493">
      <c r="B493" s="9"/>
      <c r="C493" s="38"/>
      <c r="D493" s="38"/>
      <c r="E493" s="10"/>
      <c r="I493" s="10"/>
      <c r="J493" s="10"/>
    </row>
    <row r="494">
      <c r="B494" s="9"/>
      <c r="C494" s="38"/>
      <c r="D494" s="38"/>
      <c r="E494" s="10"/>
      <c r="I494" s="10"/>
      <c r="J494" s="10"/>
    </row>
    <row r="495">
      <c r="B495" s="9"/>
      <c r="C495" s="38"/>
      <c r="D495" s="38"/>
      <c r="E495" s="10"/>
      <c r="I495" s="10"/>
      <c r="J495" s="10"/>
    </row>
    <row r="496">
      <c r="B496" s="9"/>
      <c r="C496" s="38"/>
      <c r="D496" s="38"/>
      <c r="E496" s="10"/>
      <c r="I496" s="10"/>
      <c r="J496" s="10"/>
    </row>
    <row r="497">
      <c r="B497" s="9"/>
      <c r="C497" s="38"/>
      <c r="D497" s="38"/>
      <c r="E497" s="10"/>
      <c r="I497" s="10"/>
      <c r="J497" s="10"/>
    </row>
    <row r="498">
      <c r="B498" s="9"/>
      <c r="C498" s="38"/>
      <c r="D498" s="38"/>
      <c r="E498" s="10"/>
      <c r="I498" s="10"/>
      <c r="J498" s="10"/>
    </row>
    <row r="499">
      <c r="B499" s="9"/>
      <c r="C499" s="38"/>
      <c r="D499" s="38"/>
      <c r="E499" s="10"/>
      <c r="I499" s="10"/>
      <c r="J499" s="10"/>
    </row>
    <row r="500">
      <c r="B500" s="9"/>
      <c r="C500" s="38"/>
      <c r="D500" s="38"/>
      <c r="E500" s="10"/>
      <c r="I500" s="10"/>
      <c r="J500" s="10"/>
    </row>
    <row r="501">
      <c r="B501" s="9"/>
      <c r="C501" s="38"/>
      <c r="D501" s="38"/>
      <c r="E501" s="10"/>
      <c r="I501" s="10"/>
      <c r="J501" s="10"/>
    </row>
    <row r="502">
      <c r="B502" s="9"/>
      <c r="C502" s="38"/>
      <c r="D502" s="38"/>
      <c r="E502" s="10"/>
      <c r="I502" s="10"/>
      <c r="J502" s="10"/>
    </row>
    <row r="503">
      <c r="B503" s="9"/>
      <c r="C503" s="38"/>
      <c r="D503" s="38"/>
      <c r="E503" s="10"/>
      <c r="I503" s="10"/>
      <c r="J503" s="10"/>
    </row>
    <row r="504">
      <c r="B504" s="9"/>
      <c r="C504" s="38"/>
      <c r="D504" s="38"/>
      <c r="E504" s="10"/>
      <c r="I504" s="10"/>
      <c r="J504" s="10"/>
    </row>
    <row r="505">
      <c r="B505" s="9"/>
      <c r="C505" s="38"/>
      <c r="D505" s="38"/>
      <c r="E505" s="10"/>
      <c r="I505" s="10"/>
      <c r="J505" s="10"/>
    </row>
    <row r="506">
      <c r="B506" s="9"/>
      <c r="C506" s="38"/>
      <c r="D506" s="38"/>
      <c r="E506" s="10"/>
      <c r="I506" s="10"/>
      <c r="J506" s="10"/>
    </row>
    <row r="507">
      <c r="B507" s="9"/>
      <c r="C507" s="38"/>
      <c r="D507" s="38"/>
      <c r="E507" s="10"/>
      <c r="I507" s="10"/>
      <c r="J507" s="10"/>
    </row>
    <row r="508">
      <c r="B508" s="9"/>
      <c r="C508" s="38"/>
      <c r="D508" s="38"/>
      <c r="E508" s="10"/>
      <c r="I508" s="10"/>
      <c r="J508" s="10"/>
    </row>
    <row r="509">
      <c r="B509" s="9"/>
      <c r="C509" s="38"/>
      <c r="D509" s="38"/>
      <c r="E509" s="10"/>
      <c r="I509" s="10"/>
      <c r="J509" s="10"/>
    </row>
    <row r="510">
      <c r="B510" s="9"/>
      <c r="C510" s="38"/>
      <c r="D510" s="38"/>
      <c r="E510" s="10"/>
      <c r="I510" s="10"/>
      <c r="J510" s="10"/>
    </row>
    <row r="511">
      <c r="B511" s="9"/>
      <c r="C511" s="38"/>
      <c r="D511" s="38"/>
      <c r="E511" s="10"/>
      <c r="I511" s="10"/>
      <c r="J511" s="10"/>
    </row>
    <row r="512">
      <c r="B512" s="9"/>
      <c r="C512" s="38"/>
      <c r="D512" s="38"/>
      <c r="E512" s="10"/>
      <c r="I512" s="10"/>
      <c r="J512" s="10"/>
    </row>
    <row r="513">
      <c r="B513" s="9"/>
      <c r="C513" s="38"/>
      <c r="D513" s="38"/>
      <c r="E513" s="10"/>
      <c r="I513" s="10"/>
      <c r="J513" s="10"/>
    </row>
    <row r="514">
      <c r="B514" s="9"/>
      <c r="C514" s="38"/>
      <c r="D514" s="38"/>
      <c r="E514" s="10"/>
      <c r="I514" s="10"/>
      <c r="J514" s="10"/>
    </row>
    <row r="515">
      <c r="B515" s="9"/>
      <c r="C515" s="38"/>
      <c r="D515" s="38"/>
      <c r="E515" s="10"/>
      <c r="I515" s="10"/>
      <c r="J515" s="10"/>
    </row>
    <row r="516">
      <c r="B516" s="9"/>
      <c r="C516" s="38"/>
      <c r="D516" s="38"/>
      <c r="E516" s="10"/>
      <c r="I516" s="10"/>
      <c r="J516" s="10"/>
    </row>
    <row r="517">
      <c r="B517" s="9"/>
      <c r="C517" s="38"/>
      <c r="D517" s="38"/>
      <c r="E517" s="10"/>
      <c r="I517" s="10"/>
      <c r="J517" s="10"/>
    </row>
    <row r="518">
      <c r="B518" s="9"/>
      <c r="C518" s="38"/>
      <c r="D518" s="38"/>
      <c r="E518" s="10"/>
      <c r="I518" s="10"/>
      <c r="J518" s="10"/>
    </row>
    <row r="519">
      <c r="B519" s="9"/>
      <c r="C519" s="38"/>
      <c r="D519" s="38"/>
      <c r="E519" s="10"/>
      <c r="I519" s="10"/>
      <c r="J519" s="10"/>
    </row>
    <row r="520">
      <c r="B520" s="9"/>
      <c r="C520" s="38"/>
      <c r="D520" s="38"/>
      <c r="E520" s="10"/>
      <c r="I520" s="10"/>
      <c r="J520" s="10"/>
    </row>
    <row r="521">
      <c r="B521" s="9"/>
      <c r="C521" s="38"/>
      <c r="D521" s="38"/>
      <c r="E521" s="10"/>
      <c r="I521" s="10"/>
      <c r="J521" s="10"/>
    </row>
    <row r="522">
      <c r="B522" s="9"/>
      <c r="C522" s="38"/>
      <c r="D522" s="38"/>
      <c r="E522" s="10"/>
      <c r="I522" s="10"/>
      <c r="J522" s="10"/>
    </row>
    <row r="523">
      <c r="B523" s="9"/>
      <c r="C523" s="38"/>
      <c r="D523" s="38"/>
      <c r="E523" s="10"/>
      <c r="I523" s="10"/>
      <c r="J523" s="10"/>
    </row>
    <row r="524">
      <c r="B524" s="9"/>
      <c r="C524" s="38"/>
      <c r="D524" s="38"/>
      <c r="E524" s="10"/>
      <c r="I524" s="10"/>
      <c r="J524" s="10"/>
    </row>
    <row r="525">
      <c r="B525" s="9"/>
      <c r="C525" s="38"/>
      <c r="D525" s="38"/>
      <c r="E525" s="10"/>
      <c r="I525" s="10"/>
      <c r="J525" s="10"/>
    </row>
    <row r="526">
      <c r="B526" s="9"/>
      <c r="C526" s="38"/>
      <c r="D526" s="38"/>
      <c r="E526" s="10"/>
      <c r="I526" s="10"/>
      <c r="J526" s="10"/>
    </row>
    <row r="527">
      <c r="B527" s="9"/>
      <c r="C527" s="38"/>
      <c r="D527" s="38"/>
      <c r="E527" s="10"/>
      <c r="I527" s="10"/>
      <c r="J527" s="10"/>
    </row>
    <row r="528">
      <c r="B528" s="9"/>
      <c r="C528" s="38"/>
      <c r="D528" s="38"/>
      <c r="E528" s="10"/>
      <c r="I528" s="10"/>
      <c r="J528" s="10"/>
    </row>
    <row r="529">
      <c r="B529" s="9"/>
      <c r="C529" s="38"/>
      <c r="D529" s="38"/>
      <c r="E529" s="10"/>
      <c r="I529" s="10"/>
      <c r="J529" s="10"/>
    </row>
    <row r="530">
      <c r="B530" s="9"/>
      <c r="C530" s="38"/>
      <c r="D530" s="38"/>
      <c r="E530" s="10"/>
      <c r="I530" s="10"/>
      <c r="J530" s="10"/>
    </row>
    <row r="531">
      <c r="B531" s="9"/>
      <c r="C531" s="38"/>
      <c r="D531" s="38"/>
      <c r="E531" s="10"/>
      <c r="I531" s="10"/>
      <c r="J531" s="10"/>
    </row>
    <row r="532">
      <c r="B532" s="9"/>
      <c r="C532" s="38"/>
      <c r="D532" s="38"/>
      <c r="E532" s="10"/>
      <c r="I532" s="10"/>
      <c r="J532" s="10"/>
    </row>
    <row r="533">
      <c r="B533" s="9"/>
      <c r="C533" s="38"/>
      <c r="D533" s="38"/>
      <c r="E533" s="10"/>
      <c r="I533" s="10"/>
      <c r="J533" s="10"/>
    </row>
    <row r="534">
      <c r="B534" s="9"/>
      <c r="C534" s="38"/>
      <c r="D534" s="38"/>
      <c r="E534" s="10"/>
      <c r="I534" s="10"/>
      <c r="J534" s="10"/>
    </row>
    <row r="535">
      <c r="B535" s="9"/>
      <c r="C535" s="38"/>
      <c r="D535" s="38"/>
      <c r="E535" s="10"/>
      <c r="I535" s="10"/>
      <c r="J535" s="10"/>
    </row>
    <row r="536">
      <c r="B536" s="9"/>
      <c r="C536" s="38"/>
      <c r="D536" s="38"/>
      <c r="E536" s="10"/>
      <c r="I536" s="10"/>
      <c r="J536" s="10"/>
    </row>
    <row r="537">
      <c r="B537" s="9"/>
      <c r="C537" s="38"/>
      <c r="D537" s="38"/>
      <c r="E537" s="10"/>
      <c r="I537" s="10"/>
      <c r="J537" s="10"/>
    </row>
    <row r="538">
      <c r="B538" s="9"/>
      <c r="C538" s="38"/>
      <c r="D538" s="38"/>
      <c r="E538" s="10"/>
      <c r="I538" s="10"/>
      <c r="J538" s="10"/>
    </row>
    <row r="539">
      <c r="B539" s="9"/>
      <c r="C539" s="38"/>
      <c r="D539" s="38"/>
      <c r="E539" s="10"/>
      <c r="I539" s="10"/>
      <c r="J539" s="10"/>
    </row>
    <row r="540">
      <c r="B540" s="9"/>
      <c r="C540" s="38"/>
      <c r="D540" s="38"/>
      <c r="E540" s="10"/>
      <c r="I540" s="10"/>
      <c r="J540" s="10"/>
    </row>
    <row r="541">
      <c r="B541" s="9"/>
      <c r="C541" s="38"/>
      <c r="D541" s="38"/>
      <c r="E541" s="10"/>
      <c r="I541" s="10"/>
      <c r="J541" s="10"/>
    </row>
    <row r="542">
      <c r="B542" s="9"/>
      <c r="C542" s="38"/>
      <c r="D542" s="38"/>
      <c r="E542" s="10"/>
      <c r="I542" s="10"/>
      <c r="J542" s="10"/>
    </row>
    <row r="543">
      <c r="B543" s="9"/>
      <c r="C543" s="38"/>
      <c r="D543" s="38"/>
      <c r="E543" s="10"/>
      <c r="I543" s="10"/>
      <c r="J543" s="10"/>
    </row>
    <row r="544">
      <c r="B544" s="9"/>
      <c r="C544" s="38"/>
      <c r="D544" s="38"/>
      <c r="E544" s="10"/>
      <c r="I544" s="10"/>
      <c r="J544" s="10"/>
    </row>
    <row r="545">
      <c r="B545" s="9"/>
      <c r="C545" s="38"/>
      <c r="D545" s="38"/>
      <c r="E545" s="10"/>
      <c r="I545" s="10"/>
      <c r="J545" s="10"/>
    </row>
    <row r="546">
      <c r="B546" s="9"/>
      <c r="C546" s="38"/>
      <c r="D546" s="38"/>
      <c r="E546" s="10"/>
      <c r="I546" s="10"/>
      <c r="J546" s="10"/>
    </row>
    <row r="547">
      <c r="B547" s="9"/>
      <c r="C547" s="38"/>
      <c r="D547" s="38"/>
      <c r="E547" s="10"/>
      <c r="I547" s="10"/>
      <c r="J547" s="10"/>
    </row>
    <row r="548">
      <c r="B548" s="9"/>
      <c r="C548" s="38"/>
      <c r="D548" s="38"/>
      <c r="E548" s="10"/>
      <c r="I548" s="10"/>
      <c r="J548" s="10"/>
    </row>
    <row r="549">
      <c r="B549" s="9"/>
      <c r="C549" s="38"/>
      <c r="D549" s="38"/>
      <c r="E549" s="10"/>
      <c r="I549" s="10"/>
      <c r="J549" s="10"/>
    </row>
    <row r="550">
      <c r="B550" s="9"/>
      <c r="C550" s="38"/>
      <c r="D550" s="38"/>
      <c r="E550" s="10"/>
      <c r="I550" s="10"/>
      <c r="J550" s="10"/>
    </row>
    <row r="551">
      <c r="B551" s="9"/>
      <c r="C551" s="38"/>
      <c r="D551" s="38"/>
      <c r="E551" s="10"/>
      <c r="I551" s="10"/>
      <c r="J551" s="10"/>
    </row>
    <row r="552">
      <c r="B552" s="9"/>
      <c r="C552" s="38"/>
      <c r="D552" s="38"/>
      <c r="E552" s="10"/>
      <c r="I552" s="10"/>
      <c r="J552" s="10"/>
    </row>
    <row r="553">
      <c r="B553" s="9"/>
      <c r="C553" s="38"/>
      <c r="D553" s="38"/>
      <c r="E553" s="10"/>
      <c r="I553" s="10"/>
      <c r="J553" s="10"/>
    </row>
    <row r="554">
      <c r="B554" s="9"/>
      <c r="C554" s="38"/>
      <c r="D554" s="38"/>
      <c r="E554" s="10"/>
      <c r="I554" s="10"/>
      <c r="J554" s="10"/>
    </row>
    <row r="555">
      <c r="B555" s="9"/>
      <c r="C555" s="38"/>
      <c r="D555" s="38"/>
      <c r="E555" s="10"/>
      <c r="I555" s="10"/>
      <c r="J555" s="10"/>
    </row>
    <row r="556">
      <c r="B556" s="9"/>
      <c r="C556" s="38"/>
      <c r="D556" s="38"/>
      <c r="E556" s="10"/>
      <c r="I556" s="10"/>
      <c r="J556" s="10"/>
    </row>
    <row r="557">
      <c r="B557" s="9"/>
      <c r="C557" s="38"/>
      <c r="D557" s="38"/>
      <c r="E557" s="10"/>
      <c r="I557" s="10"/>
      <c r="J557" s="10"/>
    </row>
    <row r="558">
      <c r="B558" s="9"/>
      <c r="C558" s="38"/>
      <c r="D558" s="38"/>
      <c r="E558" s="10"/>
      <c r="I558" s="10"/>
      <c r="J558" s="10"/>
    </row>
    <row r="559">
      <c r="B559" s="9"/>
      <c r="C559" s="38"/>
      <c r="D559" s="38"/>
      <c r="E559" s="10"/>
      <c r="I559" s="10"/>
      <c r="J559" s="10"/>
    </row>
    <row r="560">
      <c r="B560" s="9"/>
      <c r="C560" s="38"/>
      <c r="D560" s="38"/>
      <c r="E560" s="10"/>
      <c r="I560" s="10"/>
      <c r="J560" s="10"/>
    </row>
    <row r="561">
      <c r="B561" s="9"/>
      <c r="C561" s="38"/>
      <c r="D561" s="38"/>
      <c r="E561" s="10"/>
      <c r="I561" s="10"/>
      <c r="J561" s="10"/>
    </row>
    <row r="562">
      <c r="B562" s="9"/>
      <c r="C562" s="38"/>
      <c r="D562" s="38"/>
      <c r="E562" s="10"/>
      <c r="I562" s="10"/>
      <c r="J562" s="10"/>
    </row>
    <row r="563">
      <c r="B563" s="9"/>
      <c r="C563" s="38"/>
      <c r="D563" s="38"/>
      <c r="E563" s="10"/>
      <c r="I563" s="10"/>
      <c r="J563" s="10"/>
    </row>
    <row r="564">
      <c r="B564" s="9"/>
      <c r="C564" s="38"/>
      <c r="D564" s="38"/>
      <c r="E564" s="10"/>
      <c r="I564" s="10"/>
      <c r="J564" s="10"/>
    </row>
    <row r="565">
      <c r="B565" s="9"/>
      <c r="C565" s="38"/>
      <c r="D565" s="38"/>
      <c r="E565" s="10"/>
      <c r="I565" s="10"/>
      <c r="J565" s="10"/>
    </row>
    <row r="566">
      <c r="B566" s="9"/>
      <c r="C566" s="38"/>
      <c r="D566" s="38"/>
      <c r="E566" s="10"/>
      <c r="I566" s="10"/>
      <c r="J566" s="10"/>
    </row>
    <row r="567">
      <c r="B567" s="9"/>
      <c r="C567" s="38"/>
      <c r="D567" s="38"/>
      <c r="E567" s="10"/>
      <c r="I567" s="10"/>
      <c r="J567" s="10"/>
    </row>
    <row r="568">
      <c r="B568" s="9"/>
      <c r="C568" s="38"/>
      <c r="D568" s="38"/>
      <c r="E568" s="10"/>
      <c r="I568" s="10"/>
      <c r="J568" s="10"/>
    </row>
    <row r="569">
      <c r="B569" s="9"/>
      <c r="C569" s="38"/>
      <c r="D569" s="38"/>
      <c r="E569" s="10"/>
      <c r="I569" s="10"/>
      <c r="J569" s="10"/>
    </row>
    <row r="570">
      <c r="B570" s="9"/>
      <c r="C570" s="38"/>
      <c r="D570" s="38"/>
      <c r="E570" s="10"/>
      <c r="I570" s="10"/>
      <c r="J570" s="10"/>
    </row>
    <row r="571">
      <c r="B571" s="9"/>
      <c r="C571" s="38"/>
      <c r="D571" s="38"/>
      <c r="E571" s="10"/>
      <c r="I571" s="10"/>
      <c r="J571" s="10"/>
    </row>
    <row r="572">
      <c r="B572" s="9"/>
      <c r="C572" s="38"/>
      <c r="D572" s="38"/>
      <c r="E572" s="10"/>
      <c r="I572" s="10"/>
      <c r="J572" s="10"/>
    </row>
    <row r="573">
      <c r="B573" s="9"/>
      <c r="C573" s="38"/>
      <c r="D573" s="38"/>
      <c r="E573" s="10"/>
      <c r="I573" s="10"/>
      <c r="J573" s="10"/>
    </row>
    <row r="574">
      <c r="B574" s="9"/>
      <c r="C574" s="38"/>
      <c r="D574" s="38"/>
      <c r="E574" s="10"/>
      <c r="I574" s="10"/>
      <c r="J574" s="10"/>
    </row>
    <row r="575">
      <c r="B575" s="9"/>
      <c r="C575" s="38"/>
      <c r="D575" s="38"/>
      <c r="E575" s="10"/>
      <c r="I575" s="10"/>
      <c r="J575" s="10"/>
    </row>
    <row r="576">
      <c r="B576" s="9"/>
      <c r="C576" s="38"/>
      <c r="D576" s="38"/>
      <c r="E576" s="10"/>
      <c r="I576" s="10"/>
      <c r="J576" s="10"/>
    </row>
    <row r="577">
      <c r="B577" s="9"/>
      <c r="C577" s="38"/>
      <c r="D577" s="38"/>
      <c r="E577" s="10"/>
      <c r="I577" s="10"/>
      <c r="J577" s="10"/>
    </row>
    <row r="578">
      <c r="B578" s="9"/>
      <c r="C578" s="38"/>
      <c r="D578" s="38"/>
      <c r="E578" s="10"/>
      <c r="I578" s="10"/>
      <c r="J578" s="10"/>
    </row>
    <row r="579">
      <c r="B579" s="9"/>
      <c r="C579" s="38"/>
      <c r="D579" s="38"/>
      <c r="E579" s="10"/>
      <c r="I579" s="10"/>
      <c r="J579" s="10"/>
    </row>
    <row r="580">
      <c r="B580" s="9"/>
      <c r="C580" s="38"/>
      <c r="D580" s="38"/>
      <c r="E580" s="10"/>
      <c r="I580" s="10"/>
      <c r="J580" s="10"/>
    </row>
    <row r="581">
      <c r="B581" s="9"/>
      <c r="C581" s="38"/>
      <c r="D581" s="38"/>
      <c r="E581" s="10"/>
      <c r="I581" s="10"/>
      <c r="J581" s="10"/>
    </row>
    <row r="582">
      <c r="B582" s="9"/>
      <c r="C582" s="38"/>
      <c r="D582" s="38"/>
      <c r="E582" s="10"/>
      <c r="I582" s="10"/>
      <c r="J582" s="10"/>
    </row>
    <row r="583">
      <c r="B583" s="9"/>
      <c r="C583" s="38"/>
      <c r="D583" s="38"/>
      <c r="E583" s="10"/>
      <c r="I583" s="10"/>
      <c r="J583" s="10"/>
    </row>
    <row r="584">
      <c r="B584" s="9"/>
      <c r="C584" s="38"/>
      <c r="D584" s="38"/>
      <c r="E584" s="10"/>
      <c r="I584" s="10"/>
      <c r="J584" s="10"/>
    </row>
    <row r="585">
      <c r="B585" s="9"/>
      <c r="C585" s="38"/>
      <c r="D585" s="38"/>
      <c r="E585" s="10"/>
      <c r="I585" s="10"/>
      <c r="J585" s="10"/>
    </row>
    <row r="586">
      <c r="B586" s="9"/>
      <c r="C586" s="38"/>
      <c r="D586" s="38"/>
      <c r="E586" s="10"/>
      <c r="I586" s="10"/>
      <c r="J586" s="10"/>
    </row>
    <row r="587">
      <c r="B587" s="9"/>
      <c r="C587" s="38"/>
      <c r="D587" s="38"/>
      <c r="E587" s="10"/>
      <c r="I587" s="10"/>
      <c r="J587" s="10"/>
    </row>
    <row r="588">
      <c r="B588" s="9"/>
      <c r="C588" s="38"/>
      <c r="D588" s="38"/>
      <c r="E588" s="10"/>
      <c r="I588" s="10"/>
      <c r="J588" s="10"/>
    </row>
    <row r="589">
      <c r="B589" s="9"/>
      <c r="C589" s="38"/>
      <c r="D589" s="38"/>
      <c r="E589" s="10"/>
      <c r="I589" s="10"/>
      <c r="J589" s="10"/>
    </row>
    <row r="590">
      <c r="B590" s="9"/>
      <c r="C590" s="38"/>
      <c r="D590" s="38"/>
      <c r="E590" s="10"/>
      <c r="I590" s="10"/>
      <c r="J590" s="10"/>
    </row>
    <row r="591">
      <c r="B591" s="9"/>
      <c r="C591" s="38"/>
      <c r="D591" s="38"/>
      <c r="E591" s="10"/>
      <c r="I591" s="10"/>
      <c r="J591" s="10"/>
    </row>
    <row r="592">
      <c r="B592" s="9"/>
      <c r="C592" s="38"/>
      <c r="D592" s="38"/>
      <c r="E592" s="10"/>
      <c r="I592" s="10"/>
      <c r="J592" s="10"/>
    </row>
    <row r="593">
      <c r="B593" s="9"/>
      <c r="C593" s="38"/>
      <c r="D593" s="38"/>
      <c r="E593" s="10"/>
      <c r="I593" s="10"/>
      <c r="J593" s="10"/>
    </row>
    <row r="594">
      <c r="B594" s="9"/>
      <c r="C594" s="38"/>
      <c r="D594" s="38"/>
      <c r="E594" s="10"/>
      <c r="I594" s="10"/>
      <c r="J594" s="10"/>
    </row>
    <row r="595">
      <c r="B595" s="9"/>
      <c r="C595" s="38"/>
      <c r="D595" s="38"/>
      <c r="E595" s="10"/>
      <c r="I595" s="10"/>
      <c r="J595" s="10"/>
    </row>
    <row r="596">
      <c r="B596" s="9"/>
      <c r="C596" s="38"/>
      <c r="D596" s="38"/>
      <c r="E596" s="10"/>
      <c r="I596" s="10"/>
      <c r="J596" s="10"/>
    </row>
    <row r="597">
      <c r="B597" s="9"/>
      <c r="C597" s="38"/>
      <c r="D597" s="38"/>
      <c r="E597" s="10"/>
      <c r="I597" s="10"/>
      <c r="J597" s="10"/>
    </row>
    <row r="598">
      <c r="B598" s="9"/>
      <c r="C598" s="38"/>
      <c r="D598" s="38"/>
      <c r="E598" s="10"/>
      <c r="I598" s="10"/>
      <c r="J598" s="10"/>
    </row>
    <row r="599">
      <c r="B599" s="9"/>
      <c r="C599" s="38"/>
      <c r="D599" s="38"/>
      <c r="E599" s="10"/>
      <c r="I599" s="10"/>
      <c r="J599" s="10"/>
    </row>
    <row r="600">
      <c r="B600" s="9"/>
      <c r="C600" s="38"/>
      <c r="D600" s="38"/>
      <c r="E600" s="10"/>
      <c r="I600" s="10"/>
      <c r="J600" s="10"/>
    </row>
    <row r="601">
      <c r="B601" s="9"/>
      <c r="C601" s="38"/>
      <c r="D601" s="38"/>
      <c r="E601" s="10"/>
      <c r="I601" s="10"/>
      <c r="J601" s="10"/>
    </row>
    <row r="602">
      <c r="B602" s="9"/>
      <c r="C602" s="38"/>
      <c r="D602" s="38"/>
      <c r="E602" s="10"/>
      <c r="I602" s="10"/>
      <c r="J602" s="10"/>
    </row>
    <row r="603">
      <c r="B603" s="9"/>
      <c r="C603" s="38"/>
      <c r="D603" s="38"/>
      <c r="E603" s="10"/>
      <c r="I603" s="10"/>
      <c r="J603" s="10"/>
    </row>
    <row r="604">
      <c r="B604" s="9"/>
      <c r="C604" s="38"/>
      <c r="D604" s="38"/>
      <c r="E604" s="10"/>
      <c r="I604" s="10"/>
      <c r="J604" s="10"/>
    </row>
    <row r="605">
      <c r="B605" s="9"/>
      <c r="C605" s="38"/>
      <c r="D605" s="38"/>
      <c r="E605" s="10"/>
      <c r="I605" s="10"/>
      <c r="J605" s="10"/>
    </row>
    <row r="606">
      <c r="B606" s="9"/>
      <c r="C606" s="38"/>
      <c r="D606" s="38"/>
      <c r="E606" s="10"/>
      <c r="I606" s="10"/>
      <c r="J606" s="10"/>
    </row>
    <row r="607">
      <c r="B607" s="9"/>
      <c r="C607" s="38"/>
      <c r="D607" s="38"/>
      <c r="E607" s="10"/>
      <c r="I607" s="10"/>
      <c r="J607" s="10"/>
    </row>
    <row r="608">
      <c r="B608" s="9"/>
      <c r="C608" s="38"/>
      <c r="D608" s="38"/>
      <c r="E608" s="10"/>
      <c r="I608" s="10"/>
      <c r="J608" s="10"/>
    </row>
    <row r="609">
      <c r="B609" s="9"/>
      <c r="C609" s="38"/>
      <c r="D609" s="38"/>
      <c r="E609" s="10"/>
      <c r="I609" s="10"/>
      <c r="J609" s="10"/>
    </row>
    <row r="610">
      <c r="B610" s="9"/>
      <c r="C610" s="38"/>
      <c r="D610" s="38"/>
      <c r="E610" s="10"/>
      <c r="I610" s="10"/>
      <c r="J610" s="10"/>
    </row>
    <row r="611">
      <c r="B611" s="9"/>
      <c r="C611" s="38"/>
      <c r="D611" s="38"/>
      <c r="E611" s="10"/>
      <c r="I611" s="10"/>
      <c r="J611" s="10"/>
    </row>
    <row r="612">
      <c r="B612" s="9"/>
      <c r="C612" s="38"/>
      <c r="D612" s="38"/>
      <c r="E612" s="10"/>
      <c r="I612" s="10"/>
      <c r="J612" s="10"/>
    </row>
    <row r="613">
      <c r="B613" s="9"/>
      <c r="C613" s="38"/>
      <c r="D613" s="38"/>
      <c r="E613" s="10"/>
      <c r="I613" s="10"/>
      <c r="J613" s="10"/>
    </row>
    <row r="614">
      <c r="B614" s="9"/>
      <c r="C614" s="38"/>
      <c r="D614" s="38"/>
      <c r="E614" s="10"/>
      <c r="I614" s="10"/>
      <c r="J614" s="10"/>
    </row>
    <row r="615">
      <c r="B615" s="9"/>
      <c r="C615" s="38"/>
      <c r="D615" s="38"/>
      <c r="E615" s="10"/>
      <c r="I615" s="10"/>
      <c r="J615" s="10"/>
    </row>
    <row r="616">
      <c r="B616" s="9"/>
      <c r="C616" s="38"/>
      <c r="D616" s="38"/>
      <c r="E616" s="10"/>
      <c r="I616" s="10"/>
      <c r="J616" s="10"/>
    </row>
    <row r="617">
      <c r="B617" s="9"/>
      <c r="C617" s="38"/>
      <c r="D617" s="38"/>
      <c r="E617" s="10"/>
      <c r="I617" s="10"/>
      <c r="J617" s="10"/>
    </row>
    <row r="618">
      <c r="B618" s="9"/>
      <c r="C618" s="38"/>
      <c r="D618" s="38"/>
      <c r="E618" s="10"/>
      <c r="I618" s="10"/>
      <c r="J618" s="10"/>
    </row>
    <row r="619">
      <c r="B619" s="9"/>
      <c r="C619" s="38"/>
      <c r="D619" s="38"/>
      <c r="E619" s="10"/>
      <c r="I619" s="10"/>
      <c r="J619" s="10"/>
    </row>
    <row r="620">
      <c r="B620" s="9"/>
      <c r="C620" s="38"/>
      <c r="D620" s="38"/>
      <c r="E620" s="10"/>
      <c r="I620" s="10"/>
      <c r="J620" s="10"/>
    </row>
    <row r="621">
      <c r="B621" s="9"/>
      <c r="C621" s="38"/>
      <c r="D621" s="38"/>
      <c r="E621" s="10"/>
      <c r="I621" s="10"/>
      <c r="J621" s="10"/>
    </row>
    <row r="622">
      <c r="B622" s="9"/>
      <c r="C622" s="38"/>
      <c r="D622" s="38"/>
      <c r="E622" s="10"/>
      <c r="I622" s="10"/>
      <c r="J622" s="10"/>
    </row>
    <row r="623">
      <c r="B623" s="9"/>
      <c r="C623" s="38"/>
      <c r="D623" s="38"/>
      <c r="E623" s="10"/>
      <c r="I623" s="10"/>
      <c r="J623" s="10"/>
    </row>
    <row r="624">
      <c r="B624" s="9"/>
      <c r="C624" s="38"/>
      <c r="D624" s="38"/>
      <c r="E624" s="10"/>
      <c r="I624" s="10"/>
      <c r="J624" s="10"/>
    </row>
    <row r="625">
      <c r="B625" s="9"/>
      <c r="C625" s="38"/>
      <c r="D625" s="38"/>
      <c r="E625" s="10"/>
      <c r="I625" s="10"/>
      <c r="J625" s="10"/>
    </row>
    <row r="626">
      <c r="B626" s="9"/>
      <c r="C626" s="38"/>
      <c r="D626" s="38"/>
      <c r="E626" s="10"/>
      <c r="I626" s="10"/>
      <c r="J626" s="10"/>
    </row>
    <row r="627">
      <c r="B627" s="9"/>
      <c r="C627" s="38"/>
      <c r="D627" s="38"/>
      <c r="E627" s="10"/>
      <c r="I627" s="10"/>
      <c r="J627" s="10"/>
    </row>
    <row r="628">
      <c r="B628" s="9"/>
      <c r="C628" s="38"/>
      <c r="D628" s="38"/>
      <c r="E628" s="10"/>
      <c r="I628" s="10"/>
      <c r="J628" s="10"/>
    </row>
    <row r="629">
      <c r="B629" s="9"/>
      <c r="C629" s="38"/>
      <c r="D629" s="38"/>
      <c r="E629" s="10"/>
      <c r="I629" s="10"/>
      <c r="J629" s="10"/>
    </row>
    <row r="630">
      <c r="B630" s="9"/>
      <c r="C630" s="38"/>
      <c r="D630" s="38"/>
      <c r="E630" s="10"/>
      <c r="I630" s="10"/>
      <c r="J630" s="10"/>
    </row>
    <row r="631">
      <c r="B631" s="9"/>
      <c r="C631" s="38"/>
      <c r="D631" s="38"/>
      <c r="E631" s="10"/>
      <c r="I631" s="10"/>
      <c r="J631" s="10"/>
    </row>
    <row r="632">
      <c r="B632" s="9"/>
      <c r="C632" s="38"/>
      <c r="D632" s="38"/>
      <c r="E632" s="10"/>
      <c r="I632" s="10"/>
      <c r="J632" s="10"/>
    </row>
    <row r="633">
      <c r="B633" s="9"/>
      <c r="C633" s="38"/>
      <c r="D633" s="38"/>
      <c r="E633" s="10"/>
      <c r="I633" s="10"/>
      <c r="J633" s="10"/>
    </row>
    <row r="634">
      <c r="B634" s="9"/>
      <c r="C634" s="38"/>
      <c r="D634" s="38"/>
      <c r="E634" s="10"/>
      <c r="I634" s="10"/>
      <c r="J634" s="10"/>
    </row>
    <row r="635">
      <c r="B635" s="9"/>
      <c r="C635" s="38"/>
      <c r="D635" s="38"/>
      <c r="E635" s="10"/>
      <c r="I635" s="10"/>
      <c r="J635" s="10"/>
    </row>
    <row r="636">
      <c r="B636" s="9"/>
      <c r="C636" s="38"/>
      <c r="D636" s="38"/>
      <c r="E636" s="10"/>
      <c r="I636" s="10"/>
      <c r="J636" s="10"/>
    </row>
    <row r="637">
      <c r="B637" s="9"/>
      <c r="C637" s="38"/>
      <c r="D637" s="38"/>
      <c r="E637" s="10"/>
      <c r="I637" s="10"/>
      <c r="J637" s="10"/>
    </row>
    <row r="638">
      <c r="B638" s="9"/>
      <c r="C638" s="38"/>
      <c r="D638" s="38"/>
      <c r="E638" s="10"/>
      <c r="I638" s="10"/>
      <c r="J638" s="10"/>
    </row>
    <row r="639">
      <c r="B639" s="9"/>
      <c r="C639" s="38"/>
      <c r="D639" s="38"/>
      <c r="E639" s="10"/>
      <c r="I639" s="10"/>
      <c r="J639" s="10"/>
    </row>
    <row r="640">
      <c r="B640" s="9"/>
      <c r="C640" s="38"/>
      <c r="D640" s="38"/>
      <c r="E640" s="10"/>
      <c r="I640" s="10"/>
      <c r="J640" s="10"/>
    </row>
    <row r="641">
      <c r="B641" s="9"/>
      <c r="C641" s="38"/>
      <c r="D641" s="38"/>
      <c r="E641" s="10"/>
      <c r="I641" s="10"/>
      <c r="J641" s="10"/>
    </row>
    <row r="642">
      <c r="B642" s="9"/>
      <c r="C642" s="38"/>
      <c r="D642" s="38"/>
      <c r="E642" s="10"/>
      <c r="I642" s="10"/>
      <c r="J642" s="10"/>
    </row>
    <row r="643">
      <c r="B643" s="9"/>
      <c r="C643" s="38"/>
      <c r="D643" s="38"/>
      <c r="E643" s="10"/>
      <c r="I643" s="10"/>
      <c r="J643" s="10"/>
    </row>
    <row r="644">
      <c r="B644" s="9"/>
      <c r="C644" s="38"/>
      <c r="D644" s="38"/>
      <c r="E644" s="10"/>
      <c r="I644" s="10"/>
      <c r="J644" s="10"/>
    </row>
    <row r="645">
      <c r="B645" s="9"/>
      <c r="C645" s="38"/>
      <c r="D645" s="38"/>
      <c r="E645" s="10"/>
      <c r="I645" s="10"/>
      <c r="J645" s="10"/>
    </row>
    <row r="646">
      <c r="B646" s="9"/>
      <c r="C646" s="38"/>
      <c r="D646" s="38"/>
      <c r="E646" s="10"/>
      <c r="I646" s="10"/>
      <c r="J646" s="10"/>
    </row>
    <row r="647">
      <c r="B647" s="9"/>
      <c r="C647" s="38"/>
      <c r="D647" s="38"/>
      <c r="E647" s="10"/>
      <c r="I647" s="10"/>
      <c r="J647" s="10"/>
    </row>
    <row r="648">
      <c r="B648" s="9"/>
      <c r="C648" s="38"/>
      <c r="D648" s="38"/>
      <c r="E648" s="10"/>
      <c r="I648" s="10"/>
      <c r="J648" s="10"/>
    </row>
    <row r="649">
      <c r="B649" s="9"/>
      <c r="C649" s="38"/>
      <c r="D649" s="38"/>
      <c r="E649" s="10"/>
      <c r="I649" s="10"/>
      <c r="J649" s="10"/>
    </row>
    <row r="650">
      <c r="B650" s="9"/>
      <c r="C650" s="38"/>
      <c r="D650" s="38"/>
      <c r="E650" s="10"/>
      <c r="I650" s="10"/>
      <c r="J650" s="10"/>
    </row>
    <row r="651">
      <c r="B651" s="9"/>
      <c r="C651" s="38"/>
      <c r="D651" s="38"/>
      <c r="E651" s="10"/>
      <c r="I651" s="10"/>
      <c r="J651" s="10"/>
    </row>
    <row r="652">
      <c r="B652" s="9"/>
      <c r="C652" s="38"/>
      <c r="D652" s="38"/>
      <c r="E652" s="10"/>
      <c r="I652" s="10"/>
      <c r="J652" s="10"/>
    </row>
    <row r="653">
      <c r="B653" s="9"/>
      <c r="C653" s="38"/>
      <c r="D653" s="38"/>
      <c r="E653" s="10"/>
      <c r="I653" s="10"/>
      <c r="J653" s="10"/>
    </row>
    <row r="654">
      <c r="B654" s="9"/>
      <c r="C654" s="38"/>
      <c r="D654" s="38"/>
      <c r="E654" s="10"/>
      <c r="I654" s="10"/>
      <c r="J654" s="10"/>
    </row>
    <row r="655">
      <c r="B655" s="9"/>
      <c r="C655" s="38"/>
      <c r="D655" s="38"/>
      <c r="E655" s="10"/>
      <c r="I655" s="10"/>
      <c r="J655" s="10"/>
    </row>
    <row r="656">
      <c r="B656" s="9"/>
      <c r="C656" s="38"/>
      <c r="D656" s="38"/>
      <c r="E656" s="10"/>
      <c r="I656" s="10"/>
      <c r="J656" s="10"/>
    </row>
    <row r="657">
      <c r="B657" s="9"/>
      <c r="C657" s="38"/>
      <c r="D657" s="38"/>
      <c r="E657" s="10"/>
      <c r="I657" s="10"/>
      <c r="J657" s="10"/>
    </row>
    <row r="658">
      <c r="B658" s="9"/>
      <c r="C658" s="38"/>
      <c r="D658" s="38"/>
      <c r="E658" s="10"/>
      <c r="I658" s="10"/>
      <c r="J658" s="10"/>
    </row>
    <row r="659">
      <c r="B659" s="9"/>
      <c r="C659" s="38"/>
      <c r="D659" s="38"/>
      <c r="E659" s="10"/>
      <c r="I659" s="10"/>
      <c r="J659" s="10"/>
    </row>
    <row r="660">
      <c r="B660" s="9"/>
      <c r="C660" s="38"/>
      <c r="D660" s="38"/>
      <c r="E660" s="10"/>
      <c r="I660" s="10"/>
      <c r="J660" s="10"/>
    </row>
    <row r="661">
      <c r="B661" s="9"/>
      <c r="C661" s="38"/>
      <c r="D661" s="38"/>
      <c r="E661" s="10"/>
      <c r="I661" s="10"/>
      <c r="J661" s="10"/>
    </row>
    <row r="662">
      <c r="B662" s="9"/>
      <c r="C662" s="38"/>
      <c r="D662" s="38"/>
      <c r="E662" s="10"/>
      <c r="I662" s="10"/>
      <c r="J662" s="10"/>
    </row>
    <row r="663">
      <c r="B663" s="9"/>
      <c r="C663" s="38"/>
      <c r="D663" s="38"/>
      <c r="E663" s="10"/>
      <c r="I663" s="10"/>
      <c r="J663" s="10"/>
    </row>
    <row r="664">
      <c r="B664" s="9"/>
      <c r="C664" s="38"/>
      <c r="D664" s="38"/>
      <c r="E664" s="10"/>
      <c r="I664" s="10"/>
      <c r="J664" s="10"/>
    </row>
    <row r="665">
      <c r="B665" s="9"/>
      <c r="C665" s="38"/>
      <c r="D665" s="38"/>
      <c r="E665" s="10"/>
      <c r="I665" s="10"/>
      <c r="J665" s="10"/>
    </row>
    <row r="666">
      <c r="B666" s="9"/>
      <c r="C666" s="38"/>
      <c r="D666" s="38"/>
      <c r="E666" s="10"/>
      <c r="I666" s="10"/>
      <c r="J666" s="10"/>
    </row>
    <row r="667">
      <c r="B667" s="9"/>
      <c r="C667" s="38"/>
      <c r="D667" s="38"/>
      <c r="E667" s="10"/>
      <c r="I667" s="10"/>
      <c r="J667" s="10"/>
    </row>
    <row r="668">
      <c r="B668" s="9"/>
      <c r="C668" s="38"/>
      <c r="D668" s="38"/>
      <c r="E668" s="10"/>
      <c r="I668" s="10"/>
      <c r="J668" s="10"/>
    </row>
    <row r="669">
      <c r="B669" s="9"/>
      <c r="C669" s="38"/>
      <c r="D669" s="38"/>
      <c r="E669" s="10"/>
      <c r="I669" s="10"/>
      <c r="J669" s="10"/>
    </row>
    <row r="670">
      <c r="B670" s="9"/>
      <c r="C670" s="38"/>
      <c r="D670" s="38"/>
      <c r="E670" s="10"/>
      <c r="I670" s="10"/>
      <c r="J670" s="10"/>
    </row>
    <row r="671">
      <c r="B671" s="9"/>
      <c r="C671" s="38"/>
      <c r="D671" s="38"/>
      <c r="E671" s="10"/>
      <c r="I671" s="10"/>
      <c r="J671" s="10"/>
    </row>
    <row r="672">
      <c r="B672" s="9"/>
      <c r="C672" s="38"/>
      <c r="D672" s="38"/>
      <c r="E672" s="10"/>
      <c r="I672" s="10"/>
      <c r="J672" s="10"/>
    </row>
    <row r="673">
      <c r="B673" s="9"/>
      <c r="C673" s="38"/>
      <c r="D673" s="38"/>
      <c r="E673" s="10"/>
      <c r="I673" s="10"/>
      <c r="J673" s="10"/>
    </row>
    <row r="674">
      <c r="B674" s="9"/>
      <c r="C674" s="38"/>
      <c r="D674" s="38"/>
      <c r="E674" s="10"/>
      <c r="I674" s="10"/>
      <c r="J674" s="10"/>
    </row>
    <row r="675">
      <c r="B675" s="9"/>
      <c r="C675" s="38"/>
      <c r="D675" s="38"/>
      <c r="E675" s="10"/>
      <c r="I675" s="10"/>
      <c r="J675" s="10"/>
    </row>
    <row r="676">
      <c r="B676" s="9"/>
      <c r="C676" s="38"/>
      <c r="D676" s="38"/>
      <c r="E676" s="10"/>
      <c r="I676" s="10"/>
      <c r="J676" s="10"/>
    </row>
    <row r="677">
      <c r="B677" s="9"/>
      <c r="C677" s="38"/>
      <c r="D677" s="38"/>
      <c r="E677" s="10"/>
      <c r="I677" s="10"/>
      <c r="J677" s="10"/>
    </row>
    <row r="678">
      <c r="B678" s="9"/>
      <c r="C678" s="38"/>
      <c r="D678" s="38"/>
      <c r="E678" s="10"/>
      <c r="I678" s="10"/>
      <c r="J678" s="10"/>
    </row>
    <row r="679">
      <c r="B679" s="9"/>
      <c r="C679" s="38"/>
      <c r="D679" s="38"/>
      <c r="E679" s="10"/>
      <c r="I679" s="10"/>
      <c r="J679" s="10"/>
    </row>
    <row r="680">
      <c r="B680" s="9"/>
      <c r="C680" s="38"/>
      <c r="D680" s="38"/>
      <c r="E680" s="10"/>
      <c r="I680" s="10"/>
      <c r="J680" s="10"/>
    </row>
    <row r="681">
      <c r="B681" s="9"/>
      <c r="C681" s="38"/>
      <c r="D681" s="38"/>
      <c r="E681" s="10"/>
      <c r="I681" s="10"/>
      <c r="J681" s="10"/>
    </row>
    <row r="682">
      <c r="B682" s="9"/>
      <c r="C682" s="38"/>
      <c r="D682" s="38"/>
      <c r="E682" s="10"/>
      <c r="I682" s="10"/>
      <c r="J682" s="10"/>
    </row>
    <row r="683">
      <c r="B683" s="9"/>
      <c r="C683" s="38"/>
      <c r="D683" s="38"/>
      <c r="E683" s="10"/>
      <c r="I683" s="10"/>
      <c r="J683" s="10"/>
    </row>
    <row r="684">
      <c r="B684" s="9"/>
      <c r="C684" s="38"/>
      <c r="D684" s="38"/>
      <c r="E684" s="10"/>
      <c r="I684" s="10"/>
      <c r="J684" s="10"/>
    </row>
    <row r="685">
      <c r="B685" s="9"/>
      <c r="C685" s="38"/>
      <c r="D685" s="38"/>
      <c r="E685" s="10"/>
      <c r="I685" s="10"/>
      <c r="J685" s="10"/>
    </row>
    <row r="686">
      <c r="B686" s="9"/>
      <c r="C686" s="38"/>
      <c r="D686" s="38"/>
      <c r="E686" s="10"/>
      <c r="I686" s="10"/>
      <c r="J686" s="10"/>
    </row>
    <row r="687">
      <c r="B687" s="9"/>
      <c r="C687" s="38"/>
      <c r="D687" s="38"/>
      <c r="E687" s="10"/>
      <c r="I687" s="10"/>
      <c r="J687" s="10"/>
    </row>
    <row r="688">
      <c r="B688" s="9"/>
      <c r="C688" s="38"/>
      <c r="D688" s="38"/>
      <c r="E688" s="10"/>
      <c r="I688" s="10"/>
      <c r="J688" s="10"/>
    </row>
    <row r="689">
      <c r="B689" s="9"/>
      <c r="C689" s="38"/>
      <c r="D689" s="38"/>
      <c r="E689" s="10"/>
      <c r="I689" s="10"/>
      <c r="J689" s="10"/>
    </row>
    <row r="690">
      <c r="B690" s="9"/>
      <c r="C690" s="38"/>
      <c r="D690" s="38"/>
      <c r="E690" s="10"/>
      <c r="I690" s="10"/>
      <c r="J690" s="10"/>
    </row>
    <row r="691">
      <c r="B691" s="9"/>
      <c r="C691" s="38"/>
      <c r="D691" s="38"/>
      <c r="E691" s="10"/>
      <c r="I691" s="10"/>
      <c r="J691" s="10"/>
    </row>
    <row r="692">
      <c r="B692" s="9"/>
      <c r="C692" s="38"/>
      <c r="D692" s="38"/>
      <c r="E692" s="10"/>
      <c r="I692" s="10"/>
      <c r="J692" s="10"/>
    </row>
    <row r="693">
      <c r="B693" s="9"/>
      <c r="C693" s="38"/>
      <c r="D693" s="38"/>
      <c r="E693" s="10"/>
      <c r="I693" s="10"/>
      <c r="J693" s="10"/>
    </row>
    <row r="694">
      <c r="B694" s="9"/>
      <c r="C694" s="38"/>
      <c r="D694" s="38"/>
      <c r="E694" s="10"/>
      <c r="I694" s="10"/>
      <c r="J694" s="10"/>
    </row>
    <row r="695">
      <c r="B695" s="9"/>
      <c r="C695" s="38"/>
      <c r="D695" s="38"/>
      <c r="E695" s="10"/>
      <c r="I695" s="10"/>
      <c r="J695" s="10"/>
    </row>
    <row r="696">
      <c r="B696" s="9"/>
      <c r="C696" s="38"/>
      <c r="D696" s="38"/>
      <c r="E696" s="10"/>
      <c r="I696" s="10"/>
      <c r="J696" s="10"/>
    </row>
    <row r="697">
      <c r="B697" s="9"/>
      <c r="C697" s="38"/>
      <c r="D697" s="38"/>
      <c r="E697" s="10"/>
      <c r="I697" s="10"/>
      <c r="J697" s="10"/>
    </row>
    <row r="698">
      <c r="B698" s="9"/>
      <c r="C698" s="38"/>
      <c r="D698" s="38"/>
      <c r="E698" s="10"/>
      <c r="I698" s="10"/>
      <c r="J698" s="10"/>
    </row>
    <row r="699">
      <c r="B699" s="9"/>
      <c r="C699" s="38"/>
      <c r="D699" s="38"/>
      <c r="E699" s="10"/>
      <c r="I699" s="10"/>
      <c r="J699" s="10"/>
    </row>
    <row r="700">
      <c r="B700" s="9"/>
      <c r="C700" s="38"/>
      <c r="D700" s="38"/>
      <c r="E700" s="10"/>
      <c r="I700" s="10"/>
      <c r="J700" s="10"/>
    </row>
    <row r="701">
      <c r="B701" s="9"/>
      <c r="C701" s="38"/>
      <c r="D701" s="38"/>
      <c r="E701" s="10"/>
      <c r="I701" s="10"/>
      <c r="J701" s="10"/>
    </row>
    <row r="702">
      <c r="B702" s="9"/>
      <c r="C702" s="38"/>
      <c r="D702" s="38"/>
      <c r="E702" s="10"/>
      <c r="I702" s="10"/>
      <c r="J702" s="10"/>
    </row>
    <row r="703">
      <c r="B703" s="9"/>
      <c r="C703" s="38"/>
      <c r="D703" s="38"/>
      <c r="E703" s="10"/>
      <c r="I703" s="10"/>
      <c r="J703" s="10"/>
    </row>
    <row r="704">
      <c r="B704" s="9"/>
      <c r="C704" s="38"/>
      <c r="D704" s="38"/>
      <c r="E704" s="10"/>
      <c r="I704" s="10"/>
      <c r="J704" s="10"/>
    </row>
    <row r="705">
      <c r="B705" s="9"/>
      <c r="C705" s="38"/>
      <c r="D705" s="38"/>
      <c r="E705" s="10"/>
      <c r="I705" s="10"/>
      <c r="J705" s="10"/>
    </row>
    <row r="706">
      <c r="B706" s="9"/>
      <c r="C706" s="38"/>
      <c r="D706" s="38"/>
      <c r="E706" s="10"/>
      <c r="I706" s="10"/>
      <c r="J706" s="10"/>
    </row>
    <row r="707">
      <c r="B707" s="9"/>
      <c r="C707" s="38"/>
      <c r="D707" s="38"/>
      <c r="E707" s="10"/>
      <c r="I707" s="10"/>
      <c r="J707" s="10"/>
    </row>
    <row r="708">
      <c r="B708" s="9"/>
      <c r="C708" s="38"/>
      <c r="D708" s="38"/>
      <c r="E708" s="10"/>
      <c r="I708" s="10"/>
      <c r="J708" s="10"/>
    </row>
    <row r="709">
      <c r="B709" s="9"/>
      <c r="C709" s="38"/>
      <c r="D709" s="38"/>
      <c r="E709" s="10"/>
      <c r="I709" s="10"/>
      <c r="J709" s="10"/>
    </row>
    <row r="710">
      <c r="B710" s="9"/>
      <c r="C710" s="38"/>
      <c r="D710" s="38"/>
      <c r="E710" s="10"/>
      <c r="I710" s="10"/>
      <c r="J710" s="10"/>
    </row>
    <row r="711">
      <c r="B711" s="9"/>
      <c r="C711" s="38"/>
      <c r="D711" s="38"/>
      <c r="E711" s="10"/>
      <c r="I711" s="10"/>
      <c r="J711" s="10"/>
    </row>
    <row r="712">
      <c r="B712" s="9"/>
      <c r="C712" s="38"/>
      <c r="D712" s="38"/>
      <c r="E712" s="10"/>
      <c r="I712" s="10"/>
      <c r="J712" s="10"/>
    </row>
    <row r="713">
      <c r="B713" s="9"/>
      <c r="C713" s="38"/>
      <c r="D713" s="38"/>
      <c r="E713" s="10"/>
      <c r="I713" s="10"/>
      <c r="J713" s="10"/>
    </row>
    <row r="714">
      <c r="B714" s="9"/>
      <c r="C714" s="38"/>
      <c r="D714" s="38"/>
      <c r="E714" s="10"/>
      <c r="I714" s="10"/>
      <c r="J714" s="10"/>
    </row>
    <row r="715">
      <c r="B715" s="9"/>
      <c r="C715" s="38"/>
      <c r="D715" s="38"/>
      <c r="E715" s="10"/>
      <c r="I715" s="10"/>
      <c r="J715" s="10"/>
    </row>
    <row r="716">
      <c r="B716" s="9"/>
      <c r="C716" s="38"/>
      <c r="D716" s="38"/>
      <c r="E716" s="10"/>
      <c r="I716" s="10"/>
      <c r="J716" s="10"/>
    </row>
    <row r="717">
      <c r="B717" s="9"/>
      <c r="C717" s="38"/>
      <c r="D717" s="38"/>
      <c r="E717" s="10"/>
      <c r="I717" s="10"/>
      <c r="J717" s="10"/>
    </row>
    <row r="718">
      <c r="B718" s="9"/>
      <c r="C718" s="38"/>
      <c r="D718" s="38"/>
      <c r="E718" s="10"/>
      <c r="I718" s="10"/>
      <c r="J718" s="10"/>
    </row>
    <row r="719">
      <c r="B719" s="9"/>
      <c r="C719" s="38"/>
      <c r="D719" s="38"/>
      <c r="E719" s="10"/>
      <c r="I719" s="10"/>
      <c r="J719" s="10"/>
    </row>
    <row r="720">
      <c r="B720" s="9"/>
      <c r="C720" s="38"/>
      <c r="D720" s="38"/>
      <c r="E720" s="10"/>
      <c r="I720" s="10"/>
      <c r="J720" s="10"/>
    </row>
    <row r="721">
      <c r="B721" s="9"/>
      <c r="C721" s="38"/>
      <c r="D721" s="38"/>
      <c r="E721" s="10"/>
      <c r="I721" s="10"/>
      <c r="J721" s="10"/>
    </row>
    <row r="722">
      <c r="B722" s="9"/>
      <c r="C722" s="38"/>
      <c r="D722" s="38"/>
      <c r="E722" s="10"/>
      <c r="I722" s="10"/>
      <c r="J722" s="10"/>
    </row>
    <row r="723">
      <c r="B723" s="9"/>
      <c r="C723" s="38"/>
      <c r="D723" s="38"/>
      <c r="E723" s="10"/>
      <c r="I723" s="10"/>
      <c r="J723" s="10"/>
    </row>
    <row r="724">
      <c r="B724" s="9"/>
      <c r="C724" s="38"/>
      <c r="D724" s="38"/>
      <c r="E724" s="10"/>
      <c r="I724" s="10"/>
      <c r="J724" s="10"/>
    </row>
    <row r="725">
      <c r="B725" s="9"/>
      <c r="C725" s="38"/>
      <c r="D725" s="38"/>
      <c r="E725" s="10"/>
      <c r="I725" s="10"/>
      <c r="J725" s="10"/>
    </row>
    <row r="726">
      <c r="B726" s="9"/>
      <c r="C726" s="38"/>
      <c r="D726" s="38"/>
      <c r="E726" s="10"/>
      <c r="I726" s="10"/>
      <c r="J726" s="10"/>
    </row>
    <row r="727">
      <c r="B727" s="9"/>
      <c r="C727" s="38"/>
      <c r="D727" s="38"/>
      <c r="E727" s="10"/>
      <c r="I727" s="10"/>
      <c r="J727" s="10"/>
    </row>
    <row r="728">
      <c r="B728" s="9"/>
      <c r="C728" s="38"/>
      <c r="D728" s="38"/>
      <c r="E728" s="10"/>
      <c r="I728" s="10"/>
      <c r="J728" s="10"/>
    </row>
    <row r="729">
      <c r="B729" s="9"/>
      <c r="C729" s="38"/>
      <c r="D729" s="38"/>
      <c r="E729" s="10"/>
      <c r="I729" s="10"/>
      <c r="J729" s="10"/>
    </row>
    <row r="730">
      <c r="B730" s="9"/>
      <c r="C730" s="38"/>
      <c r="D730" s="38"/>
      <c r="E730" s="10"/>
      <c r="I730" s="10"/>
      <c r="J730" s="10"/>
    </row>
    <row r="731">
      <c r="B731" s="9"/>
      <c r="C731" s="38"/>
      <c r="D731" s="38"/>
      <c r="E731" s="10"/>
      <c r="I731" s="10"/>
      <c r="J731" s="10"/>
    </row>
    <row r="732">
      <c r="B732" s="9"/>
      <c r="C732" s="38"/>
      <c r="D732" s="38"/>
      <c r="E732" s="10"/>
      <c r="I732" s="10"/>
      <c r="J732" s="10"/>
    </row>
    <row r="733">
      <c r="B733" s="9"/>
      <c r="C733" s="38"/>
      <c r="D733" s="38"/>
      <c r="E733" s="10"/>
      <c r="I733" s="10"/>
      <c r="J733" s="10"/>
    </row>
    <row r="734">
      <c r="B734" s="9"/>
      <c r="C734" s="38"/>
      <c r="D734" s="38"/>
      <c r="E734" s="10"/>
      <c r="I734" s="10"/>
      <c r="J734" s="10"/>
    </row>
    <row r="735">
      <c r="B735" s="9"/>
      <c r="C735" s="38"/>
      <c r="D735" s="38"/>
      <c r="E735" s="10"/>
      <c r="I735" s="10"/>
      <c r="J735" s="10"/>
    </row>
    <row r="736">
      <c r="B736" s="9"/>
      <c r="C736" s="38"/>
      <c r="D736" s="38"/>
      <c r="E736" s="10"/>
      <c r="I736" s="10"/>
      <c r="J736" s="10"/>
    </row>
    <row r="737">
      <c r="B737" s="9"/>
      <c r="C737" s="38"/>
      <c r="D737" s="38"/>
      <c r="E737" s="10"/>
      <c r="I737" s="10"/>
      <c r="J737" s="10"/>
    </row>
    <row r="738">
      <c r="B738" s="9"/>
      <c r="C738" s="38"/>
      <c r="D738" s="38"/>
      <c r="E738" s="10"/>
      <c r="I738" s="10"/>
      <c r="J738" s="10"/>
    </row>
    <row r="739">
      <c r="B739" s="9"/>
      <c r="C739" s="38"/>
      <c r="D739" s="38"/>
      <c r="E739" s="10"/>
      <c r="I739" s="10"/>
      <c r="J739" s="10"/>
    </row>
    <row r="740">
      <c r="B740" s="9"/>
      <c r="C740" s="38"/>
      <c r="D740" s="38"/>
      <c r="E740" s="10"/>
      <c r="I740" s="10"/>
      <c r="J740" s="10"/>
    </row>
    <row r="741">
      <c r="B741" s="9"/>
      <c r="C741" s="38"/>
      <c r="D741" s="38"/>
      <c r="E741" s="10"/>
      <c r="I741" s="10"/>
      <c r="J741" s="10"/>
    </row>
    <row r="742">
      <c r="B742" s="9"/>
      <c r="C742" s="38"/>
      <c r="D742" s="38"/>
      <c r="E742" s="10"/>
      <c r="I742" s="10"/>
      <c r="J742" s="10"/>
    </row>
    <row r="743">
      <c r="B743" s="9"/>
      <c r="C743" s="38"/>
      <c r="D743" s="38"/>
      <c r="E743" s="10"/>
      <c r="I743" s="10"/>
      <c r="J743" s="10"/>
    </row>
    <row r="744">
      <c r="B744" s="9"/>
      <c r="C744" s="38"/>
      <c r="D744" s="38"/>
      <c r="E744" s="10"/>
      <c r="I744" s="10"/>
      <c r="J744" s="10"/>
    </row>
    <row r="745">
      <c r="B745" s="9"/>
      <c r="C745" s="38"/>
      <c r="D745" s="38"/>
      <c r="E745" s="10"/>
      <c r="I745" s="10"/>
      <c r="J745" s="10"/>
    </row>
    <row r="746">
      <c r="B746" s="9"/>
      <c r="C746" s="38"/>
      <c r="D746" s="38"/>
      <c r="E746" s="10"/>
      <c r="I746" s="10"/>
      <c r="J746" s="10"/>
    </row>
    <row r="747">
      <c r="B747" s="9"/>
      <c r="C747" s="38"/>
      <c r="D747" s="38"/>
      <c r="E747" s="10"/>
      <c r="I747" s="10"/>
      <c r="J747" s="10"/>
    </row>
    <row r="748">
      <c r="B748" s="9"/>
      <c r="C748" s="38"/>
      <c r="D748" s="38"/>
      <c r="E748" s="10"/>
      <c r="I748" s="10"/>
      <c r="J748" s="10"/>
    </row>
    <row r="749">
      <c r="B749" s="9"/>
      <c r="C749" s="38"/>
      <c r="D749" s="38"/>
      <c r="E749" s="10"/>
      <c r="I749" s="10"/>
      <c r="J749" s="10"/>
    </row>
    <row r="750">
      <c r="B750" s="9"/>
      <c r="C750" s="38"/>
      <c r="D750" s="38"/>
      <c r="E750" s="10"/>
      <c r="I750" s="10"/>
      <c r="J750" s="10"/>
    </row>
    <row r="751">
      <c r="B751" s="9"/>
      <c r="C751" s="38"/>
      <c r="D751" s="38"/>
      <c r="E751" s="10"/>
      <c r="I751" s="10"/>
      <c r="J751" s="10"/>
    </row>
    <row r="752">
      <c r="B752" s="9"/>
      <c r="C752" s="38"/>
      <c r="D752" s="38"/>
      <c r="E752" s="10"/>
      <c r="I752" s="10"/>
      <c r="J752" s="10"/>
    </row>
    <row r="753">
      <c r="B753" s="9"/>
      <c r="C753" s="38"/>
      <c r="D753" s="38"/>
      <c r="E753" s="10"/>
      <c r="I753" s="10"/>
      <c r="J753" s="10"/>
    </row>
    <row r="754">
      <c r="B754" s="9"/>
      <c r="C754" s="38"/>
      <c r="D754" s="38"/>
      <c r="E754" s="10"/>
      <c r="I754" s="10"/>
      <c r="J754" s="10"/>
    </row>
    <row r="755">
      <c r="B755" s="9"/>
      <c r="C755" s="38"/>
      <c r="D755" s="38"/>
      <c r="E755" s="10"/>
      <c r="I755" s="10"/>
      <c r="J755" s="10"/>
    </row>
    <row r="756">
      <c r="B756" s="9"/>
      <c r="C756" s="38"/>
      <c r="D756" s="38"/>
      <c r="E756" s="10"/>
      <c r="I756" s="10"/>
      <c r="J756" s="10"/>
    </row>
    <row r="757">
      <c r="B757" s="9"/>
      <c r="C757" s="38"/>
      <c r="D757" s="38"/>
      <c r="E757" s="10"/>
      <c r="I757" s="10"/>
      <c r="J757" s="10"/>
    </row>
    <row r="758">
      <c r="B758" s="9"/>
      <c r="C758" s="38"/>
      <c r="D758" s="38"/>
      <c r="E758" s="10"/>
      <c r="I758" s="10"/>
      <c r="J758" s="10"/>
    </row>
    <row r="759">
      <c r="B759" s="9"/>
      <c r="C759" s="38"/>
      <c r="D759" s="38"/>
      <c r="E759" s="10"/>
      <c r="I759" s="10"/>
      <c r="J759" s="10"/>
    </row>
    <row r="760">
      <c r="B760" s="9"/>
      <c r="C760" s="38"/>
      <c r="D760" s="38"/>
      <c r="E760" s="10"/>
      <c r="I760" s="10"/>
      <c r="J760" s="10"/>
    </row>
    <row r="761">
      <c r="B761" s="9"/>
      <c r="C761" s="38"/>
      <c r="D761" s="38"/>
      <c r="E761" s="10"/>
      <c r="I761" s="10"/>
      <c r="J761" s="10"/>
    </row>
    <row r="762">
      <c r="B762" s="9"/>
      <c r="C762" s="38"/>
      <c r="D762" s="38"/>
      <c r="E762" s="10"/>
      <c r="I762" s="10"/>
      <c r="J762" s="10"/>
    </row>
    <row r="763">
      <c r="B763" s="9"/>
      <c r="C763" s="38"/>
      <c r="D763" s="38"/>
      <c r="E763" s="10"/>
      <c r="I763" s="10"/>
      <c r="J763" s="10"/>
    </row>
    <row r="764">
      <c r="B764" s="9"/>
      <c r="C764" s="38"/>
      <c r="D764" s="38"/>
      <c r="E764" s="10"/>
      <c r="I764" s="10"/>
      <c r="J764" s="10"/>
    </row>
    <row r="765">
      <c r="B765" s="9"/>
      <c r="C765" s="38"/>
      <c r="D765" s="38"/>
      <c r="E765" s="10"/>
      <c r="I765" s="10"/>
      <c r="J765" s="10"/>
    </row>
    <row r="766">
      <c r="B766" s="9"/>
      <c r="C766" s="38"/>
      <c r="D766" s="38"/>
      <c r="E766" s="10"/>
      <c r="I766" s="10"/>
      <c r="J766" s="10"/>
    </row>
    <row r="767">
      <c r="B767" s="9"/>
      <c r="C767" s="38"/>
      <c r="D767" s="38"/>
      <c r="E767" s="10"/>
      <c r="I767" s="10"/>
      <c r="J767" s="10"/>
    </row>
    <row r="768">
      <c r="B768" s="9"/>
      <c r="C768" s="38"/>
      <c r="D768" s="38"/>
      <c r="E768" s="10"/>
      <c r="I768" s="10"/>
      <c r="J768" s="10"/>
    </row>
    <row r="769">
      <c r="B769" s="9"/>
      <c r="C769" s="38"/>
      <c r="D769" s="38"/>
      <c r="E769" s="10"/>
      <c r="I769" s="10"/>
      <c r="J769" s="10"/>
    </row>
    <row r="770">
      <c r="B770" s="9"/>
      <c r="C770" s="38"/>
      <c r="D770" s="38"/>
      <c r="E770" s="10"/>
      <c r="I770" s="10"/>
      <c r="J770" s="10"/>
    </row>
    <row r="771">
      <c r="B771" s="9"/>
      <c r="C771" s="38"/>
      <c r="D771" s="38"/>
      <c r="E771" s="10"/>
      <c r="I771" s="10"/>
      <c r="J771" s="10"/>
    </row>
    <row r="772">
      <c r="B772" s="9"/>
      <c r="C772" s="38"/>
      <c r="D772" s="38"/>
      <c r="E772" s="10"/>
      <c r="I772" s="10"/>
      <c r="J772" s="10"/>
    </row>
    <row r="773">
      <c r="B773" s="9"/>
      <c r="C773" s="38"/>
      <c r="D773" s="38"/>
      <c r="E773" s="10"/>
      <c r="I773" s="10"/>
      <c r="J773" s="10"/>
    </row>
    <row r="774">
      <c r="B774" s="9"/>
      <c r="C774" s="38"/>
      <c r="D774" s="38"/>
      <c r="E774" s="10"/>
      <c r="I774" s="10"/>
      <c r="J774" s="10"/>
    </row>
    <row r="775">
      <c r="B775" s="9"/>
      <c r="C775" s="38"/>
      <c r="D775" s="38"/>
      <c r="E775" s="10"/>
      <c r="I775" s="10"/>
      <c r="J775" s="10"/>
    </row>
    <row r="776">
      <c r="B776" s="9"/>
      <c r="C776" s="38"/>
      <c r="D776" s="38"/>
      <c r="E776" s="10"/>
      <c r="I776" s="10"/>
      <c r="J776" s="10"/>
    </row>
    <row r="777">
      <c r="B777" s="9"/>
      <c r="C777" s="38"/>
      <c r="D777" s="38"/>
      <c r="E777" s="10"/>
      <c r="I777" s="10"/>
      <c r="J777" s="10"/>
    </row>
    <row r="778">
      <c r="B778" s="9"/>
      <c r="C778" s="38"/>
      <c r="D778" s="38"/>
      <c r="E778" s="10"/>
      <c r="I778" s="10"/>
      <c r="J778" s="10"/>
    </row>
    <row r="779">
      <c r="B779" s="9"/>
      <c r="C779" s="38"/>
      <c r="D779" s="38"/>
      <c r="E779" s="10"/>
      <c r="I779" s="10"/>
      <c r="J779" s="10"/>
    </row>
    <row r="780">
      <c r="B780" s="9"/>
      <c r="C780" s="38"/>
      <c r="D780" s="38"/>
      <c r="E780" s="10"/>
      <c r="I780" s="10"/>
      <c r="J780" s="10"/>
    </row>
    <row r="781">
      <c r="B781" s="9"/>
      <c r="C781" s="38"/>
      <c r="D781" s="38"/>
      <c r="E781" s="10"/>
      <c r="I781" s="10"/>
      <c r="J781" s="10"/>
    </row>
    <row r="782">
      <c r="B782" s="9"/>
      <c r="C782" s="38"/>
      <c r="D782" s="38"/>
      <c r="E782" s="10"/>
      <c r="I782" s="10"/>
      <c r="J782" s="10"/>
    </row>
    <row r="783">
      <c r="B783" s="9"/>
      <c r="C783" s="38"/>
      <c r="D783" s="38"/>
      <c r="E783" s="10"/>
      <c r="I783" s="10"/>
      <c r="J783" s="10"/>
    </row>
    <row r="784">
      <c r="B784" s="9"/>
      <c r="C784" s="38"/>
      <c r="D784" s="38"/>
      <c r="E784" s="10"/>
      <c r="I784" s="10"/>
      <c r="J784" s="10"/>
    </row>
    <row r="785">
      <c r="B785" s="9"/>
      <c r="C785" s="38"/>
      <c r="D785" s="38"/>
      <c r="E785" s="10"/>
      <c r="I785" s="10"/>
      <c r="J785" s="10"/>
    </row>
    <row r="786">
      <c r="B786" s="9"/>
      <c r="C786" s="38"/>
      <c r="D786" s="38"/>
      <c r="E786" s="10"/>
      <c r="I786" s="10"/>
      <c r="J786" s="10"/>
    </row>
    <row r="787">
      <c r="B787" s="9"/>
      <c r="C787" s="38"/>
      <c r="D787" s="38"/>
      <c r="E787" s="10"/>
      <c r="I787" s="10"/>
      <c r="J787" s="10"/>
    </row>
    <row r="788">
      <c r="B788" s="9"/>
      <c r="C788" s="38"/>
      <c r="D788" s="38"/>
      <c r="E788" s="10"/>
      <c r="I788" s="10"/>
      <c r="J788" s="10"/>
    </row>
    <row r="789">
      <c r="B789" s="9"/>
      <c r="C789" s="38"/>
      <c r="D789" s="38"/>
      <c r="E789" s="10"/>
      <c r="I789" s="10"/>
      <c r="J789" s="10"/>
    </row>
    <row r="790">
      <c r="B790" s="9"/>
      <c r="C790" s="38"/>
      <c r="D790" s="38"/>
      <c r="E790" s="10"/>
      <c r="I790" s="10"/>
      <c r="J790" s="10"/>
    </row>
    <row r="791">
      <c r="B791" s="9"/>
      <c r="C791" s="38"/>
      <c r="D791" s="38"/>
      <c r="E791" s="10"/>
      <c r="I791" s="10"/>
      <c r="J791" s="10"/>
    </row>
    <row r="792">
      <c r="B792" s="9"/>
      <c r="C792" s="38"/>
      <c r="D792" s="38"/>
      <c r="E792" s="10"/>
      <c r="I792" s="10"/>
      <c r="J792" s="10"/>
    </row>
    <row r="793">
      <c r="B793" s="9"/>
      <c r="C793" s="38"/>
      <c r="D793" s="38"/>
      <c r="E793" s="10"/>
      <c r="I793" s="10"/>
      <c r="J793" s="10"/>
    </row>
    <row r="794">
      <c r="B794" s="9"/>
      <c r="C794" s="38"/>
      <c r="D794" s="38"/>
      <c r="E794" s="10"/>
      <c r="I794" s="10"/>
      <c r="J794" s="10"/>
    </row>
    <row r="795">
      <c r="B795" s="9"/>
      <c r="C795" s="38"/>
      <c r="D795" s="38"/>
      <c r="E795" s="10"/>
      <c r="I795" s="10"/>
      <c r="J795" s="10"/>
    </row>
    <row r="796">
      <c r="B796" s="9"/>
      <c r="C796" s="38"/>
      <c r="D796" s="38"/>
      <c r="E796" s="10"/>
      <c r="I796" s="10"/>
      <c r="J796" s="10"/>
    </row>
    <row r="797">
      <c r="B797" s="9"/>
      <c r="C797" s="38"/>
      <c r="D797" s="38"/>
      <c r="E797" s="10"/>
      <c r="I797" s="10"/>
      <c r="J797" s="10"/>
    </row>
    <row r="798">
      <c r="B798" s="9"/>
      <c r="C798" s="38"/>
      <c r="D798" s="38"/>
      <c r="E798" s="10"/>
      <c r="I798" s="10"/>
      <c r="J798" s="10"/>
    </row>
    <row r="799">
      <c r="B799" s="9"/>
      <c r="C799" s="38"/>
      <c r="D799" s="38"/>
      <c r="E799" s="10"/>
      <c r="I799" s="10"/>
      <c r="J799" s="10"/>
    </row>
    <row r="800">
      <c r="B800" s="9"/>
      <c r="C800" s="38"/>
      <c r="D800" s="38"/>
      <c r="E800" s="10"/>
      <c r="I800" s="10"/>
      <c r="J800" s="10"/>
    </row>
    <row r="801">
      <c r="B801" s="9"/>
      <c r="C801" s="38"/>
      <c r="D801" s="38"/>
      <c r="E801" s="10"/>
      <c r="I801" s="10"/>
      <c r="J801" s="10"/>
    </row>
    <row r="802">
      <c r="B802" s="9"/>
      <c r="C802" s="38"/>
      <c r="D802" s="38"/>
      <c r="E802" s="10"/>
      <c r="I802" s="10"/>
      <c r="J802" s="10"/>
    </row>
    <row r="803">
      <c r="B803" s="9"/>
      <c r="C803" s="38"/>
      <c r="D803" s="38"/>
      <c r="E803" s="10"/>
      <c r="I803" s="10"/>
      <c r="J803" s="10"/>
    </row>
    <row r="804">
      <c r="B804" s="9"/>
      <c r="C804" s="38"/>
      <c r="D804" s="38"/>
      <c r="E804" s="10"/>
      <c r="I804" s="10"/>
      <c r="J804" s="10"/>
    </row>
    <row r="805">
      <c r="B805" s="9"/>
      <c r="C805" s="38"/>
      <c r="D805" s="38"/>
      <c r="E805" s="10"/>
      <c r="I805" s="10"/>
      <c r="J805" s="10"/>
    </row>
    <row r="806">
      <c r="B806" s="9"/>
      <c r="C806" s="38"/>
      <c r="D806" s="38"/>
      <c r="E806" s="10"/>
      <c r="I806" s="10"/>
      <c r="J806" s="10"/>
    </row>
    <row r="807">
      <c r="B807" s="9"/>
      <c r="C807" s="38"/>
      <c r="D807" s="38"/>
      <c r="E807" s="10"/>
      <c r="I807" s="10"/>
      <c r="J807" s="10"/>
    </row>
    <row r="808">
      <c r="B808" s="9"/>
      <c r="C808" s="38"/>
      <c r="D808" s="38"/>
      <c r="E808" s="10"/>
      <c r="I808" s="10"/>
      <c r="J808" s="10"/>
    </row>
    <row r="809">
      <c r="B809" s="9"/>
      <c r="C809" s="38"/>
      <c r="D809" s="38"/>
      <c r="E809" s="10"/>
      <c r="I809" s="10"/>
      <c r="J809" s="10"/>
    </row>
    <row r="810">
      <c r="B810" s="9"/>
      <c r="C810" s="38"/>
      <c r="D810" s="38"/>
      <c r="E810" s="10"/>
      <c r="I810" s="10"/>
      <c r="J810" s="10"/>
    </row>
    <row r="811">
      <c r="B811" s="9"/>
      <c r="C811" s="38"/>
      <c r="D811" s="38"/>
      <c r="E811" s="10"/>
      <c r="I811" s="10"/>
      <c r="J811" s="10"/>
    </row>
    <row r="812">
      <c r="B812" s="9"/>
      <c r="C812" s="38"/>
      <c r="D812" s="38"/>
      <c r="E812" s="10"/>
      <c r="I812" s="10"/>
      <c r="J812" s="10"/>
    </row>
    <row r="813">
      <c r="B813" s="9"/>
      <c r="C813" s="38"/>
      <c r="D813" s="38"/>
      <c r="E813" s="10"/>
      <c r="I813" s="10"/>
      <c r="J813" s="10"/>
    </row>
    <row r="814">
      <c r="B814" s="9"/>
      <c r="C814" s="38"/>
      <c r="D814" s="38"/>
      <c r="E814" s="10"/>
      <c r="I814" s="10"/>
      <c r="J814" s="10"/>
    </row>
    <row r="815">
      <c r="B815" s="9"/>
      <c r="C815" s="38"/>
      <c r="D815" s="38"/>
      <c r="E815" s="10"/>
      <c r="I815" s="10"/>
      <c r="J815" s="10"/>
    </row>
    <row r="816">
      <c r="B816" s="9"/>
      <c r="C816" s="38"/>
      <c r="D816" s="38"/>
      <c r="E816" s="10"/>
      <c r="I816" s="10"/>
      <c r="J816" s="10"/>
    </row>
    <row r="817">
      <c r="B817" s="9"/>
      <c r="C817" s="38"/>
      <c r="D817" s="38"/>
      <c r="E817" s="10"/>
      <c r="I817" s="10"/>
      <c r="J817" s="10"/>
    </row>
    <row r="818">
      <c r="B818" s="9"/>
      <c r="C818" s="38"/>
      <c r="D818" s="38"/>
      <c r="E818" s="10"/>
      <c r="I818" s="10"/>
      <c r="J818" s="10"/>
    </row>
    <row r="819">
      <c r="B819" s="9"/>
      <c r="C819" s="38"/>
      <c r="D819" s="38"/>
      <c r="E819" s="10"/>
      <c r="I819" s="10"/>
      <c r="J819" s="10"/>
    </row>
    <row r="820">
      <c r="B820" s="9"/>
      <c r="C820" s="38"/>
      <c r="D820" s="38"/>
      <c r="E820" s="10"/>
      <c r="I820" s="10"/>
      <c r="J820" s="10"/>
    </row>
    <row r="821">
      <c r="B821" s="9"/>
      <c r="C821" s="38"/>
      <c r="D821" s="38"/>
      <c r="E821" s="10"/>
      <c r="I821" s="10"/>
      <c r="J821" s="10"/>
    </row>
    <row r="822">
      <c r="B822" s="9"/>
      <c r="C822" s="38"/>
      <c r="D822" s="38"/>
      <c r="E822" s="10"/>
      <c r="I822" s="10"/>
      <c r="J822" s="10"/>
    </row>
    <row r="823">
      <c r="B823" s="9"/>
      <c r="C823" s="38"/>
      <c r="D823" s="38"/>
      <c r="E823" s="10"/>
      <c r="I823" s="10"/>
      <c r="J823" s="10"/>
    </row>
    <row r="824">
      <c r="B824" s="9"/>
      <c r="C824" s="38"/>
      <c r="D824" s="38"/>
      <c r="E824" s="10"/>
      <c r="I824" s="10"/>
      <c r="J824" s="10"/>
    </row>
    <row r="825">
      <c r="B825" s="9"/>
      <c r="C825" s="38"/>
      <c r="D825" s="38"/>
      <c r="E825" s="10"/>
      <c r="I825" s="10"/>
      <c r="J825" s="10"/>
    </row>
    <row r="826">
      <c r="B826" s="9"/>
      <c r="C826" s="38"/>
      <c r="D826" s="38"/>
      <c r="E826" s="10"/>
      <c r="I826" s="10"/>
      <c r="J826" s="10"/>
    </row>
    <row r="827">
      <c r="B827" s="9"/>
      <c r="C827" s="38"/>
      <c r="D827" s="38"/>
      <c r="E827" s="10"/>
      <c r="I827" s="10"/>
      <c r="J827" s="10"/>
    </row>
    <row r="828">
      <c r="B828" s="9"/>
      <c r="C828" s="38"/>
      <c r="D828" s="38"/>
      <c r="E828" s="10"/>
      <c r="I828" s="10"/>
      <c r="J828" s="10"/>
    </row>
    <row r="829">
      <c r="B829" s="9"/>
      <c r="C829" s="38"/>
      <c r="D829" s="38"/>
      <c r="E829" s="10"/>
      <c r="I829" s="10"/>
      <c r="J829" s="10"/>
    </row>
    <row r="830">
      <c r="B830" s="9"/>
      <c r="C830" s="38"/>
      <c r="D830" s="38"/>
      <c r="E830" s="10"/>
      <c r="I830" s="10"/>
      <c r="J830" s="10"/>
    </row>
    <row r="831">
      <c r="B831" s="9"/>
      <c r="C831" s="38"/>
      <c r="D831" s="38"/>
      <c r="E831" s="10"/>
      <c r="I831" s="10"/>
      <c r="J831" s="10"/>
    </row>
    <row r="832">
      <c r="B832" s="9"/>
      <c r="C832" s="38"/>
      <c r="D832" s="38"/>
      <c r="E832" s="10"/>
      <c r="I832" s="10"/>
      <c r="J832" s="10"/>
    </row>
    <row r="833">
      <c r="B833" s="9"/>
      <c r="C833" s="38"/>
      <c r="D833" s="38"/>
      <c r="E833" s="10"/>
      <c r="I833" s="10"/>
      <c r="J833" s="10"/>
    </row>
    <row r="834">
      <c r="B834" s="9"/>
      <c r="C834" s="38"/>
      <c r="D834" s="38"/>
      <c r="E834" s="10"/>
      <c r="I834" s="10"/>
      <c r="J834" s="10"/>
    </row>
    <row r="835">
      <c r="B835" s="9"/>
      <c r="C835" s="38"/>
      <c r="D835" s="38"/>
      <c r="E835" s="10"/>
      <c r="I835" s="10"/>
      <c r="J835" s="10"/>
    </row>
    <row r="836">
      <c r="B836" s="9"/>
      <c r="C836" s="38"/>
      <c r="D836" s="38"/>
      <c r="E836" s="10"/>
      <c r="I836" s="10"/>
      <c r="J836" s="10"/>
    </row>
    <row r="837">
      <c r="B837" s="9"/>
      <c r="C837" s="38"/>
      <c r="D837" s="38"/>
      <c r="E837" s="10"/>
      <c r="I837" s="10"/>
      <c r="J837" s="10"/>
    </row>
    <row r="838">
      <c r="B838" s="9"/>
      <c r="C838" s="38"/>
      <c r="D838" s="38"/>
      <c r="E838" s="10"/>
      <c r="I838" s="10"/>
      <c r="J838" s="10"/>
    </row>
    <row r="839">
      <c r="B839" s="9"/>
      <c r="C839" s="38"/>
      <c r="D839" s="38"/>
      <c r="E839" s="10"/>
      <c r="I839" s="10"/>
      <c r="J839" s="10"/>
    </row>
    <row r="840">
      <c r="B840" s="9"/>
      <c r="C840" s="38"/>
      <c r="D840" s="38"/>
      <c r="E840" s="10"/>
      <c r="I840" s="10"/>
      <c r="J840" s="10"/>
    </row>
    <row r="841">
      <c r="B841" s="9"/>
      <c r="C841" s="38"/>
      <c r="D841" s="38"/>
      <c r="E841" s="10"/>
      <c r="I841" s="10"/>
      <c r="J841" s="10"/>
    </row>
    <row r="842">
      <c r="B842" s="9"/>
      <c r="C842" s="38"/>
      <c r="D842" s="38"/>
      <c r="E842" s="10"/>
      <c r="I842" s="10"/>
      <c r="J842" s="10"/>
    </row>
    <row r="843">
      <c r="B843" s="9"/>
      <c r="C843" s="38"/>
      <c r="D843" s="38"/>
      <c r="E843" s="10"/>
      <c r="I843" s="10"/>
      <c r="J843" s="10"/>
    </row>
    <row r="844">
      <c r="B844" s="9"/>
      <c r="C844" s="38"/>
      <c r="D844" s="38"/>
      <c r="E844" s="10"/>
      <c r="I844" s="10"/>
      <c r="J844" s="10"/>
    </row>
    <row r="845">
      <c r="B845" s="9"/>
      <c r="C845" s="38"/>
      <c r="D845" s="38"/>
      <c r="E845" s="10"/>
      <c r="I845" s="10"/>
      <c r="J845" s="10"/>
    </row>
    <row r="846">
      <c r="B846" s="9"/>
      <c r="C846" s="38"/>
      <c r="D846" s="38"/>
      <c r="E846" s="10"/>
      <c r="I846" s="10"/>
      <c r="J846" s="10"/>
    </row>
    <row r="847">
      <c r="B847" s="9"/>
      <c r="C847" s="38"/>
      <c r="D847" s="38"/>
      <c r="E847" s="10"/>
      <c r="I847" s="10"/>
      <c r="J847" s="10"/>
    </row>
    <row r="848">
      <c r="B848" s="9"/>
      <c r="C848" s="38"/>
      <c r="D848" s="38"/>
      <c r="E848" s="10"/>
      <c r="I848" s="10"/>
      <c r="J848" s="10"/>
    </row>
    <row r="849">
      <c r="B849" s="9"/>
      <c r="C849" s="38"/>
      <c r="D849" s="38"/>
      <c r="E849" s="10"/>
      <c r="I849" s="10"/>
      <c r="J849" s="10"/>
    </row>
    <row r="850">
      <c r="B850" s="9"/>
      <c r="C850" s="38"/>
      <c r="D850" s="38"/>
      <c r="E850" s="10"/>
      <c r="I850" s="10"/>
      <c r="J850" s="10"/>
    </row>
    <row r="851">
      <c r="B851" s="9"/>
      <c r="C851" s="38"/>
      <c r="D851" s="38"/>
      <c r="E851" s="10"/>
      <c r="I851" s="10"/>
      <c r="J851" s="10"/>
    </row>
    <row r="852">
      <c r="B852" s="9"/>
      <c r="C852" s="38"/>
      <c r="D852" s="38"/>
      <c r="E852" s="10"/>
      <c r="I852" s="10"/>
      <c r="J852" s="10"/>
    </row>
    <row r="853">
      <c r="B853" s="9"/>
      <c r="C853" s="38"/>
      <c r="D853" s="38"/>
      <c r="E853" s="10"/>
      <c r="I853" s="10"/>
      <c r="J853" s="10"/>
    </row>
    <row r="854">
      <c r="B854" s="9"/>
      <c r="C854" s="38"/>
      <c r="D854" s="38"/>
      <c r="E854" s="10"/>
      <c r="I854" s="10"/>
      <c r="J854" s="10"/>
    </row>
    <row r="855">
      <c r="B855" s="9"/>
      <c r="C855" s="38"/>
      <c r="D855" s="38"/>
      <c r="E855" s="10"/>
      <c r="I855" s="10"/>
      <c r="J855" s="10"/>
    </row>
    <row r="856">
      <c r="B856" s="9"/>
      <c r="C856" s="38"/>
      <c r="D856" s="38"/>
      <c r="E856" s="10"/>
      <c r="I856" s="10"/>
      <c r="J856" s="10"/>
    </row>
    <row r="857">
      <c r="B857" s="9"/>
      <c r="C857" s="38"/>
      <c r="D857" s="38"/>
      <c r="E857" s="10"/>
      <c r="I857" s="10"/>
      <c r="J857" s="10"/>
    </row>
    <row r="858">
      <c r="B858" s="9"/>
      <c r="C858" s="38"/>
      <c r="D858" s="38"/>
      <c r="E858" s="10"/>
      <c r="I858" s="10"/>
      <c r="J858" s="10"/>
    </row>
    <row r="859">
      <c r="B859" s="9"/>
      <c r="C859" s="38"/>
      <c r="D859" s="38"/>
      <c r="E859" s="10"/>
      <c r="I859" s="10"/>
      <c r="J859" s="10"/>
    </row>
    <row r="860">
      <c r="B860" s="9"/>
      <c r="C860" s="38"/>
      <c r="D860" s="38"/>
      <c r="E860" s="10"/>
      <c r="I860" s="10"/>
      <c r="J860" s="10"/>
    </row>
    <row r="861">
      <c r="B861" s="9"/>
      <c r="C861" s="38"/>
      <c r="D861" s="38"/>
      <c r="E861" s="10"/>
      <c r="I861" s="10"/>
      <c r="J861" s="10"/>
    </row>
    <row r="862">
      <c r="B862" s="9"/>
      <c r="C862" s="38"/>
      <c r="D862" s="38"/>
      <c r="E862" s="10"/>
      <c r="I862" s="10"/>
      <c r="J862" s="10"/>
    </row>
    <row r="863">
      <c r="B863" s="9"/>
      <c r="C863" s="38"/>
      <c r="D863" s="38"/>
      <c r="E863" s="10"/>
      <c r="I863" s="10"/>
      <c r="J863" s="10"/>
    </row>
    <row r="864">
      <c r="B864" s="9"/>
      <c r="C864" s="38"/>
      <c r="D864" s="38"/>
      <c r="E864" s="10"/>
      <c r="I864" s="10"/>
      <c r="J864" s="10"/>
    </row>
    <row r="865">
      <c r="B865" s="9"/>
      <c r="C865" s="38"/>
      <c r="D865" s="38"/>
      <c r="E865" s="10"/>
      <c r="I865" s="10"/>
      <c r="J865" s="10"/>
    </row>
    <row r="866">
      <c r="B866" s="9"/>
      <c r="C866" s="38"/>
      <c r="D866" s="38"/>
      <c r="E866" s="10"/>
      <c r="I866" s="10"/>
      <c r="J866" s="10"/>
    </row>
    <row r="867">
      <c r="B867" s="9"/>
      <c r="C867" s="38"/>
      <c r="D867" s="38"/>
      <c r="E867" s="10"/>
      <c r="I867" s="10"/>
      <c r="J867" s="10"/>
    </row>
    <row r="868">
      <c r="B868" s="9"/>
      <c r="C868" s="38"/>
      <c r="D868" s="38"/>
      <c r="E868" s="10"/>
      <c r="I868" s="10"/>
      <c r="J868" s="10"/>
    </row>
    <row r="869">
      <c r="B869" s="9"/>
      <c r="C869" s="38"/>
      <c r="D869" s="38"/>
      <c r="E869" s="10"/>
      <c r="I869" s="10"/>
      <c r="J869" s="10"/>
    </row>
    <row r="870">
      <c r="B870" s="9"/>
      <c r="C870" s="38"/>
      <c r="D870" s="38"/>
      <c r="E870" s="10"/>
      <c r="I870" s="10"/>
      <c r="J870" s="10"/>
    </row>
    <row r="871">
      <c r="B871" s="9"/>
      <c r="C871" s="38"/>
      <c r="D871" s="38"/>
      <c r="E871" s="10"/>
      <c r="I871" s="10"/>
      <c r="J871" s="10"/>
    </row>
    <row r="872">
      <c r="B872" s="9"/>
      <c r="C872" s="38"/>
      <c r="D872" s="38"/>
      <c r="E872" s="10"/>
      <c r="I872" s="10"/>
      <c r="J872" s="10"/>
    </row>
    <row r="873">
      <c r="B873" s="9"/>
      <c r="C873" s="38"/>
      <c r="D873" s="38"/>
      <c r="E873" s="10"/>
      <c r="I873" s="10"/>
      <c r="J873" s="10"/>
    </row>
    <row r="874">
      <c r="B874" s="9"/>
      <c r="C874" s="38"/>
      <c r="D874" s="38"/>
      <c r="E874" s="10"/>
      <c r="I874" s="10"/>
      <c r="J874" s="10"/>
    </row>
    <row r="875">
      <c r="B875" s="9"/>
      <c r="C875" s="38"/>
      <c r="D875" s="38"/>
      <c r="E875" s="10"/>
      <c r="I875" s="10"/>
      <c r="J875" s="10"/>
    </row>
    <row r="876">
      <c r="B876" s="9"/>
      <c r="C876" s="38"/>
      <c r="D876" s="38"/>
      <c r="E876" s="10"/>
      <c r="I876" s="10"/>
      <c r="J876" s="10"/>
    </row>
    <row r="877">
      <c r="B877" s="9"/>
      <c r="C877" s="38"/>
      <c r="D877" s="38"/>
      <c r="E877" s="10"/>
      <c r="I877" s="10"/>
      <c r="J877" s="10"/>
    </row>
    <row r="878">
      <c r="B878" s="9"/>
      <c r="C878" s="38"/>
      <c r="D878" s="38"/>
      <c r="E878" s="10"/>
      <c r="I878" s="10"/>
      <c r="J878" s="10"/>
    </row>
    <row r="879">
      <c r="B879" s="9"/>
      <c r="C879" s="38"/>
      <c r="D879" s="38"/>
      <c r="E879" s="10"/>
      <c r="I879" s="10"/>
      <c r="J879" s="10"/>
    </row>
    <row r="880">
      <c r="B880" s="9"/>
      <c r="C880" s="38"/>
      <c r="D880" s="38"/>
      <c r="E880" s="10"/>
      <c r="I880" s="10"/>
      <c r="J880" s="10"/>
    </row>
    <row r="881">
      <c r="B881" s="9"/>
      <c r="C881" s="38"/>
      <c r="D881" s="38"/>
      <c r="E881" s="10"/>
      <c r="I881" s="10"/>
      <c r="J881" s="10"/>
    </row>
    <row r="882">
      <c r="B882" s="9"/>
      <c r="C882" s="38"/>
      <c r="D882" s="38"/>
      <c r="E882" s="10"/>
      <c r="I882" s="10"/>
      <c r="J882" s="10"/>
    </row>
    <row r="883">
      <c r="B883" s="9"/>
      <c r="C883" s="38"/>
      <c r="D883" s="38"/>
      <c r="E883" s="10"/>
      <c r="I883" s="10"/>
      <c r="J883" s="10"/>
    </row>
    <row r="884">
      <c r="B884" s="9"/>
      <c r="C884" s="38"/>
      <c r="D884" s="38"/>
      <c r="E884" s="10"/>
      <c r="I884" s="10"/>
      <c r="J884" s="10"/>
    </row>
    <row r="885">
      <c r="B885" s="9"/>
      <c r="C885" s="38"/>
      <c r="D885" s="38"/>
      <c r="E885" s="10"/>
      <c r="I885" s="10"/>
      <c r="J885" s="10"/>
    </row>
    <row r="886">
      <c r="B886" s="9"/>
      <c r="C886" s="38"/>
      <c r="D886" s="38"/>
      <c r="E886" s="10"/>
      <c r="I886" s="10"/>
      <c r="J886" s="10"/>
    </row>
    <row r="887">
      <c r="B887" s="9"/>
      <c r="C887" s="38"/>
      <c r="D887" s="38"/>
      <c r="E887" s="10"/>
      <c r="I887" s="10"/>
      <c r="J887" s="10"/>
    </row>
    <row r="888">
      <c r="B888" s="9"/>
      <c r="C888" s="38"/>
      <c r="D888" s="38"/>
      <c r="E888" s="10"/>
      <c r="I888" s="10"/>
      <c r="J888" s="10"/>
    </row>
    <row r="889">
      <c r="B889" s="9"/>
      <c r="C889" s="38"/>
      <c r="D889" s="38"/>
      <c r="E889" s="10"/>
      <c r="I889" s="10"/>
      <c r="J889" s="10"/>
    </row>
    <row r="890">
      <c r="B890" s="9"/>
      <c r="C890" s="38"/>
      <c r="D890" s="38"/>
      <c r="E890" s="10"/>
      <c r="I890" s="10"/>
      <c r="J890" s="10"/>
    </row>
    <row r="891">
      <c r="B891" s="9"/>
      <c r="C891" s="38"/>
      <c r="D891" s="38"/>
      <c r="E891" s="10"/>
      <c r="I891" s="10"/>
      <c r="J891" s="10"/>
    </row>
    <row r="892">
      <c r="B892" s="9"/>
      <c r="C892" s="38"/>
      <c r="D892" s="38"/>
      <c r="E892" s="10"/>
      <c r="I892" s="10"/>
      <c r="J892" s="10"/>
    </row>
    <row r="893">
      <c r="B893" s="9"/>
      <c r="C893" s="38"/>
      <c r="D893" s="38"/>
      <c r="E893" s="10"/>
      <c r="I893" s="10"/>
      <c r="J893" s="10"/>
    </row>
    <row r="894">
      <c r="B894" s="9"/>
      <c r="C894" s="38"/>
      <c r="D894" s="38"/>
      <c r="E894" s="10"/>
      <c r="I894" s="10"/>
      <c r="J894" s="10"/>
    </row>
    <row r="895">
      <c r="B895" s="9"/>
      <c r="C895" s="38"/>
      <c r="D895" s="38"/>
      <c r="E895" s="10"/>
      <c r="I895" s="10"/>
      <c r="J895" s="10"/>
    </row>
    <row r="896">
      <c r="B896" s="9"/>
      <c r="C896" s="38"/>
      <c r="D896" s="38"/>
      <c r="E896" s="10"/>
      <c r="I896" s="10"/>
      <c r="J896" s="10"/>
    </row>
    <row r="897">
      <c r="B897" s="9"/>
      <c r="C897" s="38"/>
      <c r="D897" s="38"/>
      <c r="E897" s="10"/>
      <c r="I897" s="10"/>
      <c r="J897" s="10"/>
    </row>
    <row r="898">
      <c r="B898" s="9"/>
      <c r="C898" s="38"/>
      <c r="D898" s="38"/>
      <c r="E898" s="10"/>
      <c r="I898" s="10"/>
      <c r="J898" s="10"/>
    </row>
    <row r="899">
      <c r="B899" s="9"/>
      <c r="C899" s="38"/>
      <c r="D899" s="38"/>
      <c r="E899" s="10"/>
      <c r="I899" s="10"/>
      <c r="J899" s="10"/>
    </row>
    <row r="900">
      <c r="B900" s="9"/>
      <c r="C900" s="38"/>
      <c r="D900" s="38"/>
      <c r="E900" s="10"/>
      <c r="I900" s="10"/>
      <c r="J900" s="10"/>
    </row>
    <row r="901">
      <c r="B901" s="9"/>
      <c r="C901" s="38"/>
      <c r="D901" s="38"/>
      <c r="E901" s="10"/>
      <c r="I901" s="10"/>
      <c r="J901" s="10"/>
    </row>
    <row r="902">
      <c r="B902" s="9"/>
      <c r="C902" s="38"/>
      <c r="D902" s="38"/>
      <c r="E902" s="10"/>
      <c r="I902" s="10"/>
      <c r="J902" s="10"/>
    </row>
    <row r="903">
      <c r="B903" s="9"/>
      <c r="C903" s="38"/>
      <c r="D903" s="38"/>
      <c r="E903" s="10"/>
      <c r="I903" s="10"/>
      <c r="J903" s="10"/>
    </row>
    <row r="904">
      <c r="B904" s="9"/>
      <c r="C904" s="38"/>
      <c r="D904" s="38"/>
      <c r="E904" s="10"/>
      <c r="I904" s="10"/>
      <c r="J904" s="10"/>
    </row>
    <row r="905">
      <c r="B905" s="9"/>
      <c r="C905" s="38"/>
      <c r="D905" s="38"/>
      <c r="E905" s="10"/>
      <c r="I905" s="10"/>
      <c r="J905" s="10"/>
    </row>
    <row r="906">
      <c r="B906" s="9"/>
      <c r="C906" s="38"/>
      <c r="D906" s="38"/>
      <c r="E906" s="10"/>
      <c r="I906" s="10"/>
      <c r="J906" s="10"/>
    </row>
    <row r="907">
      <c r="B907" s="9"/>
      <c r="C907" s="38"/>
      <c r="D907" s="38"/>
      <c r="E907" s="10"/>
      <c r="I907" s="10"/>
      <c r="J907" s="10"/>
    </row>
    <row r="908">
      <c r="B908" s="9"/>
      <c r="C908" s="38"/>
      <c r="D908" s="38"/>
      <c r="E908" s="10"/>
      <c r="I908" s="10"/>
      <c r="J908" s="10"/>
    </row>
    <row r="909">
      <c r="B909" s="9"/>
      <c r="C909" s="38"/>
      <c r="D909" s="38"/>
      <c r="E909" s="10"/>
      <c r="I909" s="10"/>
      <c r="J909" s="10"/>
    </row>
    <row r="910">
      <c r="B910" s="9"/>
      <c r="C910" s="38"/>
      <c r="D910" s="38"/>
      <c r="E910" s="10"/>
      <c r="I910" s="10"/>
      <c r="J910" s="10"/>
    </row>
    <row r="911">
      <c r="B911" s="9"/>
      <c r="C911" s="38"/>
      <c r="D911" s="38"/>
      <c r="E911" s="10"/>
      <c r="I911" s="10"/>
      <c r="J911" s="10"/>
    </row>
    <row r="912">
      <c r="B912" s="9"/>
      <c r="C912" s="38"/>
      <c r="D912" s="38"/>
      <c r="E912" s="10"/>
      <c r="I912" s="10"/>
      <c r="J912" s="10"/>
    </row>
    <row r="913">
      <c r="B913" s="9"/>
      <c r="C913" s="38"/>
      <c r="D913" s="38"/>
      <c r="E913" s="10"/>
      <c r="I913" s="10"/>
      <c r="J913" s="10"/>
    </row>
    <row r="914">
      <c r="B914" s="9"/>
      <c r="C914" s="38"/>
      <c r="D914" s="38"/>
      <c r="E914" s="10"/>
      <c r="I914" s="10"/>
      <c r="J914" s="10"/>
    </row>
    <row r="915">
      <c r="B915" s="9"/>
      <c r="C915" s="38"/>
      <c r="D915" s="38"/>
      <c r="E915" s="10"/>
      <c r="I915" s="10"/>
      <c r="J915" s="10"/>
    </row>
    <row r="916">
      <c r="B916" s="9"/>
      <c r="C916" s="38"/>
      <c r="D916" s="38"/>
      <c r="E916" s="10"/>
      <c r="I916" s="10"/>
      <c r="J916" s="10"/>
    </row>
    <row r="917">
      <c r="B917" s="9"/>
      <c r="C917" s="38"/>
      <c r="D917" s="38"/>
      <c r="E917" s="10"/>
      <c r="I917" s="10"/>
      <c r="J917" s="10"/>
    </row>
    <row r="918">
      <c r="B918" s="9"/>
      <c r="C918" s="38"/>
      <c r="D918" s="38"/>
      <c r="E918" s="10"/>
      <c r="I918" s="10"/>
      <c r="J918" s="10"/>
    </row>
    <row r="919">
      <c r="B919" s="9"/>
      <c r="C919" s="38"/>
      <c r="D919" s="38"/>
      <c r="E919" s="10"/>
      <c r="I919" s="10"/>
      <c r="J919" s="10"/>
    </row>
    <row r="920">
      <c r="B920" s="9"/>
      <c r="C920" s="38"/>
      <c r="D920" s="38"/>
      <c r="E920" s="10"/>
      <c r="I920" s="10"/>
      <c r="J920" s="10"/>
    </row>
    <row r="921">
      <c r="B921" s="9"/>
      <c r="C921" s="38"/>
      <c r="D921" s="38"/>
      <c r="E921" s="10"/>
      <c r="I921" s="10"/>
      <c r="J921" s="10"/>
    </row>
    <row r="922">
      <c r="B922" s="9"/>
      <c r="C922" s="38"/>
      <c r="D922" s="38"/>
      <c r="E922" s="10"/>
      <c r="I922" s="10"/>
      <c r="J922" s="10"/>
    </row>
    <row r="923">
      <c r="B923" s="9"/>
      <c r="C923" s="38"/>
      <c r="D923" s="38"/>
      <c r="E923" s="10"/>
      <c r="I923" s="10"/>
      <c r="J923" s="10"/>
    </row>
    <row r="924">
      <c r="B924" s="9"/>
      <c r="C924" s="38"/>
      <c r="D924" s="38"/>
      <c r="E924" s="10"/>
      <c r="I924" s="10"/>
      <c r="J924" s="10"/>
    </row>
    <row r="925">
      <c r="B925" s="9"/>
      <c r="C925" s="38"/>
      <c r="D925" s="38"/>
      <c r="E925" s="10"/>
      <c r="I925" s="10"/>
      <c r="J925" s="10"/>
    </row>
    <row r="926">
      <c r="B926" s="9"/>
      <c r="C926" s="38"/>
      <c r="D926" s="38"/>
      <c r="E926" s="10"/>
      <c r="I926" s="10"/>
      <c r="J926" s="10"/>
    </row>
    <row r="927">
      <c r="B927" s="9"/>
      <c r="C927" s="38"/>
      <c r="D927" s="38"/>
      <c r="E927" s="10"/>
      <c r="I927" s="10"/>
      <c r="J927" s="10"/>
    </row>
    <row r="928">
      <c r="B928" s="9"/>
      <c r="C928" s="38"/>
      <c r="D928" s="38"/>
      <c r="E928" s="10"/>
      <c r="I928" s="10"/>
      <c r="J928" s="10"/>
    </row>
    <row r="929">
      <c r="B929" s="9"/>
      <c r="C929" s="38"/>
      <c r="D929" s="38"/>
      <c r="E929" s="10"/>
      <c r="I929" s="10"/>
      <c r="J929" s="10"/>
    </row>
    <row r="930">
      <c r="B930" s="9"/>
      <c r="C930" s="38"/>
      <c r="D930" s="38"/>
      <c r="E930" s="10"/>
      <c r="I930" s="10"/>
      <c r="J930" s="10"/>
    </row>
    <row r="931">
      <c r="B931" s="9"/>
      <c r="C931" s="38"/>
      <c r="D931" s="38"/>
      <c r="E931" s="10"/>
      <c r="I931" s="10"/>
      <c r="J931" s="10"/>
    </row>
    <row r="932">
      <c r="B932" s="9"/>
      <c r="C932" s="38"/>
      <c r="D932" s="38"/>
      <c r="E932" s="10"/>
      <c r="I932" s="10"/>
      <c r="J932" s="10"/>
    </row>
    <row r="933">
      <c r="B933" s="9"/>
      <c r="C933" s="38"/>
      <c r="D933" s="38"/>
      <c r="E933" s="10"/>
      <c r="I933" s="10"/>
      <c r="J933" s="10"/>
    </row>
    <row r="934">
      <c r="B934" s="9"/>
      <c r="C934" s="38"/>
      <c r="D934" s="38"/>
      <c r="E934" s="10"/>
      <c r="I934" s="10"/>
      <c r="J934" s="10"/>
    </row>
    <row r="935">
      <c r="B935" s="9"/>
      <c r="C935" s="38"/>
      <c r="D935" s="38"/>
      <c r="E935" s="10"/>
      <c r="I935" s="10"/>
      <c r="J935" s="10"/>
    </row>
    <row r="936">
      <c r="B936" s="9"/>
      <c r="C936" s="38"/>
      <c r="D936" s="38"/>
      <c r="E936" s="10"/>
      <c r="I936" s="10"/>
      <c r="J936" s="10"/>
    </row>
    <row r="937">
      <c r="B937" s="9"/>
      <c r="C937" s="38"/>
      <c r="D937" s="38"/>
      <c r="E937" s="10"/>
      <c r="I937" s="10"/>
      <c r="J937" s="10"/>
    </row>
    <row r="938">
      <c r="B938" s="9"/>
      <c r="C938" s="38"/>
      <c r="D938" s="38"/>
      <c r="E938" s="10"/>
      <c r="I938" s="10"/>
      <c r="J938" s="10"/>
    </row>
    <row r="939">
      <c r="B939" s="9"/>
      <c r="C939" s="38"/>
      <c r="D939" s="38"/>
      <c r="E939" s="10"/>
      <c r="I939" s="10"/>
      <c r="J939" s="10"/>
    </row>
    <row r="940">
      <c r="B940" s="9"/>
      <c r="C940" s="38"/>
      <c r="D940" s="38"/>
      <c r="E940" s="10"/>
      <c r="I940" s="10"/>
      <c r="J940" s="10"/>
    </row>
    <row r="941">
      <c r="B941" s="9"/>
      <c r="C941" s="38"/>
      <c r="D941" s="38"/>
      <c r="E941" s="10"/>
      <c r="I941" s="10"/>
      <c r="J941" s="10"/>
    </row>
    <row r="942">
      <c r="B942" s="9"/>
      <c r="C942" s="38"/>
      <c r="D942" s="38"/>
      <c r="E942" s="10"/>
      <c r="I942" s="10"/>
      <c r="J942" s="10"/>
    </row>
    <row r="943">
      <c r="B943" s="9"/>
      <c r="C943" s="38"/>
      <c r="D943" s="38"/>
      <c r="E943" s="10"/>
      <c r="I943" s="10"/>
      <c r="J943" s="10"/>
    </row>
    <row r="944">
      <c r="B944" s="9"/>
      <c r="C944" s="38"/>
      <c r="D944" s="38"/>
      <c r="E944" s="10"/>
      <c r="I944" s="10"/>
      <c r="J944" s="10"/>
    </row>
    <row r="945">
      <c r="B945" s="9"/>
      <c r="C945" s="38"/>
      <c r="D945" s="38"/>
      <c r="E945" s="10"/>
      <c r="I945" s="10"/>
      <c r="J945" s="10"/>
    </row>
    <row r="946">
      <c r="B946" s="9"/>
      <c r="C946" s="38"/>
      <c r="D946" s="38"/>
      <c r="E946" s="10"/>
      <c r="I946" s="10"/>
      <c r="J946" s="10"/>
    </row>
    <row r="947">
      <c r="B947" s="9"/>
      <c r="C947" s="38"/>
      <c r="D947" s="38"/>
      <c r="E947" s="10"/>
      <c r="I947" s="10"/>
      <c r="J947" s="10"/>
    </row>
    <row r="948">
      <c r="B948" s="9"/>
      <c r="C948" s="38"/>
      <c r="D948" s="38"/>
      <c r="E948" s="10"/>
      <c r="I948" s="10"/>
      <c r="J948" s="10"/>
    </row>
    <row r="949">
      <c r="B949" s="9"/>
      <c r="C949" s="38"/>
      <c r="D949" s="38"/>
      <c r="E949" s="10"/>
      <c r="I949" s="10"/>
      <c r="J949" s="10"/>
    </row>
    <row r="950">
      <c r="B950" s="9"/>
      <c r="C950" s="38"/>
      <c r="D950" s="38"/>
      <c r="E950" s="10"/>
      <c r="I950" s="10"/>
      <c r="J950" s="10"/>
    </row>
    <row r="951">
      <c r="B951" s="9"/>
      <c r="C951" s="38"/>
      <c r="D951" s="38"/>
      <c r="E951" s="10"/>
      <c r="I951" s="10"/>
      <c r="J951" s="10"/>
    </row>
    <row r="952">
      <c r="B952" s="9"/>
      <c r="C952" s="38"/>
      <c r="D952" s="38"/>
      <c r="E952" s="10"/>
      <c r="I952" s="10"/>
      <c r="J952" s="10"/>
    </row>
    <row r="953">
      <c r="B953" s="9"/>
      <c r="C953" s="38"/>
      <c r="D953" s="38"/>
      <c r="E953" s="10"/>
      <c r="I953" s="10"/>
      <c r="J953" s="10"/>
    </row>
    <row r="954">
      <c r="B954" s="9"/>
      <c r="C954" s="38"/>
      <c r="D954" s="38"/>
      <c r="E954" s="10"/>
      <c r="I954" s="10"/>
      <c r="J954" s="10"/>
    </row>
    <row r="955">
      <c r="B955" s="9"/>
      <c r="C955" s="38"/>
      <c r="D955" s="38"/>
      <c r="E955" s="10"/>
      <c r="I955" s="10"/>
      <c r="J955" s="10"/>
    </row>
    <row r="956">
      <c r="B956" s="9"/>
      <c r="C956" s="38"/>
      <c r="D956" s="38"/>
      <c r="E956" s="10"/>
      <c r="I956" s="10"/>
      <c r="J956" s="10"/>
    </row>
    <row r="957">
      <c r="B957" s="9"/>
      <c r="C957" s="38"/>
      <c r="D957" s="38"/>
      <c r="E957" s="10"/>
      <c r="I957" s="10"/>
      <c r="J957" s="10"/>
    </row>
    <row r="958">
      <c r="B958" s="9"/>
      <c r="C958" s="38"/>
      <c r="D958" s="38"/>
      <c r="E958" s="10"/>
      <c r="I958" s="10"/>
      <c r="J958" s="10"/>
    </row>
    <row r="959">
      <c r="B959" s="9"/>
      <c r="C959" s="38"/>
      <c r="D959" s="38"/>
      <c r="E959" s="10"/>
      <c r="I959" s="10"/>
      <c r="J959" s="10"/>
    </row>
    <row r="960">
      <c r="B960" s="9"/>
      <c r="C960" s="38"/>
      <c r="D960" s="38"/>
      <c r="E960" s="10"/>
      <c r="I960" s="10"/>
      <c r="J960" s="10"/>
    </row>
    <row r="961">
      <c r="B961" s="9"/>
      <c r="C961" s="38"/>
      <c r="D961" s="38"/>
      <c r="E961" s="10"/>
      <c r="I961" s="10"/>
      <c r="J961" s="10"/>
    </row>
    <row r="962">
      <c r="B962" s="9"/>
      <c r="C962" s="38"/>
      <c r="D962" s="38"/>
      <c r="E962" s="10"/>
      <c r="I962" s="10"/>
      <c r="J962" s="10"/>
    </row>
    <row r="963">
      <c r="B963" s="9"/>
      <c r="C963" s="38"/>
      <c r="D963" s="38"/>
      <c r="E963" s="10"/>
      <c r="I963" s="10"/>
      <c r="J963" s="10"/>
    </row>
    <row r="964">
      <c r="B964" s="9"/>
      <c r="C964" s="38"/>
      <c r="D964" s="38"/>
      <c r="E964" s="10"/>
      <c r="I964" s="10"/>
      <c r="J964" s="10"/>
    </row>
    <row r="965">
      <c r="B965" s="9"/>
      <c r="C965" s="38"/>
      <c r="D965" s="38"/>
      <c r="E965" s="10"/>
      <c r="I965" s="10"/>
      <c r="J965" s="10"/>
    </row>
    <row r="966">
      <c r="B966" s="9"/>
      <c r="C966" s="38"/>
      <c r="D966" s="38"/>
      <c r="E966" s="10"/>
      <c r="I966" s="10"/>
      <c r="J966" s="10"/>
    </row>
    <row r="967">
      <c r="B967" s="9"/>
      <c r="C967" s="38"/>
      <c r="D967" s="38"/>
      <c r="E967" s="10"/>
      <c r="I967" s="10"/>
      <c r="J967" s="10"/>
    </row>
    <row r="968">
      <c r="B968" s="9"/>
      <c r="C968" s="38"/>
      <c r="D968" s="38"/>
      <c r="E968" s="10"/>
      <c r="I968" s="10"/>
      <c r="J968" s="10"/>
    </row>
    <row r="969">
      <c r="B969" s="9"/>
      <c r="C969" s="38"/>
      <c r="D969" s="38"/>
      <c r="E969" s="10"/>
      <c r="I969" s="10"/>
      <c r="J969" s="10"/>
    </row>
    <row r="970">
      <c r="B970" s="9"/>
      <c r="C970" s="38"/>
      <c r="D970" s="38"/>
      <c r="E970" s="10"/>
      <c r="I970" s="10"/>
      <c r="J970" s="10"/>
    </row>
    <row r="971">
      <c r="B971" s="9"/>
      <c r="C971" s="38"/>
      <c r="D971" s="38"/>
      <c r="E971" s="10"/>
      <c r="I971" s="10"/>
      <c r="J971" s="10"/>
    </row>
    <row r="972">
      <c r="B972" s="9"/>
      <c r="C972" s="38"/>
      <c r="D972" s="38"/>
      <c r="E972" s="10"/>
      <c r="I972" s="10"/>
      <c r="J972" s="10"/>
    </row>
    <row r="973">
      <c r="B973" s="9"/>
      <c r="C973" s="38"/>
      <c r="D973" s="38"/>
      <c r="E973" s="10"/>
      <c r="I973" s="10"/>
      <c r="J973" s="10"/>
    </row>
    <row r="974">
      <c r="B974" s="9"/>
      <c r="C974" s="38"/>
      <c r="D974" s="38"/>
      <c r="E974" s="10"/>
      <c r="I974" s="10"/>
      <c r="J974" s="10"/>
    </row>
    <row r="975">
      <c r="B975" s="9"/>
      <c r="C975" s="38"/>
      <c r="D975" s="38"/>
      <c r="E975" s="10"/>
      <c r="I975" s="10"/>
      <c r="J975" s="10"/>
    </row>
    <row r="976">
      <c r="B976" s="9"/>
      <c r="C976" s="38"/>
      <c r="D976" s="38"/>
      <c r="E976" s="10"/>
      <c r="I976" s="10"/>
      <c r="J976" s="10"/>
    </row>
    <row r="977">
      <c r="B977" s="9"/>
      <c r="C977" s="38"/>
      <c r="D977" s="38"/>
      <c r="E977" s="10"/>
      <c r="I977" s="10"/>
      <c r="J977" s="10"/>
    </row>
    <row r="978">
      <c r="B978" s="9"/>
      <c r="C978" s="38"/>
      <c r="D978" s="38"/>
      <c r="E978" s="10"/>
      <c r="I978" s="10"/>
      <c r="J978" s="10"/>
    </row>
    <row r="979">
      <c r="B979" s="9"/>
      <c r="C979" s="38"/>
      <c r="D979" s="38"/>
      <c r="E979" s="10"/>
      <c r="I979" s="10"/>
      <c r="J979" s="10"/>
    </row>
    <row r="980">
      <c r="B980" s="9"/>
      <c r="C980" s="38"/>
      <c r="D980" s="38"/>
      <c r="E980" s="10"/>
      <c r="I980" s="10"/>
      <c r="J980" s="10"/>
    </row>
    <row r="981">
      <c r="B981" s="9"/>
      <c r="C981" s="38"/>
      <c r="D981" s="38"/>
      <c r="E981" s="10"/>
      <c r="I981" s="10"/>
      <c r="J981" s="10"/>
    </row>
    <row r="982">
      <c r="B982" s="9"/>
      <c r="C982" s="38"/>
      <c r="D982" s="38"/>
      <c r="E982" s="10"/>
      <c r="I982" s="10"/>
      <c r="J982" s="10"/>
    </row>
    <row r="983">
      <c r="B983" s="9"/>
      <c r="C983" s="38"/>
      <c r="D983" s="38"/>
      <c r="E983" s="10"/>
      <c r="I983" s="10"/>
      <c r="J983" s="10"/>
    </row>
    <row r="984">
      <c r="B984" s="9"/>
      <c r="C984" s="38"/>
      <c r="D984" s="38"/>
      <c r="E984" s="10"/>
      <c r="I984" s="10"/>
      <c r="J984" s="10"/>
    </row>
    <row r="985">
      <c r="B985" s="9"/>
      <c r="C985" s="38"/>
      <c r="D985" s="38"/>
      <c r="E985" s="10"/>
      <c r="I985" s="10"/>
      <c r="J985" s="10"/>
    </row>
    <row r="986">
      <c r="B986" s="9"/>
      <c r="C986" s="38"/>
      <c r="D986" s="38"/>
      <c r="E986" s="10"/>
      <c r="I986" s="10"/>
      <c r="J986" s="10"/>
    </row>
    <row r="987">
      <c r="B987" s="9"/>
      <c r="C987" s="38"/>
      <c r="D987" s="38"/>
      <c r="E987" s="10"/>
      <c r="I987" s="10"/>
      <c r="J987" s="10"/>
    </row>
    <row r="988">
      <c r="B988" s="9"/>
      <c r="C988" s="38"/>
      <c r="D988" s="38"/>
      <c r="E988" s="10"/>
      <c r="I988" s="10"/>
      <c r="J988" s="10"/>
    </row>
    <row r="989">
      <c r="B989" s="9"/>
      <c r="C989" s="38"/>
      <c r="D989" s="38"/>
      <c r="E989" s="10"/>
      <c r="I989" s="10"/>
      <c r="J989" s="10"/>
    </row>
    <row r="990">
      <c r="B990" s="9"/>
      <c r="C990" s="38"/>
      <c r="D990" s="38"/>
      <c r="E990" s="10"/>
      <c r="I990" s="10"/>
      <c r="J990" s="10"/>
    </row>
    <row r="991">
      <c r="B991" s="9"/>
      <c r="C991" s="38"/>
      <c r="D991" s="38"/>
      <c r="E991" s="10"/>
      <c r="I991" s="10"/>
      <c r="J991" s="10"/>
    </row>
    <row r="992">
      <c r="B992" s="9"/>
      <c r="C992" s="38"/>
      <c r="D992" s="38"/>
      <c r="E992" s="10"/>
      <c r="I992" s="10"/>
      <c r="J992" s="10"/>
    </row>
    <row r="993">
      <c r="B993" s="9"/>
      <c r="C993" s="38"/>
      <c r="D993" s="38"/>
      <c r="E993" s="10"/>
      <c r="I993" s="10"/>
      <c r="J993" s="10"/>
    </row>
    <row r="994">
      <c r="B994" s="9"/>
      <c r="C994" s="38"/>
      <c r="D994" s="38"/>
      <c r="E994" s="10"/>
      <c r="I994" s="10"/>
      <c r="J994" s="10"/>
    </row>
    <row r="995">
      <c r="B995" s="9"/>
      <c r="C995" s="38"/>
      <c r="D995" s="38"/>
      <c r="E995" s="10"/>
      <c r="I995" s="10"/>
      <c r="J995" s="10"/>
    </row>
    <row r="996">
      <c r="B996" s="9"/>
      <c r="C996" s="38"/>
      <c r="D996" s="38"/>
      <c r="E996" s="10"/>
      <c r="I996" s="10"/>
      <c r="J996" s="10"/>
    </row>
    <row r="997">
      <c r="B997" s="9"/>
      <c r="C997" s="38"/>
      <c r="D997" s="38"/>
      <c r="E997" s="10"/>
      <c r="I997" s="10"/>
      <c r="J997" s="10"/>
    </row>
  </sheetData>
  <dataValidations>
    <dataValidation type="custom" allowBlank="1" showDropDown="1" showErrorMessage="1" sqref="E2:E7 E10:E15 E17 E19:E21 E24:E25 E29:E30 E35:E38 E40:E44 E46:E47 E50:E53 E55 E57:E59 E63 E65 E69:E74 E76 E82 E87 E89 E91 E93 E95 E99:E101 E104:E106 E109:E110 E112:E113 E123">
      <formula1>OR(NOT(ISERROR(DATEVALUE(E2))), AND(ISNUMBER(E2), LEFT(CELL("format", E2))="D"))</formula1>
    </dataValidation>
    <dataValidation type="decimal" allowBlank="1" showDropDown="1" showErrorMessage="1" sqref="F2:F6 F10:F15 F17 F19:F21 F24:F25 F29:F30 F35:F38 F40:F44 F46:F47 F50:F53 F57:F59 F63 F65 F69:F74 F76 F82 F87 F89 F91 F93 F95 F99:F101 F104:F106 F109:F110 F112:F113">
      <formula1>1.0</formula1>
      <formula2>15.0</formula2>
    </dataValidation>
  </dataValidations>
  <hyperlinks>
    <hyperlink r:id="rId1" ref="H2"/>
    <hyperlink r:id="rId2" ref="K2"/>
    <hyperlink r:id="rId3" ref="H3"/>
    <hyperlink r:id="rId4" ref="H4"/>
    <hyperlink r:id="rId5" ref="H5"/>
    <hyperlink r:id="rId6" ref="H6"/>
    <hyperlink r:id="rId7" ref="K6"/>
    <hyperlink r:id="rId8" ref="H7"/>
    <hyperlink r:id="rId9" ref="K7"/>
    <hyperlink r:id="rId10" ref="H8"/>
    <hyperlink r:id="rId11" ref="H9"/>
    <hyperlink r:id="rId12" ref="H10"/>
    <hyperlink r:id="rId13" ref="H11"/>
    <hyperlink r:id="rId14" ref="H12"/>
    <hyperlink r:id="rId15" ref="H13"/>
    <hyperlink r:id="rId16" ref="H14"/>
    <hyperlink r:id="rId17" ref="H15"/>
    <hyperlink r:id="rId18" ref="H16"/>
    <hyperlink r:id="rId19" ref="K16"/>
    <hyperlink r:id="rId20" ref="H17"/>
    <hyperlink r:id="rId21" ref="H18"/>
    <hyperlink r:id="rId22" ref="H19"/>
    <hyperlink r:id="rId23" ref="H20"/>
    <hyperlink r:id="rId24" ref="H21"/>
    <hyperlink r:id="rId25" ref="H22"/>
    <hyperlink r:id="rId26" ref="H23"/>
    <hyperlink r:id="rId27" ref="H24"/>
    <hyperlink r:id="rId28" ref="H25"/>
    <hyperlink r:id="rId29" ref="H26"/>
    <hyperlink r:id="rId30" ref="K26"/>
    <hyperlink r:id="rId31" ref="H27"/>
    <hyperlink r:id="rId32" ref="H28"/>
    <hyperlink r:id="rId33" ref="H29"/>
    <hyperlink r:id="rId34" ref="H30"/>
    <hyperlink r:id="rId35" ref="H31"/>
    <hyperlink r:id="rId36" ref="H32"/>
    <hyperlink r:id="rId37" ref="H33"/>
    <hyperlink r:id="rId38" ref="H34"/>
    <hyperlink r:id="rId39" ref="H35"/>
    <hyperlink r:id="rId40" ref="H36"/>
    <hyperlink r:id="rId41" ref="K36"/>
    <hyperlink r:id="rId42" ref="H37"/>
    <hyperlink r:id="rId43" ref="H38"/>
    <hyperlink r:id="rId44" ref="H39"/>
    <hyperlink r:id="rId45" ref="H40"/>
    <hyperlink r:id="rId46" ref="H41"/>
    <hyperlink r:id="rId47" ref="H42"/>
    <hyperlink r:id="rId48" ref="H43"/>
    <hyperlink r:id="rId49" ref="H44"/>
    <hyperlink r:id="rId50" ref="H45"/>
    <hyperlink r:id="rId51" ref="H46"/>
    <hyperlink r:id="rId52" ref="K46"/>
    <hyperlink r:id="rId53" ref="H47"/>
    <hyperlink r:id="rId54" ref="H48"/>
    <hyperlink r:id="rId55" ref="H49"/>
    <hyperlink r:id="rId56" ref="H50"/>
    <hyperlink r:id="rId57" ref="H51"/>
    <hyperlink r:id="rId58" ref="H52"/>
    <hyperlink r:id="rId59" ref="H53"/>
    <hyperlink r:id="rId60" ref="H54"/>
    <hyperlink r:id="rId61" ref="H55"/>
    <hyperlink r:id="rId62" ref="H56"/>
    <hyperlink r:id="rId63" ref="K56"/>
    <hyperlink r:id="rId64" ref="H57"/>
    <hyperlink r:id="rId65" ref="H58"/>
    <hyperlink r:id="rId66" ref="H59"/>
    <hyperlink r:id="rId67" ref="H60"/>
    <hyperlink r:id="rId68" ref="H61"/>
    <hyperlink r:id="rId69" ref="H62"/>
    <hyperlink r:id="rId70" ref="H63"/>
    <hyperlink r:id="rId71" ref="H64"/>
    <hyperlink r:id="rId72" ref="H65"/>
    <hyperlink r:id="rId73" ref="H66"/>
    <hyperlink r:id="rId74" ref="K66"/>
    <hyperlink r:id="rId75" ref="H67"/>
    <hyperlink r:id="rId76" ref="H68"/>
    <hyperlink r:id="rId77" ref="H69"/>
    <hyperlink r:id="rId78" ref="H70"/>
    <hyperlink r:id="rId79" ref="H71"/>
    <hyperlink r:id="rId80" ref="H72"/>
    <hyperlink r:id="rId81" ref="H73"/>
    <hyperlink r:id="rId82" ref="H74"/>
    <hyperlink r:id="rId83" ref="H75"/>
    <hyperlink r:id="rId84" ref="H76"/>
    <hyperlink r:id="rId85" ref="K76"/>
    <hyperlink r:id="rId86" ref="H77"/>
    <hyperlink r:id="rId87" ref="H78"/>
    <hyperlink r:id="rId88" ref="H79"/>
    <hyperlink r:id="rId89" ref="H80"/>
    <hyperlink r:id="rId90" ref="H81"/>
    <hyperlink r:id="rId91" ref="H82"/>
    <hyperlink r:id="rId92" ref="H83"/>
    <hyperlink r:id="rId93" ref="H84"/>
    <hyperlink r:id="rId94" ref="H85"/>
    <hyperlink r:id="rId95" ref="H86"/>
    <hyperlink r:id="rId96" ref="K86"/>
    <hyperlink r:id="rId97" ref="H87"/>
    <hyperlink r:id="rId98" ref="H88"/>
    <hyperlink r:id="rId99" ref="H89"/>
    <hyperlink r:id="rId100" ref="H90"/>
    <hyperlink r:id="rId101" ref="H91"/>
    <hyperlink r:id="rId102" ref="H92"/>
    <hyperlink r:id="rId103" ref="H93"/>
    <hyperlink r:id="rId104" ref="H94"/>
    <hyperlink r:id="rId105" ref="H95"/>
    <hyperlink r:id="rId106" ref="H96"/>
    <hyperlink r:id="rId107" ref="K96"/>
    <hyperlink r:id="rId108" ref="H97"/>
    <hyperlink r:id="rId109" ref="H98"/>
    <hyperlink r:id="rId110" ref="H99"/>
    <hyperlink r:id="rId111" ref="H100"/>
    <hyperlink r:id="rId112" ref="H101"/>
    <hyperlink r:id="rId113" ref="H102"/>
    <hyperlink r:id="rId114" ref="H103"/>
    <hyperlink r:id="rId115" ref="H104"/>
    <hyperlink r:id="rId116" ref="H105"/>
    <hyperlink r:id="rId117" ref="H106"/>
    <hyperlink r:id="rId118" ref="K106"/>
    <hyperlink r:id="rId119" ref="H107"/>
    <hyperlink r:id="rId120" ref="H108"/>
    <hyperlink r:id="rId121" ref="H109"/>
    <hyperlink r:id="rId122" ref="H110"/>
    <hyperlink r:id="rId123" ref="H111"/>
    <hyperlink r:id="rId124" ref="H112"/>
    <hyperlink r:id="rId125" ref="H113"/>
    <hyperlink r:id="rId126" ref="H114"/>
    <hyperlink r:id="rId127" ref="H115"/>
    <hyperlink r:id="rId128" ref="H116"/>
    <hyperlink r:id="rId129" ref="K116"/>
    <hyperlink r:id="rId130" ref="H117"/>
    <hyperlink r:id="rId131" ref="H118"/>
    <hyperlink r:id="rId132" ref="H119"/>
    <hyperlink r:id="rId133" ref="H120"/>
    <hyperlink r:id="rId134" ref="K120"/>
    <hyperlink r:id="rId135" ref="H121"/>
    <hyperlink r:id="rId136" ref="H122"/>
    <hyperlink r:id="rId137" ref="H123"/>
    <hyperlink r:id="rId138" ref="H124"/>
    <hyperlink r:id="rId139" ref="K124"/>
    <hyperlink r:id="rId140" ref="H125"/>
    <hyperlink r:id="rId141" ref="H126"/>
    <hyperlink r:id="rId142" ref="H127"/>
    <hyperlink r:id="rId143" ref="H128"/>
    <hyperlink r:id="rId144" ref="H129"/>
    <hyperlink r:id="rId145" ref="H130"/>
    <hyperlink r:id="rId146" ref="H131"/>
    <hyperlink r:id="rId147" ref="H132"/>
    <hyperlink r:id="rId148" ref="H133"/>
    <hyperlink r:id="rId149" ref="H134"/>
    <hyperlink r:id="rId150" ref="H135"/>
    <hyperlink r:id="rId151" ref="H136"/>
    <hyperlink r:id="rId152" ref="H137"/>
    <hyperlink r:id="rId153" ref="H138"/>
    <hyperlink r:id="rId154" ref="H139"/>
    <hyperlink r:id="rId155" ref="H140"/>
    <hyperlink r:id="rId156" ref="H141"/>
    <hyperlink r:id="rId157" ref="H142"/>
    <hyperlink r:id="rId158" ref="H143"/>
    <hyperlink r:id="rId159" ref="H144"/>
    <hyperlink r:id="rId160" ref="H145"/>
    <hyperlink r:id="rId161" ref="H146"/>
    <hyperlink r:id="rId162" ref="H147"/>
    <hyperlink r:id="rId163" ref="H148"/>
    <hyperlink r:id="rId164" ref="H149"/>
    <hyperlink r:id="rId165" ref="H150"/>
    <hyperlink r:id="rId166" ref="H151"/>
    <hyperlink r:id="rId167" ref="H152"/>
    <hyperlink r:id="rId168" ref="H153"/>
    <hyperlink r:id="rId169" ref="H154"/>
    <hyperlink r:id="rId170" ref="H155"/>
    <hyperlink r:id="rId171" ref="H156"/>
    <hyperlink r:id="rId172" ref="H157"/>
    <hyperlink r:id="rId173" ref="H158"/>
    <hyperlink r:id="rId174" ref="H159"/>
    <hyperlink r:id="rId175" ref="H160"/>
    <hyperlink r:id="rId176" ref="H161"/>
    <hyperlink r:id="rId177" ref="H162"/>
    <hyperlink r:id="rId178" ref="H163"/>
    <hyperlink r:id="rId179" ref="H164"/>
    <hyperlink r:id="rId180" ref="H165"/>
    <hyperlink r:id="rId181" ref="H166"/>
    <hyperlink r:id="rId182" ref="H167"/>
    <hyperlink r:id="rId183" ref="H168"/>
    <hyperlink r:id="rId184" ref="H169"/>
    <hyperlink r:id="rId185" ref="H170"/>
    <hyperlink r:id="rId186" ref="H171"/>
    <hyperlink r:id="rId187" ref="H172"/>
    <hyperlink r:id="rId188" ref="H173"/>
  </hyperlinks>
  <drawing r:id="rId18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33.13"/>
    <col customWidth="1" min="3" max="3" width="37.63"/>
    <col customWidth="1" min="4" max="4" width="38.25"/>
    <col customWidth="1" min="11" max="11" width="37.75"/>
  </cols>
  <sheetData>
    <row r="1">
      <c r="A1" s="11" t="s">
        <v>0</v>
      </c>
      <c r="B1" s="11" t="s">
        <v>1</v>
      </c>
      <c r="C1" s="12" t="s">
        <v>1414</v>
      </c>
      <c r="D1" s="12" t="s">
        <v>1415</v>
      </c>
      <c r="E1" s="12" t="s">
        <v>1416</v>
      </c>
      <c r="F1" s="12" t="s">
        <v>1417</v>
      </c>
      <c r="G1" s="12" t="s">
        <v>1418</v>
      </c>
      <c r="H1" s="12" t="s">
        <v>1419</v>
      </c>
      <c r="I1" s="13" t="s">
        <v>8</v>
      </c>
      <c r="J1" s="13" t="s">
        <v>9</v>
      </c>
      <c r="K1" s="11" t="s">
        <v>10</v>
      </c>
    </row>
    <row r="2">
      <c r="A2" s="5">
        <v>1.0</v>
      </c>
      <c r="B2" s="6" t="str">
        <f>VLOOKUP(A2,vaccines!A:B,2)</f>
        <v>BCG_Microgen</v>
      </c>
      <c r="C2" s="14" t="s">
        <v>1420</v>
      </c>
      <c r="D2" s="14" t="s">
        <v>1421</v>
      </c>
      <c r="E2" s="15">
        <v>45461.0</v>
      </c>
      <c r="F2" s="33">
        <v>1.0</v>
      </c>
      <c r="G2" s="33">
        <v>0.0</v>
      </c>
      <c r="H2" s="35" t="s">
        <v>1422</v>
      </c>
      <c r="I2" s="18">
        <v>45156.0</v>
      </c>
      <c r="J2" s="19">
        <v>45517.0</v>
      </c>
      <c r="K2" s="20" t="s">
        <v>14</v>
      </c>
    </row>
    <row r="3">
      <c r="A3" s="5">
        <v>2.0</v>
      </c>
      <c r="B3" s="6" t="str">
        <f>VLOOKUP(A3,vaccines!A:B,2)</f>
        <v>BCG_M_Microgen</v>
      </c>
      <c r="C3" s="14" t="s">
        <v>1423</v>
      </c>
      <c r="D3" s="14" t="s">
        <v>1424</v>
      </c>
      <c r="E3" s="15">
        <v>45461.0</v>
      </c>
      <c r="F3" s="33">
        <v>1.0</v>
      </c>
      <c r="G3" s="33">
        <v>0.0</v>
      </c>
      <c r="H3" s="35" t="s">
        <v>1425</v>
      </c>
      <c r="I3" s="18">
        <v>45108.0</v>
      </c>
      <c r="J3" s="19">
        <v>45517.0</v>
      </c>
    </row>
    <row r="4">
      <c r="A4" s="5">
        <v>3.0</v>
      </c>
      <c r="B4" s="6" t="str">
        <f>VLOOKUP(A4,vaccines!A:B,2)</f>
        <v>BCG_Gamaleya</v>
      </c>
      <c r="C4" s="14" t="s">
        <v>1426</v>
      </c>
      <c r="D4" s="14" t="s">
        <v>1427</v>
      </c>
      <c r="E4" s="15">
        <v>45769.0</v>
      </c>
      <c r="F4" s="21">
        <v>1.0</v>
      </c>
      <c r="G4" s="21">
        <v>0.0</v>
      </c>
      <c r="H4" s="17" t="s">
        <v>21</v>
      </c>
      <c r="I4" s="18">
        <v>45108.0</v>
      </c>
      <c r="J4" s="19">
        <v>45801.0</v>
      </c>
    </row>
    <row r="5">
      <c r="A5" s="5">
        <v>4.0</v>
      </c>
      <c r="B5" s="6" t="str">
        <f>VLOOKUP(A5,vaccines!A:B,2)</f>
        <v>BCG_M_Gamaleya</v>
      </c>
      <c r="C5" s="14" t="s">
        <v>1426</v>
      </c>
      <c r="D5" s="14" t="s">
        <v>1427</v>
      </c>
      <c r="E5" s="15">
        <v>45771.0</v>
      </c>
      <c r="F5" s="21">
        <v>1.0</v>
      </c>
      <c r="G5" s="21">
        <v>0.0</v>
      </c>
      <c r="H5" s="17" t="s">
        <v>24</v>
      </c>
      <c r="I5" s="15">
        <f>I4</f>
        <v>45108</v>
      </c>
      <c r="J5" s="19">
        <v>45818.0</v>
      </c>
    </row>
    <row r="6">
      <c r="A6" s="5">
        <v>5.0</v>
      </c>
      <c r="B6" s="6" t="str">
        <f>VLOOKUP(A6,vaccines!A:B,2)</f>
        <v>Infanrix</v>
      </c>
      <c r="C6" s="14" t="s">
        <v>1428</v>
      </c>
      <c r="D6" s="14" t="s">
        <v>1429</v>
      </c>
      <c r="E6" s="15">
        <v>44211.0</v>
      </c>
      <c r="F6" s="33">
        <v>1.0</v>
      </c>
      <c r="G6" s="33">
        <v>0.0</v>
      </c>
      <c r="H6" s="35" t="s">
        <v>1430</v>
      </c>
      <c r="I6" s="18">
        <v>45105.0</v>
      </c>
      <c r="J6" s="19">
        <v>45481.0</v>
      </c>
      <c r="K6" s="20" t="s">
        <v>14</v>
      </c>
    </row>
    <row r="7">
      <c r="A7" s="5">
        <v>6.0</v>
      </c>
      <c r="B7" s="6" t="str">
        <f>VLOOKUP(A7,vaccines!A:B,2)</f>
        <v>AKDS_Microgen</v>
      </c>
      <c r="C7" s="14" t="s">
        <v>1431</v>
      </c>
      <c r="D7" s="14" t="s">
        <v>1432</v>
      </c>
      <c r="E7" s="19">
        <v>45415.0</v>
      </c>
      <c r="F7" s="33">
        <v>1.0</v>
      </c>
      <c r="G7" s="33">
        <v>0.0</v>
      </c>
      <c r="H7" s="35" t="s">
        <v>1433</v>
      </c>
      <c r="I7" s="22">
        <v>45115.0</v>
      </c>
      <c r="J7" s="22">
        <v>45461.0</v>
      </c>
      <c r="K7" s="20" t="s">
        <v>18</v>
      </c>
    </row>
    <row r="8">
      <c r="A8" s="5">
        <v>7.0</v>
      </c>
      <c r="B8" s="6" t="str">
        <f>VLOOKUP(A8,vaccines!A:B,2)</f>
        <v>AKDS_Biomed</v>
      </c>
      <c r="C8" s="14" t="s">
        <v>1434</v>
      </c>
      <c r="D8" s="14" t="s">
        <v>1435</v>
      </c>
      <c r="E8" s="22">
        <v>41388.0</v>
      </c>
      <c r="F8" s="23">
        <v>1.0</v>
      </c>
      <c r="G8" s="23">
        <v>0.0</v>
      </c>
      <c r="H8" s="24" t="s">
        <v>33</v>
      </c>
      <c r="I8" s="22">
        <v>45115.0</v>
      </c>
      <c r="J8" s="10"/>
    </row>
    <row r="9">
      <c r="A9" s="5">
        <v>8.0</v>
      </c>
      <c r="B9" s="6" t="str">
        <f>VLOOKUP(A9,vaccines!A:B,2)</f>
        <v>Bubo_kok</v>
      </c>
      <c r="C9" s="14" t="s">
        <v>1436</v>
      </c>
      <c r="D9" s="14" t="s">
        <v>1437</v>
      </c>
      <c r="E9" s="22">
        <v>40395.0</v>
      </c>
      <c r="F9" s="23">
        <v>1.0</v>
      </c>
      <c r="G9" s="23">
        <v>0.0</v>
      </c>
      <c r="H9" s="25" t="s">
        <v>36</v>
      </c>
      <c r="I9" s="22">
        <v>45115.0</v>
      </c>
      <c r="J9" s="10"/>
    </row>
    <row r="10">
      <c r="A10" s="5">
        <v>9.0</v>
      </c>
      <c r="B10" s="6" t="str">
        <f>VLOOKUP(A10,vaccines!A:B,2)</f>
        <v>Pentaxim</v>
      </c>
      <c r="C10" s="14" t="s">
        <v>1438</v>
      </c>
      <c r="D10" s="14" t="s">
        <v>1439</v>
      </c>
      <c r="E10" s="15">
        <v>45980.0</v>
      </c>
      <c r="F10" s="21">
        <v>1.0</v>
      </c>
      <c r="G10" s="21">
        <v>0.0</v>
      </c>
      <c r="H10" s="17" t="s">
        <v>39</v>
      </c>
      <c r="I10" s="15">
        <f t="shared" ref="I10:I11" si="1">I9</f>
        <v>45115</v>
      </c>
      <c r="J10" s="19">
        <v>46204.0</v>
      </c>
    </row>
    <row r="11">
      <c r="A11" s="5">
        <v>10.0</v>
      </c>
      <c r="B11" s="6" t="str">
        <f>VLOOKUP(A11,vaccines!A:B,2)</f>
        <v>Infanrix_Hexa</v>
      </c>
      <c r="C11" s="14" t="s">
        <v>1440</v>
      </c>
      <c r="D11" s="14" t="s">
        <v>1441</v>
      </c>
      <c r="E11" s="15">
        <v>45953.0</v>
      </c>
      <c r="F11" s="21">
        <v>1.0</v>
      </c>
      <c r="G11" s="21">
        <v>0.0</v>
      </c>
      <c r="H11" s="17" t="s">
        <v>43</v>
      </c>
      <c r="I11" s="15">
        <f t="shared" si="1"/>
        <v>45115</v>
      </c>
      <c r="J11" s="19">
        <v>46000.0</v>
      </c>
    </row>
    <row r="12">
      <c r="A12" s="5">
        <v>11.0</v>
      </c>
      <c r="B12" s="6" t="str">
        <f>VLOOKUP(A12,vaccines!A:B,2)</f>
        <v>Bubo_M</v>
      </c>
      <c r="C12" s="14" t="s">
        <v>1442</v>
      </c>
      <c r="D12" s="14" t="s">
        <v>1443</v>
      </c>
      <c r="E12" s="15">
        <v>46136.0</v>
      </c>
      <c r="F12" s="21">
        <v>1.0</v>
      </c>
      <c r="G12" s="21">
        <v>0.0</v>
      </c>
      <c r="H12" s="17" t="s">
        <v>46</v>
      </c>
      <c r="I12" s="27">
        <v>45116.0</v>
      </c>
      <c r="J12" s="19">
        <v>46188.0</v>
      </c>
    </row>
    <row r="13">
      <c r="A13" s="5">
        <v>12.0</v>
      </c>
      <c r="B13" s="6" t="str">
        <f>VLOOKUP(A13,vaccines!A:B,2)</f>
        <v>AD_M_Microgen</v>
      </c>
      <c r="C13" s="14" t="s">
        <v>1444</v>
      </c>
      <c r="D13" s="14" t="s">
        <v>1445</v>
      </c>
      <c r="E13" s="15">
        <v>45482.0</v>
      </c>
      <c r="F13" s="33">
        <v>1.0</v>
      </c>
      <c r="G13" s="33">
        <v>0.0</v>
      </c>
      <c r="H13" s="35" t="s">
        <v>1446</v>
      </c>
      <c r="I13" s="15">
        <f t="shared" ref="I13:I15" si="2">I12</f>
        <v>45116</v>
      </c>
      <c r="J13" s="19">
        <v>45518.0</v>
      </c>
    </row>
    <row r="14">
      <c r="A14" s="5">
        <v>13.0</v>
      </c>
      <c r="B14" s="6" t="str">
        <f>VLOOKUP(A14,vaccines!A:B,2)</f>
        <v>ADS_Microgen</v>
      </c>
      <c r="C14" s="14" t="s">
        <v>1444</v>
      </c>
      <c r="D14" s="14" t="s">
        <v>1445</v>
      </c>
      <c r="E14" s="15">
        <v>45488.0</v>
      </c>
      <c r="F14" s="33">
        <v>1.0</v>
      </c>
      <c r="G14" s="33">
        <v>0.0</v>
      </c>
      <c r="H14" s="35" t="s">
        <v>1447</v>
      </c>
      <c r="I14" s="15">
        <f t="shared" si="2"/>
        <v>45116</v>
      </c>
      <c r="J14" s="19">
        <v>45518.0</v>
      </c>
    </row>
    <row r="15">
      <c r="A15" s="5">
        <v>14.0</v>
      </c>
      <c r="B15" s="6" t="str">
        <f>VLOOKUP(A15,vaccines!A:B,2)</f>
        <v>ADS_M_Microgen</v>
      </c>
      <c r="C15" s="14" t="s">
        <v>1444</v>
      </c>
      <c r="D15" s="14" t="s">
        <v>1445</v>
      </c>
      <c r="E15" s="15">
        <v>45623.0</v>
      </c>
      <c r="F15" s="21">
        <v>1.0</v>
      </c>
      <c r="G15" s="21">
        <v>0.0</v>
      </c>
      <c r="H15" s="17" t="s">
        <v>55</v>
      </c>
      <c r="I15" s="15">
        <f t="shared" si="2"/>
        <v>45116</v>
      </c>
      <c r="J15" s="19">
        <v>45861.0</v>
      </c>
    </row>
    <row r="16">
      <c r="A16" s="5">
        <v>15.0</v>
      </c>
      <c r="B16" s="6" t="str">
        <f>VLOOKUP(A16,vaccines!A:B,2)</f>
        <v>ADS_M_Biomed</v>
      </c>
      <c r="C16" s="14" t="s">
        <v>1448</v>
      </c>
      <c r="D16" s="14" t="s">
        <v>1449</v>
      </c>
      <c r="E16" s="28">
        <v>41046.0</v>
      </c>
      <c r="F16" s="23">
        <v>1.0</v>
      </c>
      <c r="G16" s="23">
        <v>0.0</v>
      </c>
      <c r="H16" s="24" t="s">
        <v>58</v>
      </c>
      <c r="I16" s="22">
        <v>45116.0</v>
      </c>
      <c r="J16" s="10"/>
    </row>
    <row r="17">
      <c r="A17" s="5">
        <v>16.0</v>
      </c>
      <c r="B17" s="6" t="str">
        <f>VLOOKUP(A17,vaccines!A:B,2)</f>
        <v>Adacel</v>
      </c>
      <c r="C17" s="14" t="s">
        <v>1450</v>
      </c>
      <c r="D17" s="14" t="s">
        <v>1451</v>
      </c>
      <c r="E17" s="15">
        <v>45456.0</v>
      </c>
      <c r="F17" s="33">
        <v>1.0</v>
      </c>
      <c r="G17" s="33">
        <v>0.0</v>
      </c>
      <c r="H17" s="47" t="s">
        <v>1452</v>
      </c>
      <c r="I17" s="18">
        <v>45117.0</v>
      </c>
      <c r="J17" s="19">
        <v>45589.0</v>
      </c>
      <c r="K17" s="20" t="s">
        <v>18</v>
      </c>
    </row>
    <row r="18">
      <c r="A18" s="5">
        <v>17.0</v>
      </c>
      <c r="B18" s="6" t="str">
        <f>VLOOKUP(A18,vaccines!A:B,2)</f>
        <v>Algavac_M</v>
      </c>
      <c r="C18" s="14" t="s">
        <v>1453</v>
      </c>
      <c r="D18" s="14" t="s">
        <v>1454</v>
      </c>
      <c r="E18" s="19">
        <v>45225.0</v>
      </c>
      <c r="F18" s="21">
        <v>3.0</v>
      </c>
      <c r="G18" s="21">
        <v>4.0</v>
      </c>
      <c r="H18" s="17" t="s">
        <v>1455</v>
      </c>
      <c r="I18" s="19">
        <f t="shared" ref="I18:I19" si="3">I17</f>
        <v>45117</v>
      </c>
      <c r="J18" s="19">
        <v>45715.0</v>
      </c>
    </row>
    <row r="19">
      <c r="A19" s="5">
        <v>18.0</v>
      </c>
      <c r="B19" s="6" t="str">
        <f>VLOOKUP(A19,vaccines!A:B,2)</f>
        <v>Algavac</v>
      </c>
      <c r="C19" s="14" t="s">
        <v>1456</v>
      </c>
      <c r="D19" s="14" t="s">
        <v>1457</v>
      </c>
      <c r="E19" s="15">
        <v>46111.0</v>
      </c>
      <c r="F19" s="21">
        <v>1.0</v>
      </c>
      <c r="G19" s="21">
        <v>0.0</v>
      </c>
      <c r="H19" s="17" t="s">
        <v>67</v>
      </c>
      <c r="I19" s="15">
        <f t="shared" si="3"/>
        <v>45117</v>
      </c>
      <c r="J19" s="19">
        <v>46188.0</v>
      </c>
    </row>
    <row r="20">
      <c r="A20" s="5">
        <v>19.0</v>
      </c>
      <c r="B20" s="6" t="str">
        <f>VLOOKUP(A20,vaccines!A:B,2)</f>
        <v>Havrix_720</v>
      </c>
      <c r="C20" s="14" t="s">
        <v>1458</v>
      </c>
      <c r="D20" s="14" t="s">
        <v>1459</v>
      </c>
      <c r="E20" s="15">
        <v>45490.0</v>
      </c>
      <c r="F20" s="33">
        <v>1.0</v>
      </c>
      <c r="G20" s="33">
        <v>0.0</v>
      </c>
      <c r="H20" s="35" t="s">
        <v>1460</v>
      </c>
      <c r="I20" s="22">
        <v>45119.0</v>
      </c>
      <c r="J20" s="19">
        <v>45558.0</v>
      </c>
    </row>
    <row r="21">
      <c r="A21" s="5">
        <v>20.0</v>
      </c>
      <c r="B21" s="6" t="str">
        <f>VLOOKUP(A21,vaccines!A:B,2)</f>
        <v>Havrix_1440</v>
      </c>
      <c r="C21" s="14" t="s">
        <v>1458</v>
      </c>
      <c r="D21" s="14" t="s">
        <v>1459</v>
      </c>
      <c r="E21" s="15">
        <v>45490.0</v>
      </c>
      <c r="F21" s="34">
        <v>1.0</v>
      </c>
      <c r="G21" s="34">
        <v>0.0</v>
      </c>
      <c r="H21" s="35" t="s">
        <v>1460</v>
      </c>
      <c r="I21" s="22">
        <v>45119.0</v>
      </c>
      <c r="J21" s="19">
        <v>45558.0</v>
      </c>
    </row>
    <row r="22">
      <c r="A22" s="5">
        <v>21.0</v>
      </c>
      <c r="B22" s="6" t="str">
        <f>VLOOKUP(A22,vaccines!A:B,2)</f>
        <v>Avaxim_80</v>
      </c>
      <c r="C22" s="14" t="s">
        <v>1461</v>
      </c>
      <c r="D22" s="14" t="s">
        <v>1462</v>
      </c>
      <c r="E22" s="22">
        <v>41816.0</v>
      </c>
      <c r="F22" s="23">
        <v>1.0</v>
      </c>
      <c r="G22" s="23">
        <v>0.0</v>
      </c>
      <c r="H22" s="24" t="s">
        <v>1463</v>
      </c>
      <c r="I22" s="22">
        <v>45119.0</v>
      </c>
      <c r="J22" s="10"/>
    </row>
    <row r="23">
      <c r="A23" s="5">
        <v>22.0</v>
      </c>
      <c r="B23" s="6" t="str">
        <f>VLOOKUP(A23,vaccines!A:B,2)</f>
        <v>Avaxim_160</v>
      </c>
      <c r="C23" s="14" t="s">
        <v>1464</v>
      </c>
      <c r="D23" s="14" t="s">
        <v>1462</v>
      </c>
      <c r="E23" s="22">
        <v>42131.0</v>
      </c>
      <c r="F23" s="23">
        <v>1.0</v>
      </c>
      <c r="G23" s="23">
        <v>0.0</v>
      </c>
      <c r="H23" s="25" t="s">
        <v>78</v>
      </c>
      <c r="I23" s="22">
        <v>45119.0</v>
      </c>
      <c r="J23" s="10"/>
    </row>
    <row r="24">
      <c r="A24" s="5">
        <v>23.0</v>
      </c>
      <c r="B24" s="6" t="str">
        <f>VLOOKUP(A24,vaccines!A:B,2)</f>
        <v>Regevac_0_5</v>
      </c>
      <c r="C24" s="14" t="s">
        <v>1465</v>
      </c>
      <c r="D24" s="14" t="s">
        <v>1466</v>
      </c>
      <c r="E24" s="15">
        <v>45216.0</v>
      </c>
      <c r="F24" s="21">
        <v>1.0</v>
      </c>
      <c r="G24" s="21">
        <v>0.0</v>
      </c>
      <c r="H24" s="17" t="s">
        <v>81</v>
      </c>
      <c r="I24" s="15">
        <f t="shared" ref="I24:I25" si="4">I23</f>
        <v>45119</v>
      </c>
      <c r="J24" s="19">
        <v>45988.0</v>
      </c>
    </row>
    <row r="25">
      <c r="A25" s="5">
        <v>24.0</v>
      </c>
      <c r="B25" s="6" t="str">
        <f>VLOOKUP(A25,vaccines!A:B,2)</f>
        <v>HepB_Combiotech_0_5</v>
      </c>
      <c r="C25" s="14" t="s">
        <v>1467</v>
      </c>
      <c r="D25" s="14" t="s">
        <v>1468</v>
      </c>
      <c r="E25" s="15">
        <v>46056.0</v>
      </c>
      <c r="F25" s="21">
        <v>1.0</v>
      </c>
      <c r="G25" s="21">
        <v>0.0</v>
      </c>
      <c r="H25" s="17" t="s">
        <v>84</v>
      </c>
      <c r="I25" s="15">
        <f t="shared" si="4"/>
        <v>45119</v>
      </c>
      <c r="J25" s="19">
        <v>46130.0</v>
      </c>
    </row>
    <row r="26">
      <c r="A26" s="5">
        <v>25.0</v>
      </c>
      <c r="B26" s="6" t="str">
        <f>VLOOKUP(A26,vaccines!A:B,2)</f>
        <v>Euvax_B_0_5</v>
      </c>
      <c r="C26" s="14" t="s">
        <v>1469</v>
      </c>
      <c r="D26" s="14" t="s">
        <v>1470</v>
      </c>
      <c r="E26" s="22">
        <v>41841.0</v>
      </c>
      <c r="F26" s="23">
        <v>1.0</v>
      </c>
      <c r="G26" s="23">
        <v>0.0</v>
      </c>
      <c r="H26" s="24" t="s">
        <v>576</v>
      </c>
      <c r="I26" s="22">
        <v>45120.0</v>
      </c>
      <c r="J26" s="10"/>
    </row>
    <row r="27">
      <c r="A27" s="5">
        <v>26.0</v>
      </c>
      <c r="B27" s="6" t="str">
        <f>VLOOKUP(A27,vaccines!A:B,2)</f>
        <v>Euvax_B_1_0</v>
      </c>
      <c r="C27" s="14" t="s">
        <v>1469</v>
      </c>
      <c r="D27" s="14" t="s">
        <v>1470</v>
      </c>
      <c r="E27" s="22">
        <v>41841.0</v>
      </c>
      <c r="F27" s="23">
        <v>1.0</v>
      </c>
      <c r="G27" s="23">
        <v>0.0</v>
      </c>
      <c r="H27" s="24" t="s">
        <v>576</v>
      </c>
      <c r="I27" s="22">
        <v>45120.0</v>
      </c>
      <c r="J27" s="10"/>
      <c r="K27" s="20" t="s">
        <v>18</v>
      </c>
    </row>
    <row r="28">
      <c r="A28" s="5">
        <v>27.0</v>
      </c>
      <c r="B28" s="6" t="str">
        <f>VLOOKUP(A28,vaccines!A:B,2)</f>
        <v>Cervarix</v>
      </c>
      <c r="C28" s="14" t="s">
        <v>1471</v>
      </c>
      <c r="D28" s="14" t="s">
        <v>1472</v>
      </c>
      <c r="E28" s="15">
        <v>45513.0</v>
      </c>
      <c r="F28" s="33">
        <v>1.0</v>
      </c>
      <c r="G28" s="33">
        <v>0.0</v>
      </c>
      <c r="H28" s="35" t="s">
        <v>1473</v>
      </c>
      <c r="I28" s="15">
        <f>I27</f>
        <v>45120</v>
      </c>
      <c r="J28" s="19">
        <v>45589.0</v>
      </c>
    </row>
    <row r="29">
      <c r="A29" s="5">
        <v>28.0</v>
      </c>
      <c r="B29" s="6" t="str">
        <f>VLOOKUP(A29,vaccines!A:B,2)</f>
        <v>Gardasil_4</v>
      </c>
      <c r="C29" s="14" t="s">
        <v>1474</v>
      </c>
      <c r="D29" s="14" t="s">
        <v>1475</v>
      </c>
      <c r="E29" s="15">
        <v>45386.0</v>
      </c>
      <c r="F29" s="33">
        <v>1.0</v>
      </c>
      <c r="G29" s="33">
        <v>0.0</v>
      </c>
      <c r="H29" s="35" t="s">
        <v>1476</v>
      </c>
      <c r="I29" s="22">
        <v>45120.0</v>
      </c>
      <c r="J29" s="22">
        <v>45483.0</v>
      </c>
    </row>
    <row r="30">
      <c r="A30" s="5">
        <v>29.0</v>
      </c>
      <c r="B30" s="6" t="str">
        <f>VLOOKUP(A30,vaccines!A:B,2)</f>
        <v>Sputnik</v>
      </c>
      <c r="C30" s="30" t="s">
        <v>1477</v>
      </c>
      <c r="D30" s="30" t="s">
        <v>1478</v>
      </c>
      <c r="E30" s="15">
        <v>45839.0</v>
      </c>
      <c r="F30" s="21">
        <v>1.0</v>
      </c>
      <c r="G30" s="21">
        <v>0.0</v>
      </c>
      <c r="H30" s="17" t="s">
        <v>98</v>
      </c>
      <c r="I30" s="18">
        <v>45121.0</v>
      </c>
      <c r="J30" s="19">
        <v>45923.0</v>
      </c>
    </row>
    <row r="31">
      <c r="A31" s="5">
        <v>30.0</v>
      </c>
      <c r="B31" s="6" t="str">
        <f>VLOOKUP(A31,vaccines!A:B,2)</f>
        <v>Sputnik_Lyo</v>
      </c>
      <c r="C31" s="14" t="s">
        <v>1479</v>
      </c>
      <c r="D31" s="14" t="s">
        <v>1480</v>
      </c>
      <c r="E31" s="22">
        <v>44631.0</v>
      </c>
      <c r="F31" s="23">
        <v>2.0</v>
      </c>
      <c r="G31" s="23">
        <v>1.0</v>
      </c>
      <c r="H31" s="25" t="s">
        <v>101</v>
      </c>
      <c r="I31" s="22">
        <v>45121.0</v>
      </c>
      <c r="J31" s="10"/>
    </row>
    <row r="32">
      <c r="A32" s="5">
        <v>31.0</v>
      </c>
      <c r="B32" s="6" t="str">
        <f>VLOOKUP(A32,vaccines!A:B,2)</f>
        <v>EpiVacCorona</v>
      </c>
      <c r="C32" s="14" t="s">
        <v>1481</v>
      </c>
      <c r="D32" s="14" t="s">
        <v>1482</v>
      </c>
      <c r="E32" s="22">
        <v>44911.0</v>
      </c>
      <c r="F32" s="23">
        <v>1.0</v>
      </c>
      <c r="G32" s="23">
        <v>0.0</v>
      </c>
      <c r="H32" s="25" t="s">
        <v>104</v>
      </c>
      <c r="I32" s="22">
        <v>45122.0</v>
      </c>
      <c r="J32" s="10"/>
    </row>
    <row r="33">
      <c r="A33" s="5">
        <v>32.0</v>
      </c>
      <c r="B33" s="6" t="str">
        <f>VLOOKUP(A33,vaccines!A:B,2)</f>
        <v>Grippol_Microgen</v>
      </c>
      <c r="C33" s="14" t="s">
        <v>1483</v>
      </c>
      <c r="D33" s="14" t="s">
        <v>1484</v>
      </c>
      <c r="E33" s="22">
        <v>41411.0</v>
      </c>
      <c r="F33" s="23">
        <v>1.0</v>
      </c>
      <c r="G33" s="23">
        <v>0.0</v>
      </c>
      <c r="H33" s="25" t="s">
        <v>107</v>
      </c>
      <c r="I33" s="22">
        <v>45122.0</v>
      </c>
      <c r="J33" s="10"/>
    </row>
    <row r="34">
      <c r="A34" s="5">
        <v>33.0</v>
      </c>
      <c r="B34" s="6" t="str">
        <f>VLOOKUP(A34,vaccines!A:B,2)</f>
        <v>Grippol_Petrovax</v>
      </c>
      <c r="C34" s="14" t="s">
        <v>1485</v>
      </c>
      <c r="D34" s="14" t="s">
        <v>1486</v>
      </c>
      <c r="E34" s="22">
        <v>42667.0</v>
      </c>
      <c r="F34" s="23">
        <v>3.0</v>
      </c>
      <c r="G34" s="23">
        <v>3.0</v>
      </c>
      <c r="H34" s="25" t="s">
        <v>1487</v>
      </c>
      <c r="I34" s="22">
        <v>45122.0</v>
      </c>
      <c r="J34" s="10"/>
    </row>
    <row r="35">
      <c r="A35" s="5">
        <v>34.0</v>
      </c>
      <c r="B35" s="6" t="str">
        <f>VLOOKUP(A35,vaccines!A:B,2)</f>
        <v>Grippol_plus_0_5</v>
      </c>
      <c r="C35" s="14" t="s">
        <v>1488</v>
      </c>
      <c r="D35" s="14" t="s">
        <v>1489</v>
      </c>
      <c r="E35" s="18">
        <v>45589.0</v>
      </c>
      <c r="F35" s="33">
        <v>1.0</v>
      </c>
      <c r="G35" s="33">
        <v>0.0</v>
      </c>
      <c r="H35" s="35" t="s">
        <v>1490</v>
      </c>
      <c r="I35" s="22">
        <v>45122.0</v>
      </c>
      <c r="J35" s="22">
        <v>45992.0</v>
      </c>
    </row>
    <row r="36">
      <c r="A36" s="5">
        <v>35.0</v>
      </c>
      <c r="B36" s="6" t="str">
        <f>VLOOKUP(A36,vaccines!A:B,2)</f>
        <v>Sovigripp</v>
      </c>
      <c r="C36" s="14" t="s">
        <v>1491</v>
      </c>
      <c r="D36" s="14" t="s">
        <v>1492</v>
      </c>
      <c r="E36" s="15">
        <v>45580.0</v>
      </c>
      <c r="F36" s="33">
        <v>1.0</v>
      </c>
      <c r="G36" s="33">
        <v>0.0</v>
      </c>
      <c r="H36" s="47" t="s">
        <v>1493</v>
      </c>
      <c r="I36" s="15">
        <f>I35</f>
        <v>45122</v>
      </c>
      <c r="J36" s="19">
        <v>45622.0</v>
      </c>
    </row>
    <row r="37">
      <c r="A37" s="5">
        <v>36.0</v>
      </c>
      <c r="B37" s="6" t="str">
        <f>VLOOKUP(A37,vaccines!A:B,2)</f>
        <v>Ultrix</v>
      </c>
      <c r="C37" s="14" t="s">
        <v>1494</v>
      </c>
      <c r="D37" s="14" t="s">
        <v>1495</v>
      </c>
      <c r="E37" s="15">
        <v>45211.0</v>
      </c>
      <c r="F37" s="33">
        <v>1.0</v>
      </c>
      <c r="G37" s="33">
        <v>0.0</v>
      </c>
      <c r="H37" s="35" t="s">
        <v>1496</v>
      </c>
      <c r="I37" s="22">
        <v>45123.0</v>
      </c>
      <c r="J37" s="22">
        <v>45483.0</v>
      </c>
      <c r="K37" s="20" t="s">
        <v>18</v>
      </c>
    </row>
    <row r="38">
      <c r="A38" s="5">
        <v>37.0</v>
      </c>
      <c r="B38" s="6" t="str">
        <f>VLOOKUP(A38,vaccines!A:B,2)</f>
        <v>Flu_M</v>
      </c>
      <c r="C38" s="14" t="s">
        <v>1497</v>
      </c>
      <c r="D38" s="14" t="s">
        <v>1498</v>
      </c>
      <c r="E38" s="15">
        <v>46035.0</v>
      </c>
      <c r="F38" s="21">
        <v>1.0</v>
      </c>
      <c r="G38" s="21">
        <v>0.0</v>
      </c>
      <c r="H38" s="17" t="s">
        <v>122</v>
      </c>
      <c r="I38" s="15">
        <f>I37</f>
        <v>45123</v>
      </c>
      <c r="J38" s="19">
        <v>46130.0</v>
      </c>
    </row>
    <row r="39">
      <c r="A39" s="5">
        <v>38.0</v>
      </c>
      <c r="B39" s="6" t="str">
        <f>VLOOKUP(A39,vaccines!A:B,2)</f>
        <v>Vaxigrip</v>
      </c>
      <c r="C39" s="14" t="s">
        <v>1499</v>
      </c>
      <c r="D39" s="14" t="s">
        <v>1500</v>
      </c>
      <c r="E39" s="22">
        <v>43598.0</v>
      </c>
      <c r="F39" s="23">
        <v>1.0</v>
      </c>
      <c r="G39" s="23">
        <v>0.0</v>
      </c>
      <c r="H39" s="25" t="s">
        <v>125</v>
      </c>
      <c r="I39" s="22">
        <v>45123.0</v>
      </c>
      <c r="J39" s="10"/>
    </row>
    <row r="40">
      <c r="A40" s="5">
        <v>39.0</v>
      </c>
      <c r="B40" s="6" t="str">
        <f>VLOOKUP(A40,vaccines!A:B,2)</f>
        <v>Influvac</v>
      </c>
      <c r="C40" s="14" t="s">
        <v>1501</v>
      </c>
      <c r="D40" s="14" t="s">
        <v>1502</v>
      </c>
      <c r="E40" s="15">
        <v>46066.0</v>
      </c>
      <c r="F40" s="21">
        <v>1.0</v>
      </c>
      <c r="G40" s="21">
        <v>0.0</v>
      </c>
      <c r="H40" s="17" t="s">
        <v>128</v>
      </c>
      <c r="I40" s="15">
        <f>I39</f>
        <v>45123</v>
      </c>
      <c r="J40" s="19">
        <v>46130.0</v>
      </c>
    </row>
    <row r="41">
      <c r="A41" s="5">
        <v>40.0</v>
      </c>
      <c r="B41" s="6" t="str">
        <f>VLOOKUP(A41,vaccines!A:B,2)</f>
        <v>Ultrix_quadri</v>
      </c>
      <c r="C41" s="14" t="s">
        <v>1503</v>
      </c>
      <c r="D41" s="14" t="s">
        <v>1504</v>
      </c>
      <c r="E41" s="15">
        <v>45524.0</v>
      </c>
      <c r="F41" s="33">
        <v>1.0</v>
      </c>
      <c r="G41" s="33">
        <v>0.0</v>
      </c>
      <c r="H41" s="47" t="s">
        <v>1505</v>
      </c>
      <c r="I41" s="22">
        <v>45124.0</v>
      </c>
      <c r="J41" s="19">
        <v>45589.0</v>
      </c>
    </row>
    <row r="42">
      <c r="A42" s="5">
        <v>41.0</v>
      </c>
      <c r="B42" s="6" t="str">
        <f>VLOOKUP(A42,vaccines!A:B,2)</f>
        <v>Grippol_quadrivalent</v>
      </c>
      <c r="C42" s="14" t="s">
        <v>1506</v>
      </c>
      <c r="D42" s="14" t="s">
        <v>1507</v>
      </c>
      <c r="E42" s="15">
        <v>45727.0</v>
      </c>
      <c r="F42" s="21">
        <v>1.0</v>
      </c>
      <c r="G42" s="21">
        <v>0.0</v>
      </c>
      <c r="H42" s="17" t="s">
        <v>134</v>
      </c>
      <c r="I42" s="15">
        <f t="shared" ref="I42:I44" si="5">I41</f>
        <v>45124</v>
      </c>
      <c r="J42" s="19">
        <v>45818.0</v>
      </c>
    </row>
    <row r="43">
      <c r="A43" s="5">
        <v>42.0</v>
      </c>
      <c r="B43" s="6" t="str">
        <f>VLOOKUP(A43,vaccines!A:B,2)</f>
        <v>measles_Microgen</v>
      </c>
      <c r="C43" s="14" t="s">
        <v>1508</v>
      </c>
      <c r="D43" s="14" t="s">
        <v>1509</v>
      </c>
      <c r="E43" s="15">
        <v>45404.0</v>
      </c>
      <c r="F43" s="33">
        <v>1.0</v>
      </c>
      <c r="G43" s="33">
        <v>0.0</v>
      </c>
      <c r="H43" s="35" t="s">
        <v>1510</v>
      </c>
      <c r="I43" s="15">
        <f t="shared" si="5"/>
        <v>45124</v>
      </c>
      <c r="J43" s="15">
        <v>45483.0</v>
      </c>
    </row>
    <row r="44">
      <c r="A44" s="5">
        <v>43.0</v>
      </c>
      <c r="B44" s="6" t="str">
        <f>VLOOKUP(A44,vaccines!A:B,2)</f>
        <v>measles_Serum_India</v>
      </c>
      <c r="C44" s="14" t="s">
        <v>1511</v>
      </c>
      <c r="D44" s="14" t="s">
        <v>1512</v>
      </c>
      <c r="E44" s="15">
        <v>45981.0</v>
      </c>
      <c r="F44" s="21">
        <v>1.0</v>
      </c>
      <c r="G44" s="21">
        <v>0.0</v>
      </c>
      <c r="H44" s="17" t="s">
        <v>140</v>
      </c>
      <c r="I44" s="15">
        <f t="shared" si="5"/>
        <v>45124</v>
      </c>
      <c r="J44" s="19">
        <v>46053.0</v>
      </c>
    </row>
    <row r="45">
      <c r="A45" s="5">
        <v>44.0</v>
      </c>
      <c r="B45" s="6" t="str">
        <f>VLOOKUP(A45,vaccines!A:B,2)</f>
        <v>measles_Vector</v>
      </c>
      <c r="C45" s="14" t="s">
        <v>1513</v>
      </c>
      <c r="D45" s="14" t="s">
        <v>1514</v>
      </c>
      <c r="E45" s="22">
        <v>39421.0</v>
      </c>
      <c r="F45" s="23">
        <v>1.0</v>
      </c>
      <c r="G45" s="23">
        <v>0.0</v>
      </c>
      <c r="H45" s="24" t="s">
        <v>143</v>
      </c>
      <c r="I45" s="22">
        <v>45124.0</v>
      </c>
      <c r="J45" s="10"/>
    </row>
    <row r="46">
      <c r="A46" s="5">
        <v>45.0</v>
      </c>
      <c r="B46" s="6" t="str">
        <f>VLOOKUP(A46,vaccines!A:B,2)</f>
        <v>measles_mumps_Microgen</v>
      </c>
      <c r="C46" s="14" t="s">
        <v>1515</v>
      </c>
      <c r="D46" s="14" t="s">
        <v>1516</v>
      </c>
      <c r="E46" s="15">
        <v>45460.0</v>
      </c>
      <c r="F46" s="33">
        <v>1.0</v>
      </c>
      <c r="G46" s="33">
        <v>0.0</v>
      </c>
      <c r="H46" s="47" t="s">
        <v>1517</v>
      </c>
      <c r="I46" s="15">
        <f t="shared" ref="I46:I47" si="6">I45</f>
        <v>45124</v>
      </c>
      <c r="J46" s="19">
        <v>45589.0</v>
      </c>
    </row>
    <row r="47">
      <c r="A47" s="5">
        <v>46.0</v>
      </c>
      <c r="B47" s="6" t="str">
        <f>VLOOKUP(A47,vaccines!A:B,2)</f>
        <v>Vactrivir</v>
      </c>
      <c r="C47" s="14" t="s">
        <v>1518</v>
      </c>
      <c r="D47" s="14" t="s">
        <v>1519</v>
      </c>
      <c r="E47" s="15">
        <v>45817.0</v>
      </c>
      <c r="F47" s="21">
        <v>1.0</v>
      </c>
      <c r="G47" s="21">
        <v>0.0</v>
      </c>
      <c r="H47" s="17" t="s">
        <v>149</v>
      </c>
      <c r="I47" s="15">
        <f t="shared" si="6"/>
        <v>45124</v>
      </c>
      <c r="J47" s="19">
        <v>45830.0</v>
      </c>
      <c r="K47" s="20" t="s">
        <v>18</v>
      </c>
    </row>
    <row r="48">
      <c r="A48" s="5">
        <v>47.0</v>
      </c>
      <c r="B48" s="6" t="str">
        <f>VLOOKUP(A48,vaccines!A:B,2)</f>
        <v>MMR_II</v>
      </c>
      <c r="C48" s="14" t="s">
        <v>1520</v>
      </c>
      <c r="D48" s="14" t="s">
        <v>1521</v>
      </c>
      <c r="E48" s="22">
        <v>42108.0</v>
      </c>
      <c r="F48" s="23">
        <v>1.0</v>
      </c>
      <c r="G48" s="23">
        <v>0.0</v>
      </c>
      <c r="H48" s="25" t="s">
        <v>931</v>
      </c>
      <c r="I48" s="22">
        <v>45124.0</v>
      </c>
      <c r="J48" s="10"/>
    </row>
    <row r="49">
      <c r="A49" s="5">
        <v>48.0</v>
      </c>
      <c r="B49" s="6" t="str">
        <f>VLOOKUP(A49,vaccines!A:B,2)</f>
        <v>MenA_Microgen</v>
      </c>
      <c r="C49" s="14" t="s">
        <v>1522</v>
      </c>
      <c r="D49" s="14" t="s">
        <v>1523</v>
      </c>
      <c r="E49" s="22">
        <v>45414.0</v>
      </c>
      <c r="F49" s="23">
        <v>1.0</v>
      </c>
      <c r="G49" s="23">
        <v>0.0</v>
      </c>
      <c r="H49" s="35" t="s">
        <v>1524</v>
      </c>
      <c r="I49" s="22">
        <v>45124.0</v>
      </c>
      <c r="J49" s="22">
        <v>45460.0</v>
      </c>
    </row>
    <row r="50">
      <c r="A50" s="5">
        <v>49.0</v>
      </c>
      <c r="B50" s="6" t="str">
        <f>VLOOKUP(A50,vaccines!A:B,2)</f>
        <v>MeningoVac_A_C</v>
      </c>
      <c r="C50" s="14" t="s">
        <v>1525</v>
      </c>
      <c r="D50" s="14" t="s">
        <v>1526</v>
      </c>
      <c r="E50" s="19">
        <v>45414.0</v>
      </c>
      <c r="F50" s="33">
        <v>1.0</v>
      </c>
      <c r="G50" s="33">
        <v>0.0</v>
      </c>
      <c r="H50" s="35" t="s">
        <v>1527</v>
      </c>
      <c r="I50" s="22">
        <v>45124.0</v>
      </c>
      <c r="J50" s="22">
        <v>45460.0</v>
      </c>
    </row>
    <row r="51">
      <c r="A51" s="5">
        <v>50.0</v>
      </c>
      <c r="B51" s="6" t="str">
        <f>VLOOKUP(A51,vaccines!A:B,2)</f>
        <v>Menactra</v>
      </c>
      <c r="C51" s="14" t="s">
        <v>1528</v>
      </c>
      <c r="D51" s="14" t="s">
        <v>1529</v>
      </c>
      <c r="E51" s="15">
        <v>45188.0</v>
      </c>
      <c r="F51" s="33">
        <v>1.0</v>
      </c>
      <c r="G51" s="33">
        <v>0.0</v>
      </c>
      <c r="H51" s="35" t="s">
        <v>1530</v>
      </c>
      <c r="I51" s="19">
        <f t="shared" ref="I51:I52" si="7">I50</f>
        <v>45124</v>
      </c>
      <c r="J51" s="19">
        <v>45483.0</v>
      </c>
    </row>
    <row r="52">
      <c r="A52" s="5">
        <v>51.0</v>
      </c>
      <c r="B52" s="6" t="str">
        <f>VLOOKUP(A52,vaccines!A:B,2)</f>
        <v>mumps_Microgen</v>
      </c>
      <c r="C52" s="14" t="s">
        <v>1531</v>
      </c>
      <c r="D52" s="14" t="s">
        <v>1532</v>
      </c>
      <c r="E52" s="15">
        <v>45454.0</v>
      </c>
      <c r="F52" s="33">
        <v>1.0</v>
      </c>
      <c r="G52" s="33">
        <v>0.0</v>
      </c>
      <c r="H52" s="47" t="s">
        <v>1533</v>
      </c>
      <c r="I52" s="15">
        <f t="shared" si="7"/>
        <v>45124</v>
      </c>
      <c r="J52" s="19">
        <v>45589.0</v>
      </c>
    </row>
    <row r="53">
      <c r="A53" s="5">
        <v>52.0</v>
      </c>
      <c r="B53" s="6" t="str">
        <f>VLOOKUP(A53,vaccines!A:B,2)</f>
        <v>Prevenar_13</v>
      </c>
      <c r="C53" s="14" t="s">
        <v>1534</v>
      </c>
      <c r="D53" s="14" t="s">
        <v>1535</v>
      </c>
      <c r="E53" s="15">
        <v>45267.0</v>
      </c>
      <c r="F53" s="33">
        <v>1.0</v>
      </c>
      <c r="G53" s="33">
        <v>0.0</v>
      </c>
      <c r="H53" s="35" t="s">
        <v>1536</v>
      </c>
      <c r="I53" s="28">
        <v>45125.0</v>
      </c>
      <c r="J53" s="19">
        <v>45481.0</v>
      </c>
    </row>
    <row r="54">
      <c r="A54" s="5">
        <v>53.0</v>
      </c>
      <c r="B54" s="6" t="str">
        <f>VLOOKUP(A54,vaccines!A:B,2)</f>
        <v>Synflorix</v>
      </c>
      <c r="C54" s="14" t="s">
        <v>1537</v>
      </c>
      <c r="D54" s="14" t="s">
        <v>1538</v>
      </c>
      <c r="E54" s="22">
        <v>43605.0</v>
      </c>
      <c r="F54" s="23">
        <v>1.0</v>
      </c>
      <c r="G54" s="23">
        <v>0.0</v>
      </c>
      <c r="H54" s="24" t="s">
        <v>170</v>
      </c>
      <c r="I54" s="28">
        <v>45125.0</v>
      </c>
      <c r="J54" s="10"/>
    </row>
    <row r="55">
      <c r="A55" s="5">
        <v>54.0</v>
      </c>
      <c r="B55" s="6" t="str">
        <f>VLOOKUP(A55,vaccines!A:B,2)</f>
        <v>Pneumovax_23</v>
      </c>
      <c r="C55" s="14" t="s">
        <v>1539</v>
      </c>
      <c r="D55" s="14" t="s">
        <v>1540</v>
      </c>
      <c r="E55" s="15">
        <v>45051.0</v>
      </c>
      <c r="F55" s="33">
        <v>1.0</v>
      </c>
      <c r="G55" s="33">
        <v>0.0</v>
      </c>
      <c r="H55" s="35" t="s">
        <v>1541</v>
      </c>
      <c r="I55" s="15">
        <f>I54</f>
        <v>45125</v>
      </c>
      <c r="J55" s="19">
        <v>45489.0</v>
      </c>
    </row>
    <row r="56">
      <c r="A56" s="5">
        <v>55.0</v>
      </c>
      <c r="B56" s="6" t="str">
        <f>VLOOKUP(A56,vaccines!A:B,2)</f>
        <v>MonoVac_Polio</v>
      </c>
      <c r="C56" s="14" t="s">
        <v>1542</v>
      </c>
      <c r="D56" s="14" t="s">
        <v>1543</v>
      </c>
      <c r="E56" s="22">
        <v>44694.0</v>
      </c>
      <c r="F56" s="23">
        <v>2.0</v>
      </c>
      <c r="G56" s="23">
        <v>3.0</v>
      </c>
      <c r="H56" s="25" t="s">
        <v>1544</v>
      </c>
      <c r="I56" s="22">
        <v>45125.0</v>
      </c>
      <c r="J56" s="10"/>
    </row>
    <row r="57">
      <c r="A57" s="5">
        <v>56.0</v>
      </c>
      <c r="B57" s="6" t="str">
        <f>VLOOKUP(A57,vaccines!A:B,2)</f>
        <v>BiVac_Polio</v>
      </c>
      <c r="C57" s="14" t="s">
        <v>1545</v>
      </c>
      <c r="D57" s="14" t="s">
        <v>1546</v>
      </c>
      <c r="E57" s="15">
        <v>45736.0</v>
      </c>
      <c r="F57" s="21">
        <v>1.0</v>
      </c>
      <c r="G57" s="21">
        <v>0.0</v>
      </c>
      <c r="H57" s="17" t="s">
        <v>179</v>
      </c>
      <c r="I57" s="15">
        <f t="shared" ref="I57:I59" si="8">I56</f>
        <v>45125</v>
      </c>
      <c r="J57" s="19">
        <v>45988.0</v>
      </c>
      <c r="K57" s="20" t="s">
        <v>18</v>
      </c>
    </row>
    <row r="58">
      <c r="A58" s="5">
        <v>57.0</v>
      </c>
      <c r="B58" s="6" t="str">
        <f>VLOOKUP(A58,vaccines!A:B,2)</f>
        <v>Polymilex</v>
      </c>
      <c r="C58" s="14" t="s">
        <v>1547</v>
      </c>
      <c r="D58" s="14" t="s">
        <v>1548</v>
      </c>
      <c r="E58" s="15">
        <v>45623.0</v>
      </c>
      <c r="F58" s="21">
        <v>1.0</v>
      </c>
      <c r="G58" s="21">
        <v>0.0</v>
      </c>
      <c r="H58" s="17" t="s">
        <v>182</v>
      </c>
      <c r="I58" s="15">
        <f t="shared" si="8"/>
        <v>45125</v>
      </c>
      <c r="J58" s="19">
        <v>45715.0</v>
      </c>
    </row>
    <row r="59">
      <c r="A59" s="5">
        <v>58.0</v>
      </c>
      <c r="B59" s="6" t="str">
        <f>VLOOKUP(A59,vaccines!A:B,2)</f>
        <v>COCAV</v>
      </c>
      <c r="C59" s="14" t="s">
        <v>1549</v>
      </c>
      <c r="D59" s="14" t="s">
        <v>1550</v>
      </c>
      <c r="E59" s="15">
        <v>45631.0</v>
      </c>
      <c r="F59" s="33">
        <v>1.0</v>
      </c>
      <c r="G59" s="33">
        <v>0.0</v>
      </c>
      <c r="H59" s="35" t="s">
        <v>1551</v>
      </c>
      <c r="I59" s="15">
        <f t="shared" si="8"/>
        <v>45125</v>
      </c>
      <c r="J59" s="19">
        <v>45678.0</v>
      </c>
    </row>
    <row r="60">
      <c r="A60" s="5">
        <v>59.0</v>
      </c>
      <c r="B60" s="6" t="str">
        <f>VLOOKUP(A60,vaccines!A:B,2)</f>
        <v>rabies_Chumakov</v>
      </c>
      <c r="C60" s="14" t="s">
        <v>1552</v>
      </c>
      <c r="D60" s="14" t="s">
        <v>1553</v>
      </c>
      <c r="E60" s="22">
        <v>44862.0</v>
      </c>
      <c r="F60" s="23">
        <v>1.0</v>
      </c>
      <c r="G60" s="23">
        <v>0.0</v>
      </c>
      <c r="H60" s="25" t="s">
        <v>188</v>
      </c>
      <c r="I60" s="28">
        <v>45125.0</v>
      </c>
      <c r="J60" s="10"/>
    </row>
    <row r="61">
      <c r="A61" s="5">
        <v>60.0</v>
      </c>
      <c r="B61" s="6" t="str">
        <f>VLOOKUP(A61,vaccines!A:B,2)</f>
        <v>Rabivac_Vnukovo_32</v>
      </c>
      <c r="C61" s="14" t="s">
        <v>1554</v>
      </c>
      <c r="D61" s="14" t="s">
        <v>1555</v>
      </c>
      <c r="E61" s="22">
        <v>40925.0</v>
      </c>
      <c r="F61" s="23">
        <v>1.0</v>
      </c>
      <c r="G61" s="23">
        <v>0.0</v>
      </c>
      <c r="H61" s="24" t="s">
        <v>191</v>
      </c>
      <c r="I61" s="28">
        <v>45125.0</v>
      </c>
      <c r="J61" s="10"/>
    </row>
    <row r="62">
      <c r="A62" s="5">
        <v>61.0</v>
      </c>
      <c r="B62" s="6" t="str">
        <f>VLOOKUP(A62,vaccines!A:B,2)</f>
        <v>RotaTeq</v>
      </c>
      <c r="C62" s="14" t="s">
        <v>1539</v>
      </c>
      <c r="D62" s="14" t="s">
        <v>1540</v>
      </c>
      <c r="E62" s="22">
        <v>43010.0</v>
      </c>
      <c r="F62" s="23">
        <v>1.0</v>
      </c>
      <c r="G62" s="23">
        <v>0.0</v>
      </c>
      <c r="H62" s="25" t="s">
        <v>649</v>
      </c>
      <c r="I62" s="22">
        <v>45127.0</v>
      </c>
      <c r="J62" s="10"/>
    </row>
    <row r="63">
      <c r="A63" s="5">
        <v>62.0</v>
      </c>
      <c r="B63" s="6" t="str">
        <f>VLOOKUP(A63,vaccines!A:B,2)</f>
        <v>rubella_Microgen</v>
      </c>
      <c r="C63" s="14" t="s">
        <v>1556</v>
      </c>
      <c r="D63" s="14" t="s">
        <v>1557</v>
      </c>
      <c r="E63" s="15">
        <v>45531.0</v>
      </c>
      <c r="F63" s="33">
        <v>1.0</v>
      </c>
      <c r="G63" s="33">
        <v>0.0</v>
      </c>
      <c r="H63" s="47" t="s">
        <v>1558</v>
      </c>
      <c r="I63" s="15">
        <f>I62</f>
        <v>45127</v>
      </c>
      <c r="J63" s="19">
        <v>45589.0</v>
      </c>
    </row>
    <row r="64">
      <c r="A64" s="5">
        <v>63.0</v>
      </c>
      <c r="B64" s="6" t="str">
        <f>VLOOKUP(A64,vaccines!A:B,2)</f>
        <v>rubella_Serum</v>
      </c>
      <c r="C64" s="14" t="s">
        <v>1559</v>
      </c>
      <c r="D64" s="14" t="s">
        <v>1560</v>
      </c>
      <c r="E64" s="22">
        <v>40142.0</v>
      </c>
      <c r="F64" s="23">
        <v>1.0</v>
      </c>
      <c r="G64" s="23">
        <v>0.0</v>
      </c>
      <c r="H64" s="24" t="s">
        <v>200</v>
      </c>
      <c r="I64" s="22">
        <v>45127.0</v>
      </c>
      <c r="J64" s="10"/>
    </row>
    <row r="65">
      <c r="A65" s="5">
        <v>64.0</v>
      </c>
      <c r="B65" s="6" t="str">
        <f>VLOOKUP(A65,vaccines!A:B,2)</f>
        <v>AS_Microgen</v>
      </c>
      <c r="C65" s="14" t="s">
        <v>1444</v>
      </c>
      <c r="D65" s="14" t="s">
        <v>1445</v>
      </c>
      <c r="E65" s="15">
        <v>45607.0</v>
      </c>
      <c r="F65" s="21">
        <v>1.0</v>
      </c>
      <c r="G65" s="21">
        <v>0.0</v>
      </c>
      <c r="H65" s="17" t="s">
        <v>203</v>
      </c>
      <c r="I65" s="15">
        <f>I64</f>
        <v>45127</v>
      </c>
      <c r="J65" s="19">
        <v>46053.0</v>
      </c>
    </row>
    <row r="66">
      <c r="A66" s="5">
        <v>65.0</v>
      </c>
      <c r="B66" s="6" t="str">
        <f>VLOOKUP(A66,vaccines!A:B,2)</f>
        <v>AS_Biomed</v>
      </c>
      <c r="C66" s="14" t="s">
        <v>1561</v>
      </c>
      <c r="D66" s="14" t="s">
        <v>1562</v>
      </c>
      <c r="E66" s="22">
        <v>41047.0</v>
      </c>
      <c r="F66" s="23">
        <v>1.0</v>
      </c>
      <c r="G66" s="23">
        <v>0.0</v>
      </c>
      <c r="H66" s="24" t="s">
        <v>206</v>
      </c>
      <c r="I66" s="22">
        <v>45128.0</v>
      </c>
      <c r="J66" s="10"/>
    </row>
    <row r="67">
      <c r="A67" s="5">
        <v>66.0</v>
      </c>
      <c r="B67" s="6" t="str">
        <f>VLOOKUP(A67,vaccines!A:B,2)</f>
        <v>Vaqta_25</v>
      </c>
      <c r="C67" s="14" t="s">
        <v>1563</v>
      </c>
      <c r="D67" s="14" t="s">
        <v>1564</v>
      </c>
      <c r="E67" s="22">
        <v>41780.0</v>
      </c>
      <c r="F67" s="23">
        <v>1.0</v>
      </c>
      <c r="G67" s="23">
        <v>0.0</v>
      </c>
      <c r="H67" s="24" t="s">
        <v>209</v>
      </c>
      <c r="I67" s="22">
        <v>45128.0</v>
      </c>
      <c r="J67" s="10"/>
      <c r="K67" s="20" t="s">
        <v>18</v>
      </c>
    </row>
    <row r="68">
      <c r="A68" s="5">
        <v>67.0</v>
      </c>
      <c r="B68" s="6" t="str">
        <f>VLOOKUP(A68,vaccines!A:B,2)</f>
        <v>Vaqta_50</v>
      </c>
      <c r="C68" s="14" t="s">
        <v>1563</v>
      </c>
      <c r="D68" s="14" t="s">
        <v>1564</v>
      </c>
      <c r="E68" s="22">
        <v>41780.0</v>
      </c>
      <c r="F68" s="23">
        <v>1.0</v>
      </c>
      <c r="G68" s="23">
        <v>0.0</v>
      </c>
      <c r="H68" s="24" t="s">
        <v>209</v>
      </c>
      <c r="I68" s="22">
        <v>45128.0</v>
      </c>
      <c r="J68" s="10"/>
    </row>
    <row r="69">
      <c r="A69" s="5">
        <v>68.0</v>
      </c>
      <c r="B69" s="6" t="str">
        <f>VLOOKUP(A69,vaccines!A:B,2)</f>
        <v>Klesh_E_Vac_0_5</v>
      </c>
      <c r="C69" s="14" t="s">
        <v>1565</v>
      </c>
      <c r="D69" s="14" t="s">
        <v>1566</v>
      </c>
      <c r="E69" s="15">
        <v>45904.0</v>
      </c>
      <c r="F69" s="21">
        <v>1.0</v>
      </c>
      <c r="G69" s="21">
        <v>0.0</v>
      </c>
      <c r="H69" s="17" t="s">
        <v>214</v>
      </c>
      <c r="I69" s="15">
        <f t="shared" ref="I69:I74" si="9">I68</f>
        <v>45128</v>
      </c>
      <c r="J69" s="19">
        <v>45988.0</v>
      </c>
    </row>
    <row r="70">
      <c r="A70" s="5">
        <v>69.0</v>
      </c>
      <c r="B70" s="6" t="str">
        <f>VLOOKUP(A70,vaccines!A:B,2)</f>
        <v>Klesh_E_Vac_0_25</v>
      </c>
      <c r="C70" s="14" t="s">
        <v>1567</v>
      </c>
      <c r="D70" s="14" t="s">
        <v>1568</v>
      </c>
      <c r="E70" s="15">
        <v>45904.0</v>
      </c>
      <c r="F70" s="21">
        <v>1.0</v>
      </c>
      <c r="G70" s="21">
        <v>0.0</v>
      </c>
      <c r="H70" s="17" t="s">
        <v>214</v>
      </c>
      <c r="I70" s="15">
        <f t="shared" si="9"/>
        <v>45128</v>
      </c>
      <c r="J70" s="19">
        <v>45988.0</v>
      </c>
    </row>
    <row r="71">
      <c r="A71" s="5">
        <v>70.0</v>
      </c>
      <c r="B71" s="6" t="str">
        <f>VLOOKUP(A71,vaccines!A:B,2)</f>
        <v>EnceVir_0_5</v>
      </c>
      <c r="C71" s="14" t="s">
        <v>1569</v>
      </c>
      <c r="D71" s="14" t="s">
        <v>1570</v>
      </c>
      <c r="E71" s="15">
        <v>45510.0</v>
      </c>
      <c r="F71" s="33">
        <v>1.0</v>
      </c>
      <c r="G71" s="33">
        <v>0.0</v>
      </c>
      <c r="H71" s="47" t="s">
        <v>1571</v>
      </c>
      <c r="I71" s="15">
        <f t="shared" si="9"/>
        <v>45128</v>
      </c>
      <c r="J71" s="19">
        <v>45589.0</v>
      </c>
    </row>
    <row r="72">
      <c r="A72" s="5">
        <v>71.0</v>
      </c>
      <c r="B72" s="6" t="str">
        <f>VLOOKUP(A72,vaccines!A:B,2)</f>
        <v>EnceVir_Neo_kids</v>
      </c>
      <c r="C72" s="14" t="s">
        <v>1572</v>
      </c>
      <c r="D72" s="14" t="s">
        <v>1573</v>
      </c>
      <c r="E72" s="15">
        <v>45520.0</v>
      </c>
      <c r="F72" s="33">
        <v>1.0</v>
      </c>
      <c r="G72" s="33">
        <v>0.0</v>
      </c>
      <c r="H72" s="47" t="s">
        <v>1574</v>
      </c>
      <c r="I72" s="15">
        <f t="shared" si="9"/>
        <v>45128</v>
      </c>
      <c r="J72" s="19">
        <v>45589.0</v>
      </c>
    </row>
    <row r="73">
      <c r="A73" s="5">
        <v>72.0</v>
      </c>
      <c r="B73" s="6" t="str">
        <f>VLOOKUP(A73,vaccines!A:B,2)</f>
        <v>TBE_Chumakov_lyo</v>
      </c>
      <c r="C73" s="14" t="s">
        <v>1575</v>
      </c>
      <c r="D73" s="14" t="s">
        <v>1576</v>
      </c>
      <c r="E73" s="15">
        <v>45727.0</v>
      </c>
      <c r="F73" s="21">
        <v>1.0</v>
      </c>
      <c r="G73" s="21">
        <v>0.0</v>
      </c>
      <c r="H73" s="17" t="s">
        <v>225</v>
      </c>
      <c r="I73" s="15">
        <f t="shared" si="9"/>
        <v>45128</v>
      </c>
      <c r="J73" s="19">
        <v>45750.0</v>
      </c>
    </row>
    <row r="74">
      <c r="A74" s="5">
        <v>73.0</v>
      </c>
      <c r="B74" s="6" t="str">
        <f>VLOOKUP(A74,vaccines!A:B,2)</f>
        <v>Varilrix</v>
      </c>
      <c r="C74" s="14" t="s">
        <v>1577</v>
      </c>
      <c r="D74" s="14" t="s">
        <v>1578</v>
      </c>
      <c r="E74" s="15">
        <v>45439.0</v>
      </c>
      <c r="F74" s="21">
        <v>1.0</v>
      </c>
      <c r="G74" s="21">
        <v>0.0</v>
      </c>
      <c r="H74" s="17" t="s">
        <v>228</v>
      </c>
      <c r="I74" s="15">
        <f t="shared" si="9"/>
        <v>45128</v>
      </c>
      <c r="J74" s="31">
        <v>45830.0</v>
      </c>
    </row>
    <row r="75">
      <c r="A75" s="5">
        <v>74.0</v>
      </c>
      <c r="B75" s="6" t="str">
        <f>VLOOKUP(A75,vaccines!A:B,2)</f>
        <v>YF_Chumakov_lyo</v>
      </c>
      <c r="C75" s="14" t="s">
        <v>1579</v>
      </c>
      <c r="D75" s="14" t="s">
        <v>1580</v>
      </c>
      <c r="E75" s="22">
        <v>44540.0</v>
      </c>
      <c r="F75" s="23">
        <v>1.0</v>
      </c>
      <c r="G75" s="23">
        <v>0.0</v>
      </c>
      <c r="H75" s="25" t="s">
        <v>231</v>
      </c>
      <c r="I75" s="22">
        <v>45129.0</v>
      </c>
      <c r="J75" s="10"/>
    </row>
    <row r="76">
      <c r="A76" s="5">
        <v>75.0</v>
      </c>
      <c r="B76" s="6" t="str">
        <f>VLOOKUP(A76,vaccines!A:B,2)</f>
        <v>tularemia_Microgen</v>
      </c>
      <c r="C76" s="14" t="s">
        <v>1581</v>
      </c>
      <c r="D76" s="14" t="s">
        <v>1582</v>
      </c>
      <c r="E76" s="15">
        <v>45562.0</v>
      </c>
      <c r="F76" s="33">
        <v>1.0</v>
      </c>
      <c r="G76" s="33">
        <v>0.0</v>
      </c>
      <c r="H76" s="35" t="s">
        <v>1583</v>
      </c>
      <c r="I76" s="15">
        <f>I75</f>
        <v>45129</v>
      </c>
      <c r="J76" s="19">
        <v>45589.0</v>
      </c>
    </row>
    <row r="77">
      <c r="A77" s="5">
        <v>76.0</v>
      </c>
      <c r="B77" s="6" t="str">
        <f>VLOOKUP(A77,vaccines!A:B,2)</f>
        <v>plague_molecular_lyo_RPN</v>
      </c>
      <c r="C77" s="14" t="s">
        <v>1584</v>
      </c>
      <c r="D77" s="14" t="s">
        <v>1585</v>
      </c>
      <c r="E77" s="22">
        <v>43209.0</v>
      </c>
      <c r="F77" s="23">
        <v>1.0</v>
      </c>
      <c r="G77" s="23">
        <v>0.0</v>
      </c>
      <c r="H77" s="25" t="s">
        <v>237</v>
      </c>
      <c r="I77" s="22">
        <v>45129.0</v>
      </c>
      <c r="J77" s="10"/>
      <c r="K77" s="20" t="s">
        <v>18</v>
      </c>
    </row>
    <row r="78">
      <c r="A78" s="5">
        <v>77.0</v>
      </c>
      <c r="B78" s="6" t="str">
        <f>VLOOKUP(A78,vaccines!A:B,2)</f>
        <v>plague_live_lyo_48_NII_Minoborony</v>
      </c>
      <c r="C78" s="14" t="s">
        <v>1586</v>
      </c>
      <c r="D78" s="14" t="s">
        <v>1587</v>
      </c>
      <c r="E78" s="22">
        <v>40675.0</v>
      </c>
      <c r="F78" s="23">
        <v>1.0</v>
      </c>
      <c r="G78" s="23">
        <v>0.0</v>
      </c>
      <c r="H78" s="25" t="s">
        <v>675</v>
      </c>
      <c r="I78" s="22">
        <v>45129.0</v>
      </c>
      <c r="J78" s="10"/>
    </row>
    <row r="79">
      <c r="A79" s="5">
        <v>78.0</v>
      </c>
      <c r="B79" s="6" t="str">
        <f>VLOOKUP(A79,vaccines!A:B,2)</f>
        <v>plague_live_tablets_48_NII_Minoborony</v>
      </c>
      <c r="C79" s="14" t="s">
        <v>1588</v>
      </c>
      <c r="D79" s="14" t="s">
        <v>1589</v>
      </c>
      <c r="E79" s="22">
        <v>40126.0</v>
      </c>
      <c r="F79" s="23">
        <v>1.0</v>
      </c>
      <c r="G79" s="23">
        <v>0.0</v>
      </c>
      <c r="H79" s="25" t="s">
        <v>676</v>
      </c>
      <c r="I79" s="22">
        <v>45129.0</v>
      </c>
      <c r="J79" s="10"/>
    </row>
    <row r="80">
      <c r="A80" s="5">
        <v>79.0</v>
      </c>
      <c r="B80" s="6" t="str">
        <f>VLOOKUP(A80,vaccines!A:B,2)</f>
        <v>plague_live_lyo_RPN</v>
      </c>
      <c r="C80" s="14" t="s">
        <v>1590</v>
      </c>
      <c r="D80" s="14" t="s">
        <v>1591</v>
      </c>
      <c r="E80" s="22">
        <v>44158.0</v>
      </c>
      <c r="F80" s="23">
        <v>1.0</v>
      </c>
      <c r="G80" s="23">
        <v>0.0</v>
      </c>
      <c r="H80" s="24" t="s">
        <v>246</v>
      </c>
      <c r="I80" s="22">
        <v>45129.0</v>
      </c>
      <c r="J80" s="10"/>
    </row>
    <row r="81">
      <c r="A81" s="5">
        <v>80.0</v>
      </c>
      <c r="B81" s="6" t="str">
        <f>VLOOKUP(A81,vaccines!A:B,2)</f>
        <v>brucellosis_therapeutic_48_NII_Minoborony</v>
      </c>
      <c r="C81" s="30" t="s">
        <v>1592</v>
      </c>
      <c r="D81" s="30" t="s">
        <v>1593</v>
      </c>
      <c r="E81" s="22">
        <v>40263.0</v>
      </c>
      <c r="F81" s="23">
        <v>1.0</v>
      </c>
      <c r="G81" s="23">
        <v>0.0</v>
      </c>
      <c r="H81" s="25" t="s">
        <v>679</v>
      </c>
      <c r="I81" s="22">
        <v>45130.0</v>
      </c>
      <c r="J81" s="10"/>
    </row>
    <row r="82">
      <c r="A82" s="5">
        <v>81.0</v>
      </c>
      <c r="B82" s="6" t="str">
        <f>VLOOKUP(A82,vaccines!A:B,2)</f>
        <v>brucellosis_prophylactic_Microgen</v>
      </c>
      <c r="C82" s="14" t="s">
        <v>1594</v>
      </c>
      <c r="D82" s="14" t="s">
        <v>1595</v>
      </c>
      <c r="E82" s="15">
        <v>45743.0</v>
      </c>
      <c r="F82" s="21">
        <v>1.0</v>
      </c>
      <c r="G82" s="21">
        <v>0.0</v>
      </c>
      <c r="H82" s="17" t="s">
        <v>252</v>
      </c>
      <c r="I82" s="15">
        <f>I81</f>
        <v>45130</v>
      </c>
      <c r="J82" s="19">
        <v>45798.0</v>
      </c>
    </row>
    <row r="83">
      <c r="A83" s="5">
        <v>82.0</v>
      </c>
      <c r="B83" s="6" t="str">
        <f>VLOOKUP(A83,vaccines!A:B,2)</f>
        <v>anthrax_live_48_NII_Minoborony</v>
      </c>
      <c r="C83" s="14" t="s">
        <v>1596</v>
      </c>
      <c r="D83" s="14" t="s">
        <v>1597</v>
      </c>
      <c r="E83" s="22">
        <v>43754.0</v>
      </c>
      <c r="F83" s="23">
        <v>1.0</v>
      </c>
      <c r="G83" s="23">
        <v>0.0</v>
      </c>
      <c r="H83" s="24" t="s">
        <v>255</v>
      </c>
      <c r="I83" s="22">
        <v>45130.0</v>
      </c>
      <c r="J83" s="10"/>
    </row>
    <row r="84">
      <c r="A84" s="5">
        <v>83.0</v>
      </c>
      <c r="B84" s="6" t="str">
        <f>VLOOKUP(A84,vaccines!A:B,2)</f>
        <v>anthrax_combined_48_NII_Minoborony</v>
      </c>
      <c r="C84" s="14" t="s">
        <v>1598</v>
      </c>
      <c r="D84" s="14" t="s">
        <v>1599</v>
      </c>
      <c r="E84" s="22">
        <v>39773.0</v>
      </c>
      <c r="F84" s="23">
        <v>1.0</v>
      </c>
      <c r="G84" s="23">
        <v>0.0</v>
      </c>
      <c r="H84" s="24" t="s">
        <v>684</v>
      </c>
      <c r="I84" s="22">
        <v>45130.0</v>
      </c>
      <c r="J84" s="10"/>
    </row>
    <row r="85">
      <c r="A85" s="5">
        <v>84.0</v>
      </c>
      <c r="B85" s="6" t="str">
        <f>VLOOKUP(A85,vaccines!A:B,2)</f>
        <v>Rabipur</v>
      </c>
      <c r="C85" s="14" t="s">
        <v>1600</v>
      </c>
      <c r="D85" s="14" t="s">
        <v>1601</v>
      </c>
      <c r="E85" s="22">
        <v>42996.0</v>
      </c>
      <c r="F85" s="23">
        <v>1.0</v>
      </c>
      <c r="G85" s="23">
        <v>0.0</v>
      </c>
      <c r="H85" s="25" t="s">
        <v>261</v>
      </c>
      <c r="I85" s="22">
        <v>45130.0</v>
      </c>
      <c r="J85" s="10"/>
    </row>
    <row r="86">
      <c r="A86" s="5">
        <v>85.0</v>
      </c>
      <c r="B86" s="6" t="str">
        <f>VLOOKUP(A86,vaccines!A:B,2)</f>
        <v>leptospirosis_Rostov_NII</v>
      </c>
      <c r="C86" s="14" t="s">
        <v>1602</v>
      </c>
      <c r="D86" s="14" t="s">
        <v>1603</v>
      </c>
      <c r="E86" s="22">
        <v>43881.0</v>
      </c>
      <c r="F86" s="23">
        <v>1.0</v>
      </c>
      <c r="G86" s="23">
        <v>0.0</v>
      </c>
      <c r="H86" s="24" t="s">
        <v>264</v>
      </c>
      <c r="I86" s="22">
        <v>45130.0</v>
      </c>
      <c r="J86" s="10"/>
    </row>
    <row r="87">
      <c r="A87" s="5">
        <v>86.0</v>
      </c>
      <c r="B87" s="6" t="str">
        <f>VLOOKUP(A87,vaccines!A:B,2)</f>
        <v>Q_fever_M_44_Microgen</v>
      </c>
      <c r="C87" s="14" t="s">
        <v>1604</v>
      </c>
      <c r="D87" s="14" t="s">
        <v>1605</v>
      </c>
      <c r="E87" s="15">
        <v>45691.0</v>
      </c>
      <c r="F87" s="21">
        <v>1.0</v>
      </c>
      <c r="G87" s="21">
        <v>0.0</v>
      </c>
      <c r="H87" s="17" t="s">
        <v>267</v>
      </c>
      <c r="I87" s="15">
        <f>I86</f>
        <v>45130</v>
      </c>
      <c r="J87" s="19">
        <v>45716.0</v>
      </c>
      <c r="K87" s="20" t="s">
        <v>18</v>
      </c>
    </row>
    <row r="88">
      <c r="A88" s="5">
        <v>87.0</v>
      </c>
      <c r="B88" s="6" t="str">
        <f>VLOOKUP(A88,vaccines!A:B,2)</f>
        <v>cholera_NII_Microb</v>
      </c>
      <c r="C88" s="14" t="s">
        <v>1606</v>
      </c>
      <c r="D88" s="14" t="s">
        <v>1607</v>
      </c>
      <c r="E88" s="22">
        <v>44705.0</v>
      </c>
      <c r="F88" s="23">
        <v>1.0</v>
      </c>
      <c r="G88" s="23">
        <v>0.0</v>
      </c>
      <c r="H88" s="25" t="s">
        <v>270</v>
      </c>
      <c r="I88" s="22">
        <v>45130.0</v>
      </c>
      <c r="J88" s="10"/>
    </row>
    <row r="89">
      <c r="A89" s="5">
        <v>88.0</v>
      </c>
      <c r="B89" s="6" t="str">
        <f>VLOOKUP(A89,vaccines!A:B,2)</f>
        <v>Vianvac</v>
      </c>
      <c r="C89" s="14" t="s">
        <v>1608</v>
      </c>
      <c r="D89" s="14" t="s">
        <v>1609</v>
      </c>
      <c r="E89" s="15">
        <v>46036.0</v>
      </c>
      <c r="F89" s="21">
        <v>1.0</v>
      </c>
      <c r="G89" s="21">
        <v>0.0</v>
      </c>
      <c r="H89" s="17" t="s">
        <v>273</v>
      </c>
      <c r="I89" s="15">
        <f>I88</f>
        <v>45130</v>
      </c>
      <c r="J89" s="19">
        <v>46130.0</v>
      </c>
    </row>
    <row r="90">
      <c r="A90" s="5">
        <v>89.0</v>
      </c>
      <c r="B90" s="6" t="str">
        <f>VLOOKUP(A90,vaccines!A:B,2)</f>
        <v>Typhivac</v>
      </c>
      <c r="C90" s="14" t="s">
        <v>1610</v>
      </c>
      <c r="D90" s="14" t="s">
        <v>1611</v>
      </c>
      <c r="E90" s="22">
        <v>42762.0</v>
      </c>
      <c r="F90" s="23">
        <v>1.0</v>
      </c>
      <c r="G90" s="23">
        <v>0.0</v>
      </c>
      <c r="H90" s="24" t="s">
        <v>276</v>
      </c>
      <c r="I90" s="22">
        <v>45130.0</v>
      </c>
      <c r="J90" s="10"/>
    </row>
    <row r="91">
      <c r="A91" s="5">
        <v>90.0</v>
      </c>
      <c r="B91" s="6" t="str">
        <f>VLOOKUP(A91,vaccines!A:B,2)</f>
        <v>Shigellvac</v>
      </c>
      <c r="C91" s="14" t="s">
        <v>1612</v>
      </c>
      <c r="D91" s="14" t="s">
        <v>1613</v>
      </c>
      <c r="E91" s="15">
        <v>46015.0</v>
      </c>
      <c r="F91" s="21">
        <v>1.0</v>
      </c>
      <c r="G91" s="21">
        <v>0.0</v>
      </c>
      <c r="H91" s="17" t="s">
        <v>279</v>
      </c>
      <c r="I91" s="15">
        <f>I90</f>
        <v>45130</v>
      </c>
      <c r="J91" s="19">
        <v>46130.0</v>
      </c>
    </row>
    <row r="92">
      <c r="A92" s="5">
        <v>91.0</v>
      </c>
      <c r="B92" s="6" t="str">
        <f>VLOOKUP(A92,vaccines!A:B,2)</f>
        <v>CoviVac</v>
      </c>
      <c r="C92" s="14" t="s">
        <v>1614</v>
      </c>
      <c r="D92" s="14" t="s">
        <v>1615</v>
      </c>
      <c r="E92" s="22">
        <v>44246.0</v>
      </c>
      <c r="F92" s="23">
        <v>1.0</v>
      </c>
      <c r="G92" s="23">
        <v>0.0</v>
      </c>
      <c r="H92" s="25" t="s">
        <v>697</v>
      </c>
      <c r="I92" s="22">
        <v>45130.0</v>
      </c>
      <c r="J92" s="10"/>
    </row>
    <row r="93">
      <c r="A93" s="5">
        <v>92.0</v>
      </c>
      <c r="B93" s="6" t="str">
        <f>VLOOKUP(A93,vaccines!A:B,2)</f>
        <v>Sputnik_light</v>
      </c>
      <c r="C93" s="14" t="s">
        <v>1616</v>
      </c>
      <c r="D93" s="14" t="s">
        <v>1617</v>
      </c>
      <c r="E93" s="15">
        <v>45810.0</v>
      </c>
      <c r="F93" s="21">
        <v>1.0</v>
      </c>
      <c r="G93" s="21">
        <v>0.0</v>
      </c>
      <c r="H93" s="17" t="s">
        <v>285</v>
      </c>
      <c r="I93" s="15">
        <f>I92</f>
        <v>45130</v>
      </c>
      <c r="J93" s="19">
        <v>45830.0</v>
      </c>
    </row>
    <row r="94">
      <c r="A94" s="5">
        <v>93.0</v>
      </c>
      <c r="B94" s="6" t="str">
        <f>VLOOKUP(A94,vaccines!A:B,2)</f>
        <v>Sputnik_M</v>
      </c>
      <c r="C94" s="14" t="s">
        <v>1618</v>
      </c>
      <c r="D94" s="14" t="s">
        <v>1619</v>
      </c>
      <c r="E94" s="22">
        <v>44655.0</v>
      </c>
      <c r="F94" s="23">
        <v>2.0</v>
      </c>
      <c r="G94" s="23">
        <v>2.0</v>
      </c>
      <c r="H94" s="25" t="s">
        <v>1620</v>
      </c>
      <c r="I94" s="22">
        <v>45130.0</v>
      </c>
      <c r="J94" s="10"/>
    </row>
    <row r="95">
      <c r="A95" s="5">
        <v>94.0</v>
      </c>
      <c r="B95" s="6" t="str">
        <f>VLOOKUP(A95,vaccines!A:B,2)</f>
        <v>Convacel</v>
      </c>
      <c r="C95" s="14" t="s">
        <v>1621</v>
      </c>
      <c r="D95" s="14" t="s">
        <v>1622</v>
      </c>
      <c r="E95" s="15">
        <v>46009.0</v>
      </c>
      <c r="F95" s="21">
        <v>1.0</v>
      </c>
      <c r="G95" s="21">
        <v>0.0</v>
      </c>
      <c r="H95" s="17" t="s">
        <v>291</v>
      </c>
      <c r="I95" s="15">
        <f>I94</f>
        <v>45130</v>
      </c>
      <c r="J95" s="19">
        <v>46053.0</v>
      </c>
    </row>
    <row r="96">
      <c r="A96" s="5">
        <v>95.0</v>
      </c>
      <c r="B96" s="6" t="str">
        <f>VLOOKUP(A96,vaccines!A:B,2)</f>
        <v>Aurora</v>
      </c>
      <c r="C96" s="14" t="s">
        <v>1623</v>
      </c>
      <c r="D96" s="14" t="s">
        <v>1624</v>
      </c>
      <c r="E96" s="22">
        <v>44434.0</v>
      </c>
      <c r="F96" s="23">
        <v>1.0</v>
      </c>
      <c r="G96" s="23">
        <v>0.0</v>
      </c>
      <c r="H96" s="25" t="s">
        <v>294</v>
      </c>
      <c r="I96" s="22">
        <v>45130.0</v>
      </c>
      <c r="J96" s="10"/>
    </row>
    <row r="97">
      <c r="A97" s="5">
        <v>96.0</v>
      </c>
      <c r="B97" s="6" t="str">
        <f>VLOOKUP(A97,vaccines!A:B,2)</f>
        <v>Rota_V_Aid</v>
      </c>
      <c r="C97" s="14" t="s">
        <v>1625</v>
      </c>
      <c r="D97" s="14" t="s">
        <v>1626</v>
      </c>
      <c r="E97" s="15">
        <v>45594.0</v>
      </c>
      <c r="F97" s="33">
        <v>1.0</v>
      </c>
      <c r="G97" s="33">
        <v>0.0</v>
      </c>
      <c r="H97" s="35" t="s">
        <v>1627</v>
      </c>
      <c r="I97" s="15">
        <f>I96</f>
        <v>45130</v>
      </c>
      <c r="J97" s="15">
        <v>45629.0</v>
      </c>
      <c r="K97" s="20" t="s">
        <v>18</v>
      </c>
    </row>
    <row r="98">
      <c r="A98" s="5">
        <v>97.0</v>
      </c>
      <c r="B98" s="6" t="str">
        <f>VLOOKUP(A98,vaccines!A:B,2)</f>
        <v>Hib_Rostov</v>
      </c>
      <c r="C98" s="14" t="s">
        <v>1602</v>
      </c>
      <c r="D98" s="14" t="s">
        <v>1603</v>
      </c>
      <c r="E98" s="22">
        <v>42577.0</v>
      </c>
      <c r="F98" s="23">
        <v>1.0</v>
      </c>
      <c r="G98" s="23">
        <v>0.0</v>
      </c>
      <c r="H98" s="24" t="s">
        <v>300</v>
      </c>
      <c r="I98" s="22">
        <v>45130.0</v>
      </c>
      <c r="J98" s="10"/>
    </row>
    <row r="99">
      <c r="A99" s="5">
        <v>98.0</v>
      </c>
      <c r="B99" s="6" t="str">
        <f>VLOOKUP(A99,vaccines!A:B,2)</f>
        <v>HepB_Combiotech_1_0</v>
      </c>
      <c r="C99" s="14" t="s">
        <v>1467</v>
      </c>
      <c r="D99" s="14" t="s">
        <v>1468</v>
      </c>
      <c r="E99" s="15">
        <v>46056.0</v>
      </c>
      <c r="F99" s="21">
        <v>1.0</v>
      </c>
      <c r="G99" s="21">
        <v>0.0</v>
      </c>
      <c r="H99" s="17" t="s">
        <v>84</v>
      </c>
      <c r="I99" s="15">
        <f t="shared" ref="I99:I101" si="10">I98</f>
        <v>45130</v>
      </c>
      <c r="J99" s="19">
        <v>46130.0</v>
      </c>
    </row>
    <row r="100">
      <c r="A100" s="5">
        <v>99.0</v>
      </c>
      <c r="B100" s="6" t="str">
        <f>VLOOKUP(A100,vaccines!A:B,2)</f>
        <v>Regevac_1_0</v>
      </c>
      <c r="C100" s="14" t="s">
        <v>1628</v>
      </c>
      <c r="D100" s="14" t="s">
        <v>1629</v>
      </c>
      <c r="E100" s="15">
        <v>45216.0</v>
      </c>
      <c r="F100" s="21">
        <v>1.0</v>
      </c>
      <c r="G100" s="21">
        <v>0.0</v>
      </c>
      <c r="H100" s="17" t="s">
        <v>81</v>
      </c>
      <c r="I100" s="15">
        <f t="shared" si="10"/>
        <v>45130</v>
      </c>
      <c r="J100" s="19">
        <v>45988.0</v>
      </c>
    </row>
    <row r="101">
      <c r="A101" s="5">
        <v>100.0</v>
      </c>
      <c r="B101" s="6" t="str">
        <f>VLOOKUP(A101,vaccines!A:B,2)</f>
        <v>Priorix_Tetra</v>
      </c>
      <c r="C101" s="14" t="s">
        <v>1630</v>
      </c>
      <c r="D101" s="14" t="s">
        <v>1631</v>
      </c>
      <c r="E101" s="15">
        <v>45453.0</v>
      </c>
      <c r="F101" s="33">
        <v>1.0</v>
      </c>
      <c r="G101" s="33">
        <v>0.0</v>
      </c>
      <c r="H101" s="35" t="s">
        <v>1632</v>
      </c>
      <c r="I101" s="15">
        <f t="shared" si="10"/>
        <v>45130</v>
      </c>
      <c r="J101" s="19">
        <v>45510.0</v>
      </c>
    </row>
    <row r="102">
      <c r="A102" s="5">
        <v>101.0</v>
      </c>
      <c r="B102" s="6" t="str">
        <f>VLOOKUP(A102,vaccines!A:B,2)</f>
        <v>Menveo</v>
      </c>
      <c r="C102" s="14" t="s">
        <v>1633</v>
      </c>
      <c r="D102" s="14" t="s">
        <v>1634</v>
      </c>
      <c r="E102" s="22">
        <v>42958.0</v>
      </c>
      <c r="F102" s="23">
        <v>1.0</v>
      </c>
      <c r="G102" s="23">
        <v>0.0</v>
      </c>
      <c r="H102" s="25" t="s">
        <v>715</v>
      </c>
      <c r="I102" s="22">
        <v>45130.0</v>
      </c>
      <c r="J102" s="10"/>
    </row>
    <row r="103">
      <c r="A103" s="5">
        <v>102.0</v>
      </c>
      <c r="B103" s="6" t="str">
        <f>VLOOKUP(A103,vaccines!A:B,2)</f>
        <v>Sputnik_intranasal</v>
      </c>
      <c r="C103" s="14" t="s">
        <v>1635</v>
      </c>
      <c r="D103" s="14" t="s">
        <v>1636</v>
      </c>
      <c r="E103" s="22">
        <v>44651.0</v>
      </c>
      <c r="F103" s="23">
        <v>1.0</v>
      </c>
      <c r="G103" s="23">
        <v>0.0</v>
      </c>
      <c r="H103" s="25" t="s">
        <v>313</v>
      </c>
      <c r="I103" s="22">
        <v>45130.0</v>
      </c>
      <c r="J103" s="10"/>
    </row>
    <row r="104">
      <c r="A104" s="5">
        <v>103.0</v>
      </c>
      <c r="B104" s="6" t="str">
        <f>VLOOKUP(A104,vaccines!A:B,2)</f>
        <v>Grippol_plus_0_25</v>
      </c>
      <c r="C104" s="14" t="s">
        <v>1637</v>
      </c>
      <c r="D104" s="14" t="s">
        <v>1489</v>
      </c>
      <c r="E104" s="18">
        <v>45589.0</v>
      </c>
      <c r="F104" s="33">
        <v>1.0</v>
      </c>
      <c r="G104" s="33">
        <v>0.0</v>
      </c>
      <c r="H104" s="35" t="s">
        <v>1490</v>
      </c>
      <c r="I104" s="22">
        <v>45122.0</v>
      </c>
      <c r="J104" s="22">
        <v>45992.0</v>
      </c>
    </row>
    <row r="105">
      <c r="A105" s="5">
        <v>104.0</v>
      </c>
      <c r="B105" s="6" t="str">
        <f>VLOOKUP(A105,vaccines!A:B,2)</f>
        <v>Flu_M_Tetra</v>
      </c>
      <c r="C105" s="14" t="s">
        <v>1638</v>
      </c>
      <c r="D105" s="14" t="s">
        <v>1639</v>
      </c>
      <c r="E105" s="15">
        <v>45741.0</v>
      </c>
      <c r="F105" s="21">
        <v>1.0</v>
      </c>
      <c r="G105" s="21">
        <v>0.0</v>
      </c>
      <c r="H105" s="17" t="s">
        <v>318</v>
      </c>
      <c r="I105" s="15">
        <f t="shared" ref="I105:I106" si="11">I104</f>
        <v>45122</v>
      </c>
      <c r="J105" s="19">
        <v>45798.0</v>
      </c>
    </row>
    <row r="106">
      <c r="A106" s="5">
        <v>105.0</v>
      </c>
      <c r="B106" s="6" t="str">
        <f>VLOOKUP(A106,vaccines!A:B,2)</f>
        <v>Vaxigrip_Tetra</v>
      </c>
      <c r="C106" s="14" t="s">
        <v>1640</v>
      </c>
      <c r="D106" s="14" t="s">
        <v>1641</v>
      </c>
      <c r="E106" s="15">
        <v>45300.0</v>
      </c>
      <c r="F106" s="33">
        <v>1.0</v>
      </c>
      <c r="G106" s="33">
        <v>0.0</v>
      </c>
      <c r="H106" s="35" t="s">
        <v>1642</v>
      </c>
      <c r="I106" s="15">
        <f t="shared" si="11"/>
        <v>45122</v>
      </c>
      <c r="J106" s="19">
        <v>45489.0</v>
      </c>
    </row>
    <row r="107">
      <c r="A107" s="5">
        <v>106.0</v>
      </c>
      <c r="B107" s="6" t="str">
        <f>VLOOKUP(A107,vaccines!A:B,2)</f>
        <v>Ocavax</v>
      </c>
      <c r="C107" s="14" t="s">
        <v>1643</v>
      </c>
      <c r="D107" s="14" t="s">
        <v>1644</v>
      </c>
      <c r="E107" s="22">
        <v>40233.0</v>
      </c>
      <c r="F107" s="23">
        <v>1.0</v>
      </c>
      <c r="G107" s="23">
        <v>0.0</v>
      </c>
      <c r="H107" s="25" t="s">
        <v>324</v>
      </c>
      <c r="I107" s="22">
        <v>45130.0</v>
      </c>
      <c r="J107" s="10"/>
      <c r="K107" s="20" t="s">
        <v>18</v>
      </c>
    </row>
    <row r="108">
      <c r="A108" s="5">
        <v>107.0</v>
      </c>
      <c r="B108" s="6" t="str">
        <f>VLOOKUP(A108,vaccines!A:B,2)</f>
        <v>Pneumo_23</v>
      </c>
      <c r="C108" s="14" t="s">
        <v>1645</v>
      </c>
      <c r="D108" s="14" t="s">
        <v>1646</v>
      </c>
      <c r="E108" s="22">
        <v>41688.0</v>
      </c>
      <c r="F108" s="23">
        <v>1.0</v>
      </c>
      <c r="G108" s="23">
        <v>0.0</v>
      </c>
      <c r="H108" s="25" t="s">
        <v>327</v>
      </c>
      <c r="I108" s="22">
        <v>45130.0</v>
      </c>
      <c r="J108" s="10"/>
    </row>
    <row r="109">
      <c r="A109" s="5">
        <v>108.0</v>
      </c>
      <c r="B109" s="6" t="str">
        <f>VLOOKUP(A109,vaccines!A:B,2)</f>
        <v>Varivax</v>
      </c>
      <c r="C109" s="14" t="s">
        <v>1647</v>
      </c>
      <c r="D109" s="14" t="s">
        <v>1648</v>
      </c>
      <c r="E109" s="15">
        <v>45126.0</v>
      </c>
      <c r="F109" s="33">
        <v>1.0</v>
      </c>
      <c r="G109" s="33">
        <v>0.0</v>
      </c>
      <c r="H109" s="35" t="s">
        <v>1649</v>
      </c>
      <c r="I109" s="22">
        <v>45131.0</v>
      </c>
      <c r="J109" s="19">
        <v>45489.0</v>
      </c>
    </row>
    <row r="110">
      <c r="A110" s="5">
        <v>109.0</v>
      </c>
      <c r="B110" s="6" t="str">
        <f>VLOOKUP(A110,vaccines!A:B,2)</f>
        <v>Pneumotex</v>
      </c>
      <c r="C110" s="14" t="s">
        <v>1650</v>
      </c>
      <c r="D110" s="14" t="s">
        <v>1651</v>
      </c>
      <c r="E110" s="15">
        <v>45777.0</v>
      </c>
      <c r="F110" s="21">
        <v>1.0</v>
      </c>
      <c r="G110" s="21">
        <v>0.0</v>
      </c>
      <c r="H110" s="17" t="s">
        <v>333</v>
      </c>
      <c r="I110" s="22">
        <v>45131.0</v>
      </c>
      <c r="J110" s="19">
        <v>45818.0</v>
      </c>
    </row>
    <row r="111">
      <c r="A111" s="5">
        <v>110.0</v>
      </c>
      <c r="B111" s="6" t="str">
        <f>VLOOKUP(A111,vaccines!A:B,2)</f>
        <v>Priorix</v>
      </c>
      <c r="C111" s="14" t="s">
        <v>1652</v>
      </c>
      <c r="D111" s="14" t="s">
        <v>1653</v>
      </c>
      <c r="E111" s="22">
        <v>42206.0</v>
      </c>
      <c r="F111" s="23">
        <v>4.0</v>
      </c>
      <c r="G111" s="23">
        <v>5.0</v>
      </c>
      <c r="H111" s="25" t="s">
        <v>1654</v>
      </c>
      <c r="I111" s="23" t="s">
        <v>1655</v>
      </c>
      <c r="J111" s="10"/>
    </row>
    <row r="112">
      <c r="A112" s="5">
        <v>111.0</v>
      </c>
      <c r="B112" s="6" t="str">
        <f>VLOOKUP(A112,vaccines!A:B,2)</f>
        <v>MenQuadfi</v>
      </c>
      <c r="C112" s="14" t="s">
        <v>1656</v>
      </c>
      <c r="D112" s="14" t="s">
        <v>1657</v>
      </c>
      <c r="E112" s="15">
        <v>45932.0</v>
      </c>
      <c r="F112" s="21">
        <v>1.0</v>
      </c>
      <c r="G112" s="21">
        <v>0.0</v>
      </c>
      <c r="H112" s="17" t="s">
        <v>339</v>
      </c>
      <c r="I112" s="22">
        <v>45131.0</v>
      </c>
      <c r="J112" s="19">
        <v>46072.0</v>
      </c>
    </row>
    <row r="113">
      <c r="A113" s="5">
        <v>112.0</v>
      </c>
      <c r="B113" s="6" t="str">
        <f>VLOOKUP(A113,vaccines!A:B,2)</f>
        <v>Bexsero</v>
      </c>
      <c r="C113" s="14" t="s">
        <v>1658</v>
      </c>
      <c r="D113" s="14" t="s">
        <v>1659</v>
      </c>
      <c r="E113" s="15">
        <v>45391.0</v>
      </c>
      <c r="F113" s="33">
        <v>1.0</v>
      </c>
      <c r="G113" s="33">
        <v>0.0</v>
      </c>
      <c r="H113" s="35" t="s">
        <v>1660</v>
      </c>
      <c r="I113" s="22">
        <v>45131.0</v>
      </c>
      <c r="J113" s="19">
        <v>45489.0</v>
      </c>
    </row>
    <row r="114">
      <c r="A114" s="5">
        <v>113.0</v>
      </c>
      <c r="B114" s="6" t="str">
        <f>VLOOKUP(A114,vaccines!A:B,2)</f>
        <v>Sputnik_D</v>
      </c>
      <c r="C114" s="14" t="s">
        <v>1661</v>
      </c>
      <c r="D114" s="14" t="s">
        <v>1662</v>
      </c>
      <c r="E114" s="22">
        <v>45030.0</v>
      </c>
      <c r="F114" s="23">
        <v>1.0</v>
      </c>
      <c r="G114" s="23">
        <v>0.0</v>
      </c>
      <c r="H114" s="25" t="s">
        <v>345</v>
      </c>
      <c r="I114" s="22">
        <v>45131.0</v>
      </c>
      <c r="J114" s="10"/>
    </row>
    <row r="115">
      <c r="A115" s="5">
        <v>114.0</v>
      </c>
      <c r="B115" s="6" t="str">
        <f>VLOOKUP(A115,vaccines!A:B,2)</f>
        <v>Encepur_0_25</v>
      </c>
      <c r="C115" s="14" t="s">
        <v>1663</v>
      </c>
      <c r="D115" s="14" t="s">
        <v>1664</v>
      </c>
      <c r="E115" s="22">
        <v>40252.0</v>
      </c>
      <c r="F115" s="23">
        <v>1.0</v>
      </c>
      <c r="G115" s="23">
        <v>0.0</v>
      </c>
      <c r="H115" s="24" t="s">
        <v>348</v>
      </c>
      <c r="I115" s="22">
        <v>45131.0</v>
      </c>
      <c r="J115" s="10"/>
    </row>
    <row r="116">
      <c r="A116" s="5">
        <v>115.0</v>
      </c>
      <c r="B116" s="6" t="str">
        <f>VLOOKUP(A116,vaccines!A:B,2)</f>
        <v>Encepur_0_5</v>
      </c>
      <c r="C116" s="14" t="s">
        <v>1665</v>
      </c>
      <c r="D116" s="14" t="s">
        <v>1666</v>
      </c>
      <c r="E116" s="22">
        <v>39878.0</v>
      </c>
      <c r="F116" s="23">
        <v>1.0</v>
      </c>
      <c r="G116" s="23">
        <v>0.0</v>
      </c>
      <c r="H116" s="24" t="s">
        <v>351</v>
      </c>
      <c r="I116" s="22">
        <v>45131.0</v>
      </c>
      <c r="J116" s="10"/>
    </row>
    <row r="117">
      <c r="A117" s="5">
        <v>116.0</v>
      </c>
      <c r="B117" s="6" t="str">
        <f>VLOOKUP(A117,vaccines!A:B,2)</f>
        <v>Poliovaccine</v>
      </c>
      <c r="C117" s="14" t="s">
        <v>1667</v>
      </c>
      <c r="D117" s="14" t="s">
        <v>1668</v>
      </c>
      <c r="E117" s="22">
        <v>44839.0</v>
      </c>
      <c r="F117" s="23">
        <v>2.0</v>
      </c>
      <c r="G117" s="23">
        <v>1.0</v>
      </c>
      <c r="H117" s="25" t="s">
        <v>1669</v>
      </c>
      <c r="I117" s="22">
        <v>45131.0</v>
      </c>
      <c r="J117" s="10"/>
      <c r="K117" s="20" t="s">
        <v>18</v>
      </c>
    </row>
    <row r="118">
      <c r="A118" s="5">
        <v>117.0</v>
      </c>
      <c r="B118" s="6" t="str">
        <f>VLOOKUP(A118,vaccines!A:B,2)</f>
        <v>Act_Hib</v>
      </c>
      <c r="C118" s="14" t="s">
        <v>1670</v>
      </c>
      <c r="D118" s="14" t="s">
        <v>1671</v>
      </c>
      <c r="E118" s="22">
        <v>41936.0</v>
      </c>
      <c r="F118" s="23">
        <v>1.0</v>
      </c>
      <c r="G118" s="23">
        <v>0.0</v>
      </c>
      <c r="H118" s="24" t="s">
        <v>748</v>
      </c>
      <c r="I118" s="22">
        <v>45131.0</v>
      </c>
      <c r="J118" s="10"/>
    </row>
    <row r="119">
      <c r="A119" s="5">
        <v>118.0</v>
      </c>
      <c r="B119" s="6" t="str">
        <f>VLOOKUP(A119,vaccines!A:B,2)</f>
        <v>Hiberix</v>
      </c>
      <c r="C119" s="14" t="s">
        <v>1672</v>
      </c>
      <c r="D119" s="14" t="s">
        <v>1673</v>
      </c>
      <c r="E119" s="22">
        <v>42949.0</v>
      </c>
      <c r="F119" s="23">
        <v>4.0</v>
      </c>
      <c r="G119" s="23">
        <v>6.0</v>
      </c>
      <c r="H119" s="24" t="s">
        <v>1674</v>
      </c>
      <c r="I119" s="22">
        <v>45131.0</v>
      </c>
      <c r="J119" s="10"/>
      <c r="K119" s="20" t="s">
        <v>18</v>
      </c>
    </row>
    <row r="120">
      <c r="A120" s="5">
        <v>119.0</v>
      </c>
      <c r="B120" s="6" t="str">
        <f>VLOOKUP(A120,vaccines!A:B,2)</f>
        <v>FSME_Immun_Junior</v>
      </c>
      <c r="C120" s="14" t="s">
        <v>1675</v>
      </c>
      <c r="D120" s="14" t="s">
        <v>1676</v>
      </c>
      <c r="E120" s="22">
        <v>43115.0</v>
      </c>
      <c r="F120" s="23">
        <v>1.0</v>
      </c>
      <c r="G120" s="23">
        <v>0.0</v>
      </c>
      <c r="H120" s="24" t="s">
        <v>363</v>
      </c>
      <c r="I120" s="22">
        <v>45131.0</v>
      </c>
      <c r="J120" s="10"/>
    </row>
    <row r="121">
      <c r="A121" s="5">
        <v>120.0</v>
      </c>
      <c r="B121" s="6" t="str">
        <f>VLOOKUP(A121,vaccines!A:B,2)</f>
        <v>FSME_Immun</v>
      </c>
      <c r="C121" s="14" t="s">
        <v>1677</v>
      </c>
      <c r="D121" s="14" t="s">
        <v>1678</v>
      </c>
      <c r="E121" s="22">
        <v>44169.0</v>
      </c>
      <c r="F121" s="23">
        <v>1.0</v>
      </c>
      <c r="G121" s="23">
        <v>0.0</v>
      </c>
      <c r="H121" s="24" t="s">
        <v>366</v>
      </c>
      <c r="I121" s="22">
        <v>45131.0</v>
      </c>
      <c r="J121" s="10"/>
    </row>
    <row r="122">
      <c r="A122" s="5">
        <v>121.0</v>
      </c>
      <c r="B122" s="6" t="str">
        <f>VLOOKUP(A122,vaccines!A:B,2)</f>
        <v>SciBiVac</v>
      </c>
      <c r="C122" s="14" t="s">
        <v>1679</v>
      </c>
      <c r="D122" s="14" t="s">
        <v>1680</v>
      </c>
      <c r="E122" s="22">
        <v>44762.0</v>
      </c>
      <c r="F122" s="23">
        <v>1.0</v>
      </c>
      <c r="G122" s="23">
        <v>0.0</v>
      </c>
      <c r="H122" s="25" t="s">
        <v>369</v>
      </c>
      <c r="I122" s="22">
        <v>45131.0</v>
      </c>
      <c r="J122" s="10"/>
    </row>
    <row r="123">
      <c r="A123" s="5">
        <v>122.0</v>
      </c>
      <c r="B123" s="6" t="str">
        <f>VLOOKUP(A123,vaccines!A:B,2)</f>
        <v>Pentavaccina</v>
      </c>
      <c r="C123" s="14" t="s">
        <v>1681</v>
      </c>
      <c r="D123" s="14" t="s">
        <v>1682</v>
      </c>
      <c r="E123" s="19">
        <v>45320.0</v>
      </c>
      <c r="F123" s="33">
        <v>1.0</v>
      </c>
      <c r="G123" s="33">
        <v>0.0</v>
      </c>
      <c r="H123" s="35" t="s">
        <v>1683</v>
      </c>
      <c r="I123" s="22">
        <v>45131.0</v>
      </c>
      <c r="J123" s="19">
        <v>45460.0</v>
      </c>
    </row>
    <row r="124">
      <c r="A124" s="5">
        <v>123.0</v>
      </c>
      <c r="B124" s="6" t="str">
        <f>VLOOKUP(A124,vaccines!A:B,2)</f>
        <v>Vitagerpavac</v>
      </c>
      <c r="C124" s="14" t="s">
        <v>1684</v>
      </c>
      <c r="D124" s="14" t="s">
        <v>1685</v>
      </c>
      <c r="E124" s="22">
        <v>44746.0</v>
      </c>
      <c r="F124" s="23">
        <v>7.0</v>
      </c>
      <c r="G124" s="23">
        <v>6.0</v>
      </c>
      <c r="H124" s="25" t="s">
        <v>1686</v>
      </c>
      <c r="I124" s="22">
        <v>45169.0</v>
      </c>
      <c r="J124" s="10"/>
      <c r="K124" s="20" t="s">
        <v>14</v>
      </c>
    </row>
    <row r="125">
      <c r="A125" s="6">
        <v>124.0</v>
      </c>
      <c r="B125" s="6" t="str">
        <f>VLOOKUP(A125,vaccines!A:B,2)</f>
        <v>Shingrix</v>
      </c>
      <c r="C125" s="14" t="s">
        <v>1687</v>
      </c>
      <c r="D125" s="14" t="s">
        <v>1688</v>
      </c>
      <c r="E125" s="15">
        <v>45440.0</v>
      </c>
      <c r="F125" s="33">
        <v>1.0</v>
      </c>
      <c r="G125" s="33">
        <v>0.0</v>
      </c>
      <c r="H125" s="35" t="s">
        <v>1689</v>
      </c>
      <c r="I125" s="18">
        <v>45447.0</v>
      </c>
      <c r="J125" s="15">
        <v>45589.0</v>
      </c>
    </row>
    <row r="126">
      <c r="A126" s="6">
        <v>125.0</v>
      </c>
      <c r="B126" s="6" t="str">
        <f>VLOOKUP(A126,vaccines!A:B,2)</f>
        <v>Trivaid</v>
      </c>
      <c r="C126" s="14" t="s">
        <v>1690</v>
      </c>
      <c r="D126" s="14" t="s">
        <v>1691</v>
      </c>
      <c r="E126" s="15">
        <v>45996.0</v>
      </c>
      <c r="F126" s="21">
        <v>1.0</v>
      </c>
      <c r="G126" s="21">
        <v>0.0</v>
      </c>
      <c r="H126" s="17" t="s">
        <v>382</v>
      </c>
      <c r="I126" s="15">
        <v>45436.0</v>
      </c>
      <c r="J126" s="15">
        <v>46053.0</v>
      </c>
    </row>
    <row r="127">
      <c r="A127" s="6">
        <v>126.0</v>
      </c>
      <c r="B127" s="6" t="str">
        <f>VLOOKUP(A127,vaccines!A:B,2)</f>
        <v>BabyHib</v>
      </c>
      <c r="C127" s="14" t="s">
        <v>1692</v>
      </c>
      <c r="D127" s="14" t="s">
        <v>1693</v>
      </c>
      <c r="E127" s="15">
        <v>45938.0</v>
      </c>
      <c r="F127" s="21">
        <v>1.0</v>
      </c>
      <c r="G127" s="21">
        <v>0.0</v>
      </c>
      <c r="H127" s="17" t="s">
        <v>385</v>
      </c>
      <c r="I127" s="15">
        <v>45436.0</v>
      </c>
      <c r="J127" s="15">
        <v>45988.0</v>
      </c>
    </row>
    <row r="128">
      <c r="A128" s="6">
        <v>127.0</v>
      </c>
      <c r="B128" s="6" t="str">
        <f>VLOOKUP(A128,vaccines!A:B,2)</f>
        <v>AD_M_Biomed</v>
      </c>
      <c r="C128" s="14" t="s">
        <v>1694</v>
      </c>
      <c r="D128" s="14" t="s">
        <v>1695</v>
      </c>
      <c r="E128" s="31">
        <v>41046.0</v>
      </c>
      <c r="F128" s="5">
        <v>1.0</v>
      </c>
      <c r="G128" s="5">
        <v>0.0</v>
      </c>
      <c r="H128" s="32" t="s">
        <v>388</v>
      </c>
      <c r="I128" s="18">
        <v>45461.0</v>
      </c>
      <c r="J128" s="10"/>
    </row>
    <row r="129">
      <c r="A129" s="6">
        <v>128.0</v>
      </c>
      <c r="B129" s="6" t="str">
        <f>VLOOKUP(A129,vaccines!A:B,2)</f>
        <v>AS_D_Microgen</v>
      </c>
      <c r="C129" s="14" t="s">
        <v>1696</v>
      </c>
      <c r="D129" s="14" t="s">
        <v>1697</v>
      </c>
      <c r="E129" s="15">
        <v>45266.0</v>
      </c>
      <c r="F129" s="33">
        <v>1.0</v>
      </c>
      <c r="G129" s="33">
        <v>0.0</v>
      </c>
      <c r="H129" s="35" t="s">
        <v>1698</v>
      </c>
      <c r="I129" s="18">
        <v>45461.0</v>
      </c>
      <c r="J129" s="10"/>
    </row>
    <row r="130">
      <c r="A130" s="6">
        <v>129.0</v>
      </c>
      <c r="B130" s="6" t="str">
        <f>VLOOKUP(A130,vaccines!A:B,2)</f>
        <v>Variola</v>
      </c>
      <c r="C130" s="14" t="s">
        <v>1699</v>
      </c>
      <c r="D130" s="14" t="s">
        <v>1700</v>
      </c>
      <c r="E130" s="15">
        <v>45252.0</v>
      </c>
      <c r="F130" s="33">
        <v>1.0</v>
      </c>
      <c r="G130" s="33">
        <v>0.0</v>
      </c>
      <c r="H130" s="35" t="s">
        <v>1701</v>
      </c>
      <c r="I130" s="18">
        <v>45461.0</v>
      </c>
      <c r="J130" s="10"/>
    </row>
    <row r="131">
      <c r="A131" s="6">
        <v>130.0</v>
      </c>
      <c r="B131" s="6" t="str">
        <f>VLOOKUP(A131,vaccines!A:B,2)</f>
        <v>AKDS_HepB_Microgen</v>
      </c>
      <c r="C131" s="14" t="s">
        <v>1702</v>
      </c>
      <c r="D131" s="14" t="s">
        <v>1703</v>
      </c>
      <c r="E131" s="15">
        <v>45135.0</v>
      </c>
      <c r="F131" s="33">
        <v>1.0</v>
      </c>
      <c r="G131" s="33">
        <v>0.0</v>
      </c>
      <c r="H131" s="35" t="s">
        <v>1704</v>
      </c>
      <c r="I131" s="15">
        <v>45464.0</v>
      </c>
      <c r="J131" s="10"/>
    </row>
    <row r="132">
      <c r="A132" s="6">
        <v>131.0</v>
      </c>
      <c r="B132" s="6" t="str">
        <f>VLOOKUP(A132,vaccines!A:B,2)</f>
        <v>Rickettsia</v>
      </c>
      <c r="C132" s="14" t="s">
        <v>1705</v>
      </c>
      <c r="D132" s="14" t="s">
        <v>1706</v>
      </c>
      <c r="E132" s="15">
        <v>45107.0</v>
      </c>
      <c r="F132" s="33">
        <v>1.0</v>
      </c>
      <c r="G132" s="33">
        <v>0.0</v>
      </c>
      <c r="H132" s="35" t="s">
        <v>1707</v>
      </c>
      <c r="I132" s="15">
        <v>45464.0</v>
      </c>
      <c r="J132" s="10"/>
    </row>
    <row r="133">
      <c r="A133" s="6">
        <v>132.0</v>
      </c>
      <c r="B133" s="6" t="str">
        <f>VLOOKUP(A133,vaccines!A:B,2)</f>
        <v>OspaVir</v>
      </c>
      <c r="C133" s="14" t="s">
        <v>1708</v>
      </c>
      <c r="D133" s="14" t="s">
        <v>1697</v>
      </c>
      <c r="E133" s="15">
        <v>45077.0</v>
      </c>
      <c r="F133" s="33">
        <v>1.0</v>
      </c>
      <c r="G133" s="33">
        <v>0.0</v>
      </c>
      <c r="H133" s="35" t="s">
        <v>1709</v>
      </c>
      <c r="I133" s="15">
        <v>45464.0</v>
      </c>
      <c r="J133" s="10"/>
    </row>
    <row r="134">
      <c r="A134" s="6">
        <v>133.0</v>
      </c>
      <c r="B134" s="6" t="str">
        <f>VLOOKUP(A134,vaccines!A:B,2)</f>
        <v>Gonovaccina_therapeutic</v>
      </c>
      <c r="C134" s="14" t="s">
        <v>1710</v>
      </c>
      <c r="D134" s="14" t="s">
        <v>1711</v>
      </c>
      <c r="E134" s="15">
        <v>44942.0</v>
      </c>
      <c r="F134" s="33">
        <v>1.0</v>
      </c>
      <c r="G134" s="33">
        <v>0.0</v>
      </c>
      <c r="H134" s="35" t="s">
        <v>1712</v>
      </c>
      <c r="I134" s="15">
        <v>45464.0</v>
      </c>
      <c r="J134" s="10"/>
    </row>
    <row r="135">
      <c r="A135" s="6">
        <v>134.0</v>
      </c>
      <c r="B135" s="6" t="str">
        <f>VLOOKUP(A135,vaccines!A:B,2)</f>
        <v>OrtopoxVac</v>
      </c>
      <c r="C135" s="14" t="s">
        <v>1713</v>
      </c>
      <c r="D135" s="14" t="s">
        <v>1714</v>
      </c>
      <c r="E135" s="22">
        <v>45147.0</v>
      </c>
      <c r="F135" s="23">
        <v>1.0</v>
      </c>
      <c r="G135" s="23">
        <v>0.0</v>
      </c>
      <c r="H135" s="24" t="s">
        <v>1715</v>
      </c>
      <c r="I135" s="22">
        <v>45465.0</v>
      </c>
      <c r="J135" s="10"/>
    </row>
    <row r="136">
      <c r="A136" s="6">
        <v>135.0</v>
      </c>
      <c r="B136" s="6" t="str">
        <f>VLOOKUP(A136,vaccines!A:B,2)</f>
        <v>FlexVac</v>
      </c>
      <c r="C136" s="14" t="s">
        <v>1716</v>
      </c>
      <c r="D136" s="14" t="s">
        <v>1717</v>
      </c>
      <c r="E136" s="15">
        <v>46126.0</v>
      </c>
      <c r="F136" s="5">
        <v>1.0</v>
      </c>
      <c r="G136" s="5">
        <v>0.0</v>
      </c>
      <c r="H136" s="32" t="s">
        <v>412</v>
      </c>
      <c r="I136" s="15">
        <v>45465.0</v>
      </c>
      <c r="J136" s="15">
        <v>46188.0</v>
      </c>
    </row>
    <row r="137">
      <c r="A137" s="6">
        <v>136.0</v>
      </c>
      <c r="B137" s="6" t="str">
        <f>VLOOKUP(A137,vaccines!A:B,2)</f>
        <v>SinSaVac</v>
      </c>
      <c r="C137" s="14" t="s">
        <v>1718</v>
      </c>
      <c r="D137" s="14" t="s">
        <v>1719</v>
      </c>
      <c r="E137" s="15">
        <v>44537.0</v>
      </c>
      <c r="F137" s="5">
        <v>1.0</v>
      </c>
      <c r="G137" s="5">
        <v>0.0</v>
      </c>
      <c r="H137" s="32" t="s">
        <v>415</v>
      </c>
      <c r="I137" s="15">
        <v>45465.0</v>
      </c>
      <c r="J137" s="10"/>
    </row>
    <row r="138">
      <c r="A138" s="6">
        <v>138.0</v>
      </c>
      <c r="B138" s="6" t="str">
        <f>VLOOKUP(A138,vaccines!A:B,2)</f>
        <v>EpiVacEbola</v>
      </c>
      <c r="C138" s="14" t="s">
        <v>1720</v>
      </c>
      <c r="D138" s="14" t="s">
        <v>1721</v>
      </c>
      <c r="E138" s="15">
        <v>43185.0</v>
      </c>
      <c r="F138" s="5">
        <v>1.0</v>
      </c>
      <c r="G138" s="5">
        <v>0.0</v>
      </c>
      <c r="H138" s="32" t="s">
        <v>418</v>
      </c>
      <c r="I138" s="15">
        <v>45465.0</v>
      </c>
      <c r="J138" s="10"/>
    </row>
    <row r="139">
      <c r="A139" s="33">
        <v>139.0</v>
      </c>
      <c r="B139" s="6" t="str">
        <f>VLOOKUP(A139,vaccines!A:B,2)</f>
        <v>GamEvac_Combi</v>
      </c>
      <c r="C139" s="14" t="s">
        <v>1722</v>
      </c>
      <c r="D139" s="14" t="s">
        <v>1723</v>
      </c>
      <c r="E139" s="15">
        <v>46099.0</v>
      </c>
      <c r="F139" s="5">
        <v>1.0</v>
      </c>
      <c r="G139" s="5">
        <v>0.0</v>
      </c>
      <c r="H139" s="32" t="s">
        <v>421</v>
      </c>
      <c r="I139" s="15">
        <v>46131.0</v>
      </c>
      <c r="J139" s="10"/>
    </row>
    <row r="140">
      <c r="A140" s="6">
        <v>141.0</v>
      </c>
      <c r="B140" s="6" t="str">
        <f>VLOOKUP(A140,vaccines!A:B,2)</f>
        <v>Staphylococcus_therapeutic_Biomed</v>
      </c>
      <c r="C140" s="14" t="s">
        <v>1724</v>
      </c>
      <c r="D140" s="14" t="s">
        <v>1725</v>
      </c>
      <c r="E140" s="15">
        <v>43388.0</v>
      </c>
      <c r="F140" s="5">
        <v>1.0</v>
      </c>
      <c r="G140" s="5">
        <v>0.0</v>
      </c>
      <c r="H140" s="32" t="s">
        <v>424</v>
      </c>
      <c r="I140" s="15">
        <v>45465.0</v>
      </c>
      <c r="J140" s="10"/>
    </row>
    <row r="141">
      <c r="A141" s="6">
        <v>142.0</v>
      </c>
      <c r="B141" s="6" t="str">
        <f>VLOOKUP(A141,vaccines!A:B,2)</f>
        <v>Pseudovac</v>
      </c>
      <c r="C141" s="14" t="s">
        <v>1726</v>
      </c>
      <c r="D141" s="14" t="s">
        <v>1727</v>
      </c>
      <c r="E141" s="15">
        <v>42809.0</v>
      </c>
      <c r="F141" s="5">
        <v>1.0</v>
      </c>
      <c r="G141" s="5">
        <v>0.0</v>
      </c>
      <c r="H141" s="32" t="s">
        <v>427</v>
      </c>
      <c r="I141" s="15">
        <v>45466.0</v>
      </c>
      <c r="J141" s="10"/>
    </row>
    <row r="142">
      <c r="A142" s="6">
        <v>143.0</v>
      </c>
      <c r="B142" s="6" t="str">
        <f>VLOOKUP(A142,vaccines!A:B,2)</f>
        <v>SPSA_therapeutic</v>
      </c>
      <c r="C142" s="14" t="s">
        <v>1728</v>
      </c>
      <c r="D142" s="14" t="s">
        <v>1729</v>
      </c>
      <c r="E142" s="15">
        <v>40819.0</v>
      </c>
      <c r="F142" s="5">
        <v>1.0</v>
      </c>
      <c r="G142" s="5">
        <v>0.0</v>
      </c>
      <c r="H142" s="32" t="s">
        <v>430</v>
      </c>
      <c r="I142" s="15">
        <v>45466.0</v>
      </c>
      <c r="J142" s="10"/>
    </row>
    <row r="143">
      <c r="A143" s="6">
        <v>144.0</v>
      </c>
      <c r="B143" s="6" t="str">
        <f>VLOOKUP(A143,vaccines!A:B,2)</f>
        <v>HepB_Serum_India_0_5</v>
      </c>
      <c r="C143" s="14" t="s">
        <v>1730</v>
      </c>
      <c r="D143" s="14" t="s">
        <v>1731</v>
      </c>
      <c r="E143" s="15">
        <v>45981.0</v>
      </c>
      <c r="F143" s="5">
        <v>1.0</v>
      </c>
      <c r="G143" s="5">
        <v>0.0</v>
      </c>
      <c r="H143" s="32" t="s">
        <v>433</v>
      </c>
      <c r="I143" s="15">
        <v>45466.0</v>
      </c>
      <c r="J143" s="31">
        <v>46053.0</v>
      </c>
    </row>
    <row r="144">
      <c r="A144" s="6">
        <v>145.0</v>
      </c>
      <c r="B144" s="6" t="str">
        <f>VLOOKUP(A144,vaccines!A:B,2)</f>
        <v>Polio_1_2_3</v>
      </c>
      <c r="C144" s="14" t="s">
        <v>1732</v>
      </c>
      <c r="D144" s="14" t="s">
        <v>1733</v>
      </c>
      <c r="E144" s="15">
        <v>45275.0</v>
      </c>
      <c r="F144" s="5">
        <v>1.0</v>
      </c>
      <c r="G144" s="5">
        <v>0.0</v>
      </c>
      <c r="H144" s="32" t="s">
        <v>436</v>
      </c>
      <c r="I144" s="15">
        <v>45466.0</v>
      </c>
      <c r="J144" s="10"/>
    </row>
    <row r="145">
      <c r="A145" s="6">
        <v>146.0</v>
      </c>
      <c r="B145" s="6" t="str">
        <f>VLOOKUP(A145,vaccines!A:B,2)</f>
        <v>TEOVac_chew_tablets</v>
      </c>
      <c r="C145" s="14" t="s">
        <v>1734</v>
      </c>
      <c r="D145" s="14" t="s">
        <v>1735</v>
      </c>
      <c r="E145" s="15">
        <v>40396.0</v>
      </c>
      <c r="F145" s="5">
        <v>1.0</v>
      </c>
      <c r="G145" s="5">
        <v>0.0</v>
      </c>
      <c r="H145" s="32" t="s">
        <v>439</v>
      </c>
      <c r="I145" s="15">
        <v>45467.0</v>
      </c>
      <c r="J145" s="10"/>
    </row>
    <row r="146">
      <c r="A146" s="6">
        <v>147.0</v>
      </c>
      <c r="B146" s="6" t="str">
        <f>VLOOKUP(A146,vaccines!A:B,2)</f>
        <v>TEOVac_tablets</v>
      </c>
      <c r="C146" s="14" t="s">
        <v>1734</v>
      </c>
      <c r="D146" s="14" t="s">
        <v>1735</v>
      </c>
      <c r="E146" s="15">
        <v>40392.0</v>
      </c>
      <c r="F146" s="5">
        <v>1.0</v>
      </c>
      <c r="G146" s="5">
        <v>0.0</v>
      </c>
      <c r="H146" s="32" t="s">
        <v>442</v>
      </c>
      <c r="I146" s="15">
        <v>45467.0</v>
      </c>
      <c r="J146" s="10"/>
    </row>
    <row r="147">
      <c r="A147" s="23">
        <v>148.0</v>
      </c>
      <c r="B147" s="6" t="str">
        <f>VLOOKUP(A147,vaccines!A:B,2)</f>
        <v>Uro_BCG_therapeutic</v>
      </c>
      <c r="C147" s="14" t="s">
        <v>1736</v>
      </c>
      <c r="D147" s="14" t="s">
        <v>1737</v>
      </c>
      <c r="E147" s="15">
        <v>42947.0</v>
      </c>
      <c r="F147" s="5">
        <v>1.0</v>
      </c>
      <c r="G147" s="5">
        <v>0.0</v>
      </c>
      <c r="H147" s="32" t="s">
        <v>445</v>
      </c>
      <c r="I147" s="15">
        <v>45494.0</v>
      </c>
      <c r="J147" s="10"/>
    </row>
    <row r="148">
      <c r="A148" s="6">
        <v>149.0</v>
      </c>
      <c r="B148" s="6" t="str">
        <f>VLOOKUP(A148,vaccines!A:B,2)</f>
        <v>Flu_Microgen</v>
      </c>
      <c r="C148" s="14" t="s">
        <v>1738</v>
      </c>
      <c r="D148" s="14" t="s">
        <v>1739</v>
      </c>
      <c r="E148" s="15">
        <v>40940.0</v>
      </c>
      <c r="F148" s="5">
        <v>1.0</v>
      </c>
      <c r="G148" s="5">
        <v>0.0</v>
      </c>
      <c r="H148" s="32" t="s">
        <v>448</v>
      </c>
      <c r="I148" s="15">
        <v>45494.0</v>
      </c>
      <c r="J148" s="10"/>
    </row>
    <row r="149">
      <c r="A149" s="23">
        <v>150.0</v>
      </c>
      <c r="B149" s="6" t="str">
        <f>VLOOKUP(A149,vaccines!A:B,2)</f>
        <v>MonoGrippol_plus</v>
      </c>
      <c r="C149" s="14" t="s">
        <v>1740</v>
      </c>
      <c r="D149" s="14" t="s">
        <v>1741</v>
      </c>
      <c r="E149" s="15">
        <v>42719.0</v>
      </c>
      <c r="F149" s="5">
        <v>1.0</v>
      </c>
      <c r="G149" s="5">
        <v>0.0</v>
      </c>
      <c r="H149" s="32" t="s">
        <v>451</v>
      </c>
      <c r="I149" s="15">
        <v>45494.0</v>
      </c>
      <c r="J149" s="10"/>
    </row>
    <row r="150">
      <c r="A150" s="6">
        <v>151.0</v>
      </c>
      <c r="B150" s="6" t="str">
        <f>VLOOKUP(A150,vaccines!A:B,2)</f>
        <v>MonoGrippol_Neo</v>
      </c>
      <c r="C150" s="14" t="s">
        <v>1742</v>
      </c>
      <c r="D150" s="14" t="s">
        <v>1743</v>
      </c>
      <c r="E150" s="15">
        <v>40102.0</v>
      </c>
      <c r="F150" s="5">
        <v>1.0</v>
      </c>
      <c r="G150" s="5">
        <v>0.0</v>
      </c>
      <c r="H150" s="32" t="s">
        <v>806</v>
      </c>
      <c r="I150" s="15">
        <v>45494.0</v>
      </c>
      <c r="J150" s="10"/>
    </row>
    <row r="151">
      <c r="A151" s="23">
        <v>152.0</v>
      </c>
      <c r="B151" s="6" t="str">
        <f>VLOOKUP(A151,vaccines!A:B,2)</f>
        <v>MonoGrippol</v>
      </c>
      <c r="C151" s="14" t="s">
        <v>1744</v>
      </c>
      <c r="D151" s="14" t="s">
        <v>1745</v>
      </c>
      <c r="E151" s="18">
        <v>42667.0</v>
      </c>
      <c r="F151" s="34">
        <v>3.0</v>
      </c>
      <c r="G151" s="34">
        <v>2.0</v>
      </c>
      <c r="H151" s="35" t="s">
        <v>1746</v>
      </c>
      <c r="I151" s="15">
        <v>45494.0</v>
      </c>
      <c r="J151" s="10"/>
    </row>
    <row r="152">
      <c r="A152" s="6">
        <v>153.0</v>
      </c>
      <c r="B152" s="6" t="str">
        <f>VLOOKUP(A152,vaccines!A:B,2)</f>
        <v>Influvir</v>
      </c>
      <c r="C152" s="14" t="s">
        <v>1747</v>
      </c>
      <c r="D152" s="14" t="s">
        <v>1748</v>
      </c>
      <c r="E152" s="15">
        <v>45681.0</v>
      </c>
      <c r="F152" s="5">
        <v>1.0</v>
      </c>
      <c r="G152" s="5">
        <v>0.0</v>
      </c>
      <c r="H152" s="32" t="s">
        <v>458</v>
      </c>
      <c r="I152" s="15">
        <v>45494.0</v>
      </c>
      <c r="J152" s="15">
        <v>45717.0</v>
      </c>
    </row>
    <row r="153">
      <c r="A153" s="23">
        <v>154.0</v>
      </c>
      <c r="B153" s="6" t="str">
        <f>VLOOKUP(A153,vaccines!A:B,2)</f>
        <v>Pandeflu</v>
      </c>
      <c r="C153" s="14" t="s">
        <v>1749</v>
      </c>
      <c r="D153" s="14" t="s">
        <v>1750</v>
      </c>
      <c r="E153" s="15">
        <v>45719.0</v>
      </c>
      <c r="F153" s="5">
        <v>1.0</v>
      </c>
      <c r="G153" s="5">
        <v>0.0</v>
      </c>
      <c r="H153" s="32" t="s">
        <v>461</v>
      </c>
      <c r="I153" s="15">
        <v>45494.0</v>
      </c>
      <c r="J153" s="15">
        <v>45750.0</v>
      </c>
    </row>
    <row r="154">
      <c r="A154" s="6">
        <v>155.0</v>
      </c>
      <c r="B154" s="6" t="str">
        <f>VLOOKUP(A154,vaccines!A:B,2)</f>
        <v>Grippol_Neo</v>
      </c>
      <c r="C154" s="14" t="s">
        <v>1751</v>
      </c>
      <c r="D154" s="14" t="s">
        <v>1752</v>
      </c>
      <c r="E154" s="15">
        <v>40274.0</v>
      </c>
      <c r="F154" s="5">
        <v>1.0</v>
      </c>
      <c r="G154" s="5">
        <v>0.0</v>
      </c>
      <c r="H154" s="32" t="s">
        <v>813</v>
      </c>
      <c r="I154" s="15">
        <v>45494.0</v>
      </c>
      <c r="J154" s="10"/>
    </row>
    <row r="155">
      <c r="A155" s="23">
        <v>156.0</v>
      </c>
      <c r="B155" s="6" t="str">
        <f>VLOOKUP(A155,vaccines!A:B,2)</f>
        <v>Ultravac</v>
      </c>
      <c r="C155" s="14" t="s">
        <v>1753</v>
      </c>
      <c r="D155" s="14" t="s">
        <v>1754</v>
      </c>
      <c r="E155" s="15">
        <v>45569.0</v>
      </c>
      <c r="F155" s="33">
        <v>1.0</v>
      </c>
      <c r="G155" s="33">
        <v>0.0</v>
      </c>
      <c r="H155" s="47" t="s">
        <v>1755</v>
      </c>
      <c r="I155" s="15">
        <v>45494.0</v>
      </c>
      <c r="J155" s="15">
        <v>45622.0</v>
      </c>
    </row>
    <row r="156">
      <c r="A156" s="23">
        <v>158.0</v>
      </c>
      <c r="B156" s="6" t="str">
        <f>VLOOKUP(A156,vaccines!A:B,2)</f>
        <v>Gerpovax_therapeutic</v>
      </c>
      <c r="C156" s="14" t="s">
        <v>1756</v>
      </c>
      <c r="D156" s="14" t="s">
        <v>1757</v>
      </c>
      <c r="E156" s="15">
        <v>43808.0</v>
      </c>
      <c r="F156" s="5">
        <v>1.0</v>
      </c>
      <c r="G156" s="5">
        <v>0.0</v>
      </c>
      <c r="H156" s="32" t="s">
        <v>470</v>
      </c>
      <c r="I156" s="15">
        <v>45496.0</v>
      </c>
      <c r="J156" s="10"/>
    </row>
    <row r="157">
      <c r="A157" s="23">
        <v>159.0</v>
      </c>
      <c r="B157" s="6" t="str">
        <f>VLOOKUP(A157,vaccines!A:B,2)</f>
        <v>Ultragrivac</v>
      </c>
      <c r="C157" s="14" t="s">
        <v>1758</v>
      </c>
      <c r="D157" s="14" t="s">
        <v>1759</v>
      </c>
      <c r="E157" s="15">
        <v>45775.0</v>
      </c>
      <c r="F157" s="5">
        <v>1.0</v>
      </c>
      <c r="G157" s="5">
        <v>0.0</v>
      </c>
      <c r="H157" s="32" t="s">
        <v>473</v>
      </c>
      <c r="I157" s="15">
        <v>45496.0</v>
      </c>
      <c r="J157" s="15">
        <v>45818.0</v>
      </c>
    </row>
    <row r="158">
      <c r="A158" s="23">
        <v>160.0</v>
      </c>
      <c r="B158" s="6" t="str">
        <f>VLOOKUP(A158,vaccines!A:B,2)</f>
        <v>OrniFlu</v>
      </c>
      <c r="C158" s="14" t="s">
        <v>1760</v>
      </c>
      <c r="D158" s="14" t="s">
        <v>1761</v>
      </c>
      <c r="E158" s="15">
        <v>45720.0</v>
      </c>
      <c r="F158" s="5">
        <v>1.0</v>
      </c>
      <c r="G158" s="5">
        <v>0.0</v>
      </c>
      <c r="H158" s="32" t="s">
        <v>476</v>
      </c>
      <c r="I158" s="15">
        <v>45496.0</v>
      </c>
      <c r="J158" s="15">
        <v>45750.0</v>
      </c>
    </row>
    <row r="159">
      <c r="A159" s="23">
        <v>161.0</v>
      </c>
      <c r="B159" s="6" t="str">
        <f>VLOOKUP(A159,vaccines!A:B,2)</f>
        <v>rubella_Croatia</v>
      </c>
      <c r="C159" s="14" t="s">
        <v>1762</v>
      </c>
      <c r="D159" s="14" t="s">
        <v>1763</v>
      </c>
      <c r="E159" s="15">
        <v>37712.0</v>
      </c>
      <c r="F159" s="5">
        <v>1.0</v>
      </c>
      <c r="G159" s="5">
        <v>0.0</v>
      </c>
      <c r="H159" s="32" t="s">
        <v>479</v>
      </c>
      <c r="I159" s="15">
        <v>45496.0</v>
      </c>
      <c r="J159" s="10"/>
    </row>
    <row r="160">
      <c r="A160" s="23">
        <v>162.0</v>
      </c>
      <c r="B160" s="6" t="str">
        <f>VLOOKUP(A160,vaccines!A:B,2)</f>
        <v>Tetraanatoxin</v>
      </c>
      <c r="C160" s="14" t="s">
        <v>1760</v>
      </c>
      <c r="D160" s="14" t="s">
        <v>1761</v>
      </c>
      <c r="E160" s="15">
        <v>45546.0</v>
      </c>
      <c r="F160" s="33">
        <v>1.0</v>
      </c>
      <c r="G160" s="33">
        <v>0.0</v>
      </c>
      <c r="H160" s="47" t="s">
        <v>1764</v>
      </c>
      <c r="I160" s="15">
        <v>45497.0</v>
      </c>
      <c r="J160" s="15">
        <v>45581.0</v>
      </c>
    </row>
    <row r="161">
      <c r="A161" s="23">
        <v>163.0</v>
      </c>
      <c r="B161" s="6" t="str">
        <f>VLOOKUP(A161,vaccines!A:B,2)</f>
        <v>Staphylococcus_Gamaleya</v>
      </c>
      <c r="C161" s="14" t="s">
        <v>1765</v>
      </c>
      <c r="D161" s="14" t="s">
        <v>1766</v>
      </c>
      <c r="E161" s="15">
        <v>45799.0</v>
      </c>
      <c r="F161" s="5">
        <v>1.0</v>
      </c>
      <c r="G161" s="5">
        <v>0.0</v>
      </c>
      <c r="H161" s="32" t="s">
        <v>485</v>
      </c>
      <c r="I161" s="15">
        <v>45497.0</v>
      </c>
      <c r="J161" s="31">
        <v>45830.0</v>
      </c>
    </row>
    <row r="162">
      <c r="A162" s="23">
        <v>164.0</v>
      </c>
      <c r="B162" s="6" t="str">
        <f>VLOOKUP(A162,vaccines!A:B,2)</f>
        <v>Staphylococcus_therapeutic_Gamaleya</v>
      </c>
      <c r="C162" s="14" t="s">
        <v>1765</v>
      </c>
      <c r="D162" s="14" t="s">
        <v>1766</v>
      </c>
      <c r="E162" s="15">
        <v>45799.0</v>
      </c>
      <c r="F162" s="5">
        <v>1.0</v>
      </c>
      <c r="G162" s="5">
        <v>0.0</v>
      </c>
      <c r="H162" s="32" t="s">
        <v>488</v>
      </c>
      <c r="I162" s="15">
        <v>45497.0</v>
      </c>
      <c r="J162" s="15">
        <v>45830.0</v>
      </c>
    </row>
    <row r="163">
      <c r="A163" s="23">
        <v>165.0</v>
      </c>
      <c r="B163" s="6" t="str">
        <f>VLOOKUP(A163,vaccines!A:B,2)</f>
        <v>Imuron_vac_therapeutic</v>
      </c>
      <c r="C163" s="14" t="s">
        <v>1767</v>
      </c>
      <c r="D163" s="14" t="s">
        <v>1768</v>
      </c>
      <c r="E163" s="15">
        <v>45811.0</v>
      </c>
      <c r="F163" s="5">
        <v>1.0</v>
      </c>
      <c r="G163" s="5">
        <v>0.0</v>
      </c>
      <c r="H163" s="32" t="s">
        <v>491</v>
      </c>
      <c r="I163" s="15">
        <v>45497.0</v>
      </c>
      <c r="J163" s="15">
        <v>45861.0</v>
      </c>
    </row>
    <row r="164">
      <c r="A164" s="23">
        <v>166.0</v>
      </c>
      <c r="B164" s="6" t="str">
        <f>VLOOKUP(A164,vaccines!A:B,2)</f>
        <v>HepB_Serum_India_1_0</v>
      </c>
      <c r="C164" s="14" t="s">
        <v>1769</v>
      </c>
      <c r="D164" s="14" t="s">
        <v>1770</v>
      </c>
      <c r="E164" s="15">
        <v>45981.0</v>
      </c>
      <c r="F164" s="5">
        <v>1.0</v>
      </c>
      <c r="G164" s="5">
        <v>0.0</v>
      </c>
      <c r="H164" s="32" t="s">
        <v>433</v>
      </c>
      <c r="I164" s="15">
        <v>45466.0</v>
      </c>
      <c r="J164" s="31">
        <v>46053.0</v>
      </c>
    </row>
    <row r="165">
      <c r="A165" s="23">
        <v>167.0</v>
      </c>
      <c r="B165" s="6" t="str">
        <f>VLOOKUP(A165,vaccines!A:B,2)</f>
        <v>Hexaxim</v>
      </c>
      <c r="C165" s="14" t="s">
        <v>1771</v>
      </c>
      <c r="D165" s="14" t="s">
        <v>1772</v>
      </c>
      <c r="E165" s="15">
        <v>45504.0</v>
      </c>
      <c r="F165" s="33">
        <v>1.0</v>
      </c>
      <c r="G165" s="33">
        <v>0.0</v>
      </c>
      <c r="H165" s="47" t="s">
        <v>1773</v>
      </c>
      <c r="I165" s="15">
        <v>45558.0</v>
      </c>
      <c r="J165" s="10"/>
    </row>
    <row r="166">
      <c r="A166" s="23">
        <v>168.0</v>
      </c>
      <c r="B166" s="6" t="str">
        <f>VLOOKUP(A166,vaccines!A:B,2)</f>
        <v>Gam_VLP_multivac</v>
      </c>
      <c r="C166" s="14" t="s">
        <v>1774</v>
      </c>
      <c r="D166" s="14" t="s">
        <v>1775</v>
      </c>
      <c r="E166" s="15">
        <v>45632.0</v>
      </c>
      <c r="F166" s="5">
        <v>1.0</v>
      </c>
      <c r="G166" s="5">
        <v>0.0</v>
      </c>
      <c r="H166" s="36" t="s">
        <v>499</v>
      </c>
      <c r="I166" s="15">
        <v>45678.0</v>
      </c>
      <c r="J166" s="10"/>
    </row>
    <row r="167">
      <c r="A167" s="23">
        <v>169.0</v>
      </c>
      <c r="B167" s="6" t="str">
        <f>VLOOKUP(A167,vaccines!A:B,2)</f>
        <v>Gam_VLP_multivac_nasal</v>
      </c>
      <c r="C167" s="14" t="s">
        <v>1776</v>
      </c>
      <c r="D167" s="14" t="s">
        <v>1777</v>
      </c>
      <c r="E167" s="15">
        <v>45737.0</v>
      </c>
      <c r="F167" s="5">
        <v>1.0</v>
      </c>
      <c r="G167" s="5">
        <v>0.0</v>
      </c>
      <c r="H167" s="32" t="s">
        <v>502</v>
      </c>
      <c r="I167" s="15">
        <v>45742.0</v>
      </c>
      <c r="J167" s="10"/>
    </row>
    <row r="168">
      <c r="A168" s="23">
        <v>170.0</v>
      </c>
      <c r="B168" s="6" t="str">
        <f>VLOOKUP(A168,vaccines!A:B,2)</f>
        <v>Cegardex</v>
      </c>
      <c r="C168" s="14" t="s">
        <v>1778</v>
      </c>
      <c r="D168" s="14" t="s">
        <v>1779</v>
      </c>
      <c r="E168" s="15">
        <v>45721.0</v>
      </c>
      <c r="F168" s="5">
        <v>1.0</v>
      </c>
      <c r="G168" s="5">
        <v>0.0</v>
      </c>
      <c r="H168" s="32" t="s">
        <v>505</v>
      </c>
      <c r="I168" s="15">
        <v>45742.0</v>
      </c>
      <c r="J168" s="10"/>
    </row>
    <row r="169">
      <c r="A169" s="23">
        <v>171.0</v>
      </c>
      <c r="B169" s="6" t="str">
        <f>VLOOKUP(A169,vaccines!A:B,2)</f>
        <v>Menvaid</v>
      </c>
      <c r="C169" s="14" t="s">
        <v>1780</v>
      </c>
      <c r="D169" s="14" t="s">
        <v>1781</v>
      </c>
      <c r="E169" s="15">
        <v>45740.0</v>
      </c>
      <c r="F169" s="5">
        <v>1.0</v>
      </c>
      <c r="G169" s="5">
        <v>0.0</v>
      </c>
      <c r="H169" s="32" t="s">
        <v>508</v>
      </c>
      <c r="I169" s="15">
        <v>45755.0</v>
      </c>
      <c r="J169" s="10"/>
    </row>
    <row r="170">
      <c r="A170" s="23">
        <v>172.0</v>
      </c>
      <c r="B170" s="6" t="str">
        <f>VLOOKUP(A170,vaccines!A:B,2)</f>
        <v>ChiroRab</v>
      </c>
      <c r="C170" s="14" t="s">
        <v>1782</v>
      </c>
      <c r="D170" s="14" t="s">
        <v>1601</v>
      </c>
      <c r="E170" s="22">
        <v>42996.0</v>
      </c>
      <c r="F170" s="23">
        <v>1.0</v>
      </c>
      <c r="G170" s="23">
        <v>0.0</v>
      </c>
      <c r="H170" s="25" t="s">
        <v>261</v>
      </c>
      <c r="I170" s="22">
        <v>45818.0</v>
      </c>
      <c r="J170" s="10"/>
      <c r="K170" s="37" t="s">
        <v>511</v>
      </c>
    </row>
    <row r="171">
      <c r="A171" s="23">
        <v>173.0</v>
      </c>
      <c r="B171" s="6" t="str">
        <f>VLOOKUP(A171,vaccines!A:B,2)</f>
        <v>Prevenar_20</v>
      </c>
      <c r="C171" s="14" t="s">
        <v>1783</v>
      </c>
      <c r="D171" s="14" t="s">
        <v>1784</v>
      </c>
      <c r="E171" s="15">
        <v>45835.0</v>
      </c>
      <c r="F171" s="5">
        <v>1.0</v>
      </c>
      <c r="G171" s="5">
        <v>0.0</v>
      </c>
      <c r="H171" s="32" t="s">
        <v>514</v>
      </c>
      <c r="I171" s="15">
        <v>45861.0</v>
      </c>
      <c r="J171" s="10"/>
    </row>
    <row r="172">
      <c r="A172" s="23">
        <v>174.0</v>
      </c>
      <c r="B172" s="6" t="str">
        <f>VLOOKUP(A172,vaccines!A:B,2)</f>
        <v>aAKDS_M</v>
      </c>
      <c r="C172" s="14" t="s">
        <v>1785</v>
      </c>
      <c r="D172" s="14" t="s">
        <v>1786</v>
      </c>
      <c r="E172" s="15">
        <v>46104.0</v>
      </c>
      <c r="F172" s="5">
        <v>1.0</v>
      </c>
      <c r="G172" s="5">
        <v>0.0</v>
      </c>
      <c r="H172" s="32" t="s">
        <v>517</v>
      </c>
      <c r="I172" s="15">
        <v>46131.0</v>
      </c>
      <c r="J172" s="10"/>
    </row>
    <row r="173">
      <c r="A173" s="23">
        <v>175.0</v>
      </c>
      <c r="B173" s="6" t="str">
        <f>VLOOKUP(A173,vaccines!A:B,2)</f>
        <v>Nimenrix</v>
      </c>
      <c r="C173" s="14" t="s">
        <v>1787</v>
      </c>
      <c r="D173" s="14" t="s">
        <v>1788</v>
      </c>
      <c r="E173" s="15">
        <v>46111.0</v>
      </c>
      <c r="F173" s="5">
        <v>1.0</v>
      </c>
      <c r="G173" s="5">
        <v>0.0</v>
      </c>
      <c r="H173" s="32" t="s">
        <v>520</v>
      </c>
      <c r="I173" s="15">
        <v>46131.0</v>
      </c>
      <c r="J173" s="10"/>
    </row>
    <row r="174">
      <c r="C174" s="38"/>
      <c r="D174" s="38"/>
      <c r="E174" s="10"/>
      <c r="I174" s="10"/>
      <c r="J174" s="10"/>
    </row>
    <row r="175">
      <c r="C175" s="38"/>
      <c r="D175" s="38"/>
      <c r="E175" s="10"/>
      <c r="I175" s="10"/>
      <c r="J175" s="10"/>
    </row>
    <row r="176">
      <c r="C176" s="38"/>
      <c r="D176" s="38"/>
      <c r="E176" s="10"/>
      <c r="I176" s="10"/>
      <c r="J176" s="10"/>
    </row>
    <row r="177">
      <c r="C177" s="38"/>
      <c r="D177" s="38"/>
      <c r="E177" s="10"/>
      <c r="I177" s="10"/>
      <c r="J177" s="10"/>
    </row>
    <row r="178">
      <c r="C178" s="38"/>
      <c r="D178" s="38"/>
      <c r="E178" s="10"/>
      <c r="I178" s="10"/>
      <c r="J178" s="10"/>
    </row>
    <row r="179">
      <c r="C179" s="38"/>
      <c r="D179" s="38"/>
      <c r="E179" s="10"/>
      <c r="I179" s="10"/>
      <c r="J179" s="10"/>
    </row>
    <row r="180">
      <c r="C180" s="38"/>
      <c r="D180" s="38"/>
      <c r="E180" s="10"/>
      <c r="I180" s="10"/>
      <c r="J180" s="10"/>
    </row>
    <row r="181">
      <c r="C181" s="38"/>
      <c r="D181" s="38"/>
      <c r="E181" s="10"/>
      <c r="I181" s="10"/>
      <c r="J181" s="10"/>
    </row>
    <row r="182">
      <c r="C182" s="38"/>
      <c r="D182" s="38"/>
      <c r="E182" s="10"/>
      <c r="I182" s="10"/>
      <c r="J182" s="10"/>
    </row>
    <row r="183">
      <c r="C183" s="38"/>
      <c r="D183" s="38"/>
      <c r="E183" s="10"/>
      <c r="I183" s="10"/>
      <c r="J183" s="10"/>
    </row>
    <row r="184">
      <c r="C184" s="38"/>
      <c r="D184" s="38"/>
      <c r="E184" s="10"/>
      <c r="I184" s="10"/>
      <c r="J184" s="10"/>
    </row>
    <row r="185">
      <c r="C185" s="38"/>
      <c r="D185" s="38"/>
      <c r="E185" s="10"/>
      <c r="I185" s="10"/>
      <c r="J185" s="10"/>
    </row>
    <row r="186">
      <c r="C186" s="38"/>
      <c r="D186" s="38"/>
      <c r="E186" s="10"/>
      <c r="I186" s="10"/>
      <c r="J186" s="10"/>
    </row>
    <row r="187">
      <c r="C187" s="38"/>
      <c r="D187" s="38"/>
      <c r="E187" s="10"/>
      <c r="I187" s="10"/>
      <c r="J187" s="10"/>
    </row>
    <row r="188">
      <c r="C188" s="38"/>
      <c r="D188" s="38"/>
      <c r="E188" s="10"/>
      <c r="I188" s="10"/>
      <c r="J188" s="10"/>
    </row>
    <row r="189">
      <c r="C189" s="38"/>
      <c r="D189" s="38"/>
      <c r="E189" s="10"/>
      <c r="I189" s="10"/>
      <c r="J189" s="10"/>
    </row>
    <row r="190">
      <c r="C190" s="38"/>
      <c r="D190" s="38"/>
      <c r="E190" s="10"/>
      <c r="I190" s="10"/>
      <c r="J190" s="10"/>
    </row>
    <row r="191">
      <c r="C191" s="38"/>
      <c r="D191" s="38"/>
      <c r="E191" s="10"/>
      <c r="I191" s="10"/>
      <c r="J191" s="10"/>
    </row>
    <row r="192">
      <c r="C192" s="38"/>
      <c r="D192" s="38"/>
      <c r="E192" s="10"/>
      <c r="I192" s="10"/>
      <c r="J192" s="10"/>
    </row>
    <row r="193">
      <c r="C193" s="38"/>
      <c r="D193" s="38"/>
      <c r="E193" s="10"/>
      <c r="I193" s="10"/>
      <c r="J193" s="10"/>
    </row>
    <row r="194">
      <c r="C194" s="38"/>
      <c r="D194" s="38"/>
      <c r="E194" s="10"/>
      <c r="I194" s="10"/>
      <c r="J194" s="10"/>
    </row>
    <row r="195">
      <c r="C195" s="38"/>
      <c r="D195" s="38"/>
      <c r="E195" s="10"/>
      <c r="I195" s="10"/>
      <c r="J195" s="10"/>
    </row>
    <row r="196">
      <c r="C196" s="38"/>
      <c r="D196" s="38"/>
      <c r="E196" s="10"/>
      <c r="I196" s="10"/>
      <c r="J196" s="10"/>
    </row>
    <row r="197">
      <c r="C197" s="38"/>
      <c r="D197" s="38"/>
      <c r="E197" s="10"/>
      <c r="I197" s="10"/>
      <c r="J197" s="10"/>
    </row>
    <row r="198">
      <c r="C198" s="38"/>
      <c r="D198" s="38"/>
      <c r="E198" s="10"/>
      <c r="I198" s="10"/>
      <c r="J198" s="10"/>
    </row>
    <row r="199">
      <c r="C199" s="38"/>
      <c r="D199" s="38"/>
      <c r="E199" s="10"/>
      <c r="I199" s="10"/>
      <c r="J199" s="10"/>
    </row>
    <row r="200">
      <c r="C200" s="38"/>
      <c r="D200" s="38"/>
      <c r="E200" s="10"/>
      <c r="I200" s="10"/>
      <c r="J200" s="10"/>
    </row>
    <row r="201">
      <c r="C201" s="38"/>
      <c r="D201" s="38"/>
      <c r="E201" s="10"/>
      <c r="I201" s="10"/>
      <c r="J201" s="10"/>
    </row>
    <row r="202">
      <c r="C202" s="38"/>
      <c r="D202" s="38"/>
      <c r="E202" s="10"/>
      <c r="I202" s="10"/>
      <c r="J202" s="10"/>
    </row>
    <row r="203">
      <c r="C203" s="38"/>
      <c r="D203" s="38"/>
      <c r="E203" s="10"/>
      <c r="I203" s="10"/>
      <c r="J203" s="10"/>
    </row>
    <row r="204">
      <c r="C204" s="38"/>
      <c r="D204" s="38"/>
      <c r="E204" s="10"/>
      <c r="I204" s="10"/>
      <c r="J204" s="10"/>
    </row>
    <row r="205">
      <c r="C205" s="38"/>
      <c r="D205" s="38"/>
      <c r="E205" s="10"/>
      <c r="I205" s="10"/>
      <c r="J205" s="10"/>
    </row>
    <row r="206">
      <c r="C206" s="38"/>
      <c r="D206" s="38"/>
      <c r="E206" s="10"/>
      <c r="I206" s="10"/>
      <c r="J206" s="10"/>
    </row>
    <row r="207">
      <c r="C207" s="38"/>
      <c r="D207" s="38"/>
      <c r="E207" s="10"/>
      <c r="I207" s="10"/>
      <c r="J207" s="10"/>
    </row>
    <row r="208">
      <c r="C208" s="38"/>
      <c r="D208" s="38"/>
      <c r="E208" s="10"/>
      <c r="I208" s="10"/>
      <c r="J208" s="10"/>
    </row>
    <row r="209">
      <c r="C209" s="38"/>
      <c r="D209" s="38"/>
      <c r="E209" s="10"/>
      <c r="I209" s="10"/>
      <c r="J209" s="10"/>
    </row>
    <row r="210">
      <c r="C210" s="38"/>
      <c r="D210" s="38"/>
      <c r="E210" s="10"/>
      <c r="I210" s="10"/>
      <c r="J210" s="10"/>
    </row>
    <row r="211">
      <c r="C211" s="38"/>
      <c r="D211" s="38"/>
      <c r="E211" s="10"/>
      <c r="I211" s="10"/>
      <c r="J211" s="10"/>
    </row>
    <row r="212">
      <c r="C212" s="38"/>
      <c r="D212" s="38"/>
      <c r="E212" s="10"/>
      <c r="I212" s="10"/>
      <c r="J212" s="10"/>
    </row>
    <row r="213">
      <c r="C213" s="38"/>
      <c r="D213" s="38"/>
      <c r="E213" s="10"/>
      <c r="I213" s="10"/>
      <c r="J213" s="10"/>
    </row>
    <row r="214">
      <c r="C214" s="38"/>
      <c r="D214" s="38"/>
      <c r="E214" s="10"/>
      <c r="I214" s="10"/>
      <c r="J214" s="10"/>
    </row>
    <row r="215">
      <c r="C215" s="38"/>
      <c r="D215" s="38"/>
      <c r="E215" s="10"/>
      <c r="I215" s="10"/>
      <c r="J215" s="10"/>
    </row>
    <row r="216">
      <c r="C216" s="38"/>
      <c r="D216" s="38"/>
      <c r="E216" s="10"/>
      <c r="I216" s="10"/>
      <c r="J216" s="10"/>
    </row>
    <row r="217">
      <c r="C217" s="38"/>
      <c r="D217" s="38"/>
      <c r="E217" s="10"/>
      <c r="I217" s="10"/>
      <c r="J217" s="10"/>
    </row>
    <row r="218">
      <c r="C218" s="38"/>
      <c r="D218" s="38"/>
      <c r="E218" s="10"/>
      <c r="I218" s="10"/>
      <c r="J218" s="10"/>
    </row>
    <row r="219">
      <c r="C219" s="38"/>
      <c r="D219" s="38"/>
      <c r="E219" s="10"/>
      <c r="I219" s="10"/>
      <c r="J219" s="10"/>
    </row>
    <row r="220">
      <c r="C220" s="38"/>
      <c r="D220" s="38"/>
      <c r="E220" s="10"/>
      <c r="I220" s="10"/>
      <c r="J220" s="10"/>
    </row>
    <row r="221">
      <c r="C221" s="38"/>
      <c r="D221" s="38"/>
      <c r="E221" s="10"/>
      <c r="I221" s="10"/>
      <c r="J221" s="10"/>
    </row>
    <row r="222">
      <c r="C222" s="38"/>
      <c r="D222" s="38"/>
      <c r="E222" s="10"/>
      <c r="I222" s="10"/>
      <c r="J222" s="10"/>
    </row>
    <row r="223">
      <c r="C223" s="38"/>
      <c r="D223" s="38"/>
      <c r="E223" s="10"/>
      <c r="I223" s="10"/>
      <c r="J223" s="10"/>
    </row>
    <row r="224">
      <c r="C224" s="38"/>
      <c r="D224" s="38"/>
      <c r="E224" s="10"/>
      <c r="I224" s="10"/>
      <c r="J224" s="10"/>
    </row>
    <row r="225">
      <c r="C225" s="38"/>
      <c r="D225" s="38"/>
      <c r="E225" s="10"/>
      <c r="I225" s="10"/>
      <c r="J225" s="10"/>
    </row>
    <row r="226">
      <c r="C226" s="38"/>
      <c r="D226" s="38"/>
      <c r="E226" s="10"/>
      <c r="I226" s="10"/>
      <c r="J226" s="10"/>
    </row>
    <row r="227">
      <c r="C227" s="38"/>
      <c r="D227" s="38"/>
      <c r="E227" s="10"/>
      <c r="I227" s="10"/>
      <c r="J227" s="10"/>
    </row>
    <row r="228">
      <c r="C228" s="38"/>
      <c r="D228" s="38"/>
      <c r="E228" s="10"/>
      <c r="I228" s="10"/>
      <c r="J228" s="10"/>
    </row>
    <row r="229">
      <c r="C229" s="38"/>
      <c r="D229" s="38"/>
      <c r="E229" s="10"/>
      <c r="I229" s="10"/>
      <c r="J229" s="10"/>
    </row>
    <row r="230">
      <c r="C230" s="38"/>
      <c r="D230" s="38"/>
      <c r="E230" s="10"/>
      <c r="I230" s="10"/>
      <c r="J230" s="10"/>
    </row>
    <row r="231">
      <c r="C231" s="38"/>
      <c r="D231" s="38"/>
      <c r="E231" s="10"/>
      <c r="I231" s="10"/>
      <c r="J231" s="10"/>
    </row>
    <row r="232">
      <c r="C232" s="38"/>
      <c r="D232" s="38"/>
      <c r="E232" s="10"/>
      <c r="I232" s="10"/>
      <c r="J232" s="10"/>
    </row>
    <row r="233">
      <c r="C233" s="38"/>
      <c r="D233" s="38"/>
      <c r="E233" s="10"/>
      <c r="I233" s="10"/>
      <c r="J233" s="10"/>
    </row>
    <row r="234">
      <c r="C234" s="38"/>
      <c r="D234" s="38"/>
      <c r="E234" s="10"/>
      <c r="I234" s="10"/>
      <c r="J234" s="10"/>
    </row>
    <row r="235">
      <c r="C235" s="38"/>
      <c r="D235" s="38"/>
      <c r="E235" s="10"/>
      <c r="I235" s="10"/>
      <c r="J235" s="10"/>
    </row>
    <row r="236">
      <c r="C236" s="38"/>
      <c r="D236" s="38"/>
      <c r="E236" s="10"/>
      <c r="I236" s="10"/>
      <c r="J236" s="10"/>
    </row>
    <row r="237">
      <c r="C237" s="38"/>
      <c r="D237" s="38"/>
      <c r="E237" s="10"/>
      <c r="I237" s="10"/>
      <c r="J237" s="10"/>
    </row>
    <row r="238">
      <c r="C238" s="38"/>
      <c r="D238" s="38"/>
      <c r="E238" s="10"/>
      <c r="I238" s="10"/>
      <c r="J238" s="10"/>
    </row>
    <row r="239">
      <c r="C239" s="38"/>
      <c r="D239" s="38"/>
      <c r="E239" s="10"/>
      <c r="I239" s="10"/>
      <c r="J239" s="10"/>
    </row>
    <row r="240">
      <c r="C240" s="38"/>
      <c r="D240" s="38"/>
      <c r="E240" s="10"/>
      <c r="I240" s="10"/>
      <c r="J240" s="10"/>
    </row>
    <row r="241">
      <c r="C241" s="38"/>
      <c r="D241" s="38"/>
      <c r="E241" s="10"/>
      <c r="I241" s="10"/>
      <c r="J241" s="10"/>
    </row>
    <row r="242">
      <c r="C242" s="38"/>
      <c r="D242" s="38"/>
      <c r="E242" s="10"/>
      <c r="I242" s="10"/>
      <c r="J242" s="10"/>
    </row>
    <row r="243">
      <c r="C243" s="38"/>
      <c r="D243" s="38"/>
      <c r="E243" s="10"/>
      <c r="I243" s="10"/>
      <c r="J243" s="10"/>
    </row>
    <row r="244">
      <c r="C244" s="38"/>
      <c r="D244" s="38"/>
      <c r="E244" s="10"/>
      <c r="I244" s="10"/>
      <c r="J244" s="10"/>
    </row>
    <row r="245">
      <c r="C245" s="38"/>
      <c r="D245" s="38"/>
      <c r="E245" s="10"/>
      <c r="I245" s="10"/>
      <c r="J245" s="10"/>
    </row>
    <row r="246">
      <c r="C246" s="38"/>
      <c r="D246" s="38"/>
      <c r="E246" s="10"/>
      <c r="I246" s="10"/>
      <c r="J246" s="10"/>
    </row>
    <row r="247">
      <c r="C247" s="38"/>
      <c r="D247" s="38"/>
      <c r="E247" s="10"/>
      <c r="I247" s="10"/>
      <c r="J247" s="10"/>
    </row>
    <row r="248">
      <c r="C248" s="38"/>
      <c r="D248" s="38"/>
      <c r="E248" s="10"/>
      <c r="I248" s="10"/>
      <c r="J248" s="10"/>
    </row>
    <row r="249">
      <c r="C249" s="38"/>
      <c r="D249" s="38"/>
      <c r="E249" s="10"/>
      <c r="I249" s="10"/>
      <c r="J249" s="10"/>
    </row>
    <row r="250">
      <c r="C250" s="38"/>
      <c r="D250" s="38"/>
      <c r="E250" s="10"/>
      <c r="I250" s="10"/>
      <c r="J250" s="10"/>
    </row>
    <row r="251">
      <c r="C251" s="38"/>
      <c r="D251" s="38"/>
      <c r="E251" s="10"/>
      <c r="I251" s="10"/>
      <c r="J251" s="10"/>
    </row>
    <row r="252">
      <c r="C252" s="38"/>
      <c r="D252" s="38"/>
      <c r="E252" s="10"/>
      <c r="I252" s="10"/>
      <c r="J252" s="10"/>
    </row>
    <row r="253">
      <c r="C253" s="38"/>
      <c r="D253" s="38"/>
      <c r="E253" s="10"/>
      <c r="I253" s="10"/>
      <c r="J253" s="10"/>
    </row>
    <row r="254">
      <c r="C254" s="38"/>
      <c r="D254" s="38"/>
      <c r="E254" s="10"/>
      <c r="I254" s="10"/>
      <c r="J254" s="10"/>
    </row>
    <row r="255">
      <c r="C255" s="38"/>
      <c r="D255" s="38"/>
      <c r="E255" s="10"/>
      <c r="I255" s="10"/>
      <c r="J255" s="10"/>
    </row>
    <row r="256">
      <c r="C256" s="38"/>
      <c r="D256" s="38"/>
      <c r="E256" s="10"/>
      <c r="I256" s="10"/>
      <c r="J256" s="10"/>
    </row>
    <row r="257">
      <c r="C257" s="38"/>
      <c r="D257" s="38"/>
      <c r="E257" s="10"/>
      <c r="I257" s="10"/>
      <c r="J257" s="10"/>
    </row>
    <row r="258">
      <c r="C258" s="38"/>
      <c r="D258" s="38"/>
      <c r="E258" s="10"/>
      <c r="I258" s="10"/>
      <c r="J258" s="10"/>
    </row>
    <row r="259">
      <c r="C259" s="38"/>
      <c r="D259" s="38"/>
      <c r="E259" s="10"/>
      <c r="I259" s="10"/>
      <c r="J259" s="10"/>
    </row>
    <row r="260">
      <c r="C260" s="38"/>
      <c r="D260" s="38"/>
      <c r="E260" s="10"/>
      <c r="I260" s="10"/>
      <c r="J260" s="10"/>
    </row>
    <row r="261">
      <c r="C261" s="38"/>
      <c r="D261" s="38"/>
      <c r="E261" s="10"/>
      <c r="I261" s="10"/>
      <c r="J261" s="10"/>
    </row>
    <row r="262">
      <c r="C262" s="38"/>
      <c r="D262" s="38"/>
      <c r="E262" s="10"/>
      <c r="I262" s="10"/>
      <c r="J262" s="10"/>
    </row>
    <row r="263">
      <c r="C263" s="38"/>
      <c r="D263" s="38"/>
      <c r="E263" s="10"/>
      <c r="I263" s="10"/>
      <c r="J263" s="10"/>
    </row>
    <row r="264">
      <c r="C264" s="38"/>
      <c r="D264" s="38"/>
      <c r="E264" s="10"/>
      <c r="I264" s="10"/>
      <c r="J264" s="10"/>
    </row>
    <row r="265">
      <c r="C265" s="38"/>
      <c r="D265" s="38"/>
      <c r="E265" s="10"/>
      <c r="I265" s="10"/>
      <c r="J265" s="10"/>
    </row>
    <row r="266">
      <c r="C266" s="38"/>
      <c r="D266" s="38"/>
      <c r="E266" s="10"/>
      <c r="I266" s="10"/>
      <c r="J266" s="10"/>
    </row>
    <row r="267">
      <c r="C267" s="38"/>
      <c r="D267" s="38"/>
      <c r="E267" s="10"/>
      <c r="I267" s="10"/>
      <c r="J267" s="10"/>
    </row>
    <row r="268">
      <c r="C268" s="38"/>
      <c r="D268" s="38"/>
      <c r="E268" s="10"/>
      <c r="I268" s="10"/>
      <c r="J268" s="10"/>
    </row>
    <row r="269">
      <c r="C269" s="38"/>
      <c r="D269" s="38"/>
      <c r="E269" s="10"/>
      <c r="I269" s="10"/>
      <c r="J269" s="10"/>
    </row>
    <row r="270">
      <c r="C270" s="38"/>
      <c r="D270" s="38"/>
      <c r="E270" s="10"/>
      <c r="I270" s="10"/>
      <c r="J270" s="10"/>
    </row>
    <row r="271">
      <c r="C271" s="38"/>
      <c r="D271" s="38"/>
      <c r="E271" s="10"/>
      <c r="I271" s="10"/>
      <c r="J271" s="10"/>
    </row>
    <row r="272">
      <c r="C272" s="38"/>
      <c r="D272" s="38"/>
      <c r="E272" s="10"/>
      <c r="I272" s="10"/>
      <c r="J272" s="10"/>
    </row>
    <row r="273">
      <c r="C273" s="38"/>
      <c r="D273" s="38"/>
      <c r="E273" s="10"/>
      <c r="I273" s="10"/>
      <c r="J273" s="10"/>
    </row>
    <row r="274">
      <c r="C274" s="38"/>
      <c r="D274" s="38"/>
      <c r="E274" s="10"/>
      <c r="I274" s="10"/>
      <c r="J274" s="10"/>
    </row>
    <row r="275">
      <c r="C275" s="38"/>
      <c r="D275" s="38"/>
      <c r="E275" s="10"/>
      <c r="I275" s="10"/>
      <c r="J275" s="10"/>
    </row>
    <row r="276">
      <c r="C276" s="38"/>
      <c r="D276" s="38"/>
      <c r="E276" s="10"/>
      <c r="I276" s="10"/>
      <c r="J276" s="10"/>
    </row>
    <row r="277">
      <c r="C277" s="38"/>
      <c r="D277" s="38"/>
      <c r="E277" s="10"/>
      <c r="I277" s="10"/>
      <c r="J277" s="10"/>
    </row>
    <row r="278">
      <c r="C278" s="38"/>
      <c r="D278" s="38"/>
      <c r="E278" s="10"/>
      <c r="I278" s="10"/>
      <c r="J278" s="10"/>
    </row>
    <row r="279">
      <c r="C279" s="38"/>
      <c r="D279" s="38"/>
      <c r="E279" s="10"/>
      <c r="I279" s="10"/>
      <c r="J279" s="10"/>
    </row>
    <row r="280">
      <c r="C280" s="38"/>
      <c r="D280" s="38"/>
      <c r="E280" s="10"/>
      <c r="I280" s="10"/>
      <c r="J280" s="10"/>
    </row>
    <row r="281">
      <c r="C281" s="38"/>
      <c r="D281" s="38"/>
      <c r="E281" s="10"/>
      <c r="I281" s="10"/>
      <c r="J281" s="10"/>
    </row>
    <row r="282">
      <c r="C282" s="38"/>
      <c r="D282" s="38"/>
      <c r="E282" s="10"/>
      <c r="I282" s="10"/>
      <c r="J282" s="10"/>
    </row>
    <row r="283">
      <c r="C283" s="38"/>
      <c r="D283" s="38"/>
      <c r="E283" s="10"/>
      <c r="I283" s="10"/>
      <c r="J283" s="10"/>
    </row>
    <row r="284">
      <c r="C284" s="38"/>
      <c r="D284" s="38"/>
      <c r="E284" s="10"/>
      <c r="I284" s="10"/>
      <c r="J284" s="10"/>
    </row>
    <row r="285">
      <c r="C285" s="38"/>
      <c r="D285" s="38"/>
      <c r="E285" s="10"/>
      <c r="I285" s="10"/>
      <c r="J285" s="10"/>
    </row>
    <row r="286">
      <c r="C286" s="38"/>
      <c r="D286" s="38"/>
      <c r="E286" s="10"/>
      <c r="I286" s="10"/>
      <c r="J286" s="10"/>
    </row>
    <row r="287">
      <c r="C287" s="38"/>
      <c r="D287" s="38"/>
      <c r="E287" s="10"/>
      <c r="I287" s="10"/>
      <c r="J287" s="10"/>
    </row>
    <row r="288">
      <c r="C288" s="38"/>
      <c r="D288" s="38"/>
      <c r="E288" s="10"/>
      <c r="I288" s="10"/>
      <c r="J288" s="10"/>
    </row>
    <row r="289">
      <c r="C289" s="38"/>
      <c r="D289" s="38"/>
      <c r="E289" s="10"/>
      <c r="I289" s="10"/>
      <c r="J289" s="10"/>
    </row>
    <row r="290">
      <c r="C290" s="38"/>
      <c r="D290" s="38"/>
      <c r="E290" s="10"/>
      <c r="I290" s="10"/>
      <c r="J290" s="10"/>
    </row>
    <row r="291">
      <c r="C291" s="38"/>
      <c r="D291" s="38"/>
      <c r="E291" s="10"/>
      <c r="I291" s="10"/>
      <c r="J291" s="10"/>
    </row>
    <row r="292">
      <c r="C292" s="38"/>
      <c r="D292" s="38"/>
      <c r="E292" s="10"/>
      <c r="I292" s="10"/>
      <c r="J292" s="10"/>
    </row>
    <row r="293">
      <c r="C293" s="38"/>
      <c r="D293" s="38"/>
      <c r="E293" s="10"/>
      <c r="I293" s="10"/>
      <c r="J293" s="10"/>
    </row>
    <row r="294">
      <c r="C294" s="38"/>
      <c r="D294" s="38"/>
      <c r="E294" s="10"/>
      <c r="I294" s="10"/>
      <c r="J294" s="10"/>
    </row>
    <row r="295">
      <c r="C295" s="38"/>
      <c r="D295" s="38"/>
      <c r="E295" s="10"/>
      <c r="I295" s="10"/>
      <c r="J295" s="10"/>
    </row>
    <row r="296">
      <c r="C296" s="38"/>
      <c r="D296" s="38"/>
      <c r="E296" s="10"/>
      <c r="I296" s="10"/>
      <c r="J296" s="10"/>
    </row>
    <row r="297">
      <c r="C297" s="38"/>
      <c r="D297" s="38"/>
      <c r="E297" s="10"/>
      <c r="I297" s="10"/>
      <c r="J297" s="10"/>
    </row>
    <row r="298">
      <c r="C298" s="38"/>
      <c r="D298" s="38"/>
      <c r="E298" s="10"/>
      <c r="I298" s="10"/>
      <c r="J298" s="10"/>
    </row>
    <row r="299">
      <c r="C299" s="38"/>
      <c r="D299" s="38"/>
      <c r="E299" s="10"/>
      <c r="I299" s="10"/>
      <c r="J299" s="10"/>
    </row>
    <row r="300">
      <c r="C300" s="38"/>
      <c r="D300" s="38"/>
      <c r="E300" s="10"/>
      <c r="I300" s="10"/>
      <c r="J300" s="10"/>
    </row>
    <row r="301">
      <c r="C301" s="38"/>
      <c r="D301" s="38"/>
      <c r="E301" s="10"/>
      <c r="I301" s="10"/>
      <c r="J301" s="10"/>
    </row>
    <row r="302">
      <c r="C302" s="38"/>
      <c r="D302" s="38"/>
      <c r="E302" s="10"/>
      <c r="I302" s="10"/>
      <c r="J302" s="10"/>
    </row>
    <row r="303">
      <c r="C303" s="38"/>
      <c r="D303" s="38"/>
      <c r="E303" s="10"/>
      <c r="I303" s="10"/>
      <c r="J303" s="10"/>
    </row>
    <row r="304">
      <c r="C304" s="38"/>
      <c r="D304" s="38"/>
      <c r="E304" s="10"/>
      <c r="I304" s="10"/>
      <c r="J304" s="10"/>
    </row>
    <row r="305">
      <c r="C305" s="38"/>
      <c r="D305" s="38"/>
      <c r="E305" s="10"/>
      <c r="I305" s="10"/>
      <c r="J305" s="10"/>
    </row>
    <row r="306">
      <c r="C306" s="38"/>
      <c r="D306" s="38"/>
      <c r="E306" s="10"/>
      <c r="I306" s="10"/>
      <c r="J306" s="10"/>
    </row>
    <row r="307">
      <c r="C307" s="38"/>
      <c r="D307" s="38"/>
      <c r="E307" s="10"/>
      <c r="I307" s="10"/>
      <c r="J307" s="10"/>
    </row>
    <row r="308">
      <c r="C308" s="38"/>
      <c r="D308" s="38"/>
      <c r="E308" s="10"/>
      <c r="I308" s="10"/>
      <c r="J308" s="10"/>
    </row>
    <row r="309">
      <c r="C309" s="38"/>
      <c r="D309" s="38"/>
      <c r="E309" s="10"/>
      <c r="I309" s="10"/>
      <c r="J309" s="10"/>
    </row>
    <row r="310">
      <c r="C310" s="38"/>
      <c r="D310" s="38"/>
      <c r="E310" s="10"/>
      <c r="I310" s="10"/>
      <c r="J310" s="10"/>
    </row>
    <row r="311">
      <c r="C311" s="38"/>
      <c r="D311" s="38"/>
      <c r="E311" s="10"/>
      <c r="I311" s="10"/>
      <c r="J311" s="10"/>
    </row>
    <row r="312">
      <c r="C312" s="38"/>
      <c r="D312" s="38"/>
      <c r="E312" s="10"/>
      <c r="I312" s="10"/>
      <c r="J312" s="10"/>
    </row>
    <row r="313">
      <c r="C313" s="38"/>
      <c r="D313" s="38"/>
      <c r="E313" s="10"/>
      <c r="I313" s="10"/>
      <c r="J313" s="10"/>
    </row>
    <row r="314">
      <c r="C314" s="38"/>
      <c r="D314" s="38"/>
      <c r="E314" s="10"/>
      <c r="I314" s="10"/>
      <c r="J314" s="10"/>
    </row>
    <row r="315">
      <c r="C315" s="38"/>
      <c r="D315" s="38"/>
      <c r="E315" s="10"/>
      <c r="I315" s="10"/>
      <c r="J315" s="10"/>
    </row>
    <row r="316">
      <c r="C316" s="38"/>
      <c r="D316" s="38"/>
      <c r="E316" s="10"/>
      <c r="I316" s="10"/>
      <c r="J316" s="10"/>
    </row>
    <row r="317">
      <c r="C317" s="38"/>
      <c r="D317" s="38"/>
      <c r="E317" s="10"/>
      <c r="I317" s="10"/>
      <c r="J317" s="10"/>
    </row>
    <row r="318">
      <c r="C318" s="38"/>
      <c r="D318" s="38"/>
      <c r="E318" s="10"/>
      <c r="I318" s="10"/>
      <c r="J318" s="10"/>
    </row>
    <row r="319">
      <c r="C319" s="38"/>
      <c r="D319" s="38"/>
      <c r="E319" s="10"/>
      <c r="I319" s="10"/>
      <c r="J319" s="10"/>
    </row>
    <row r="320">
      <c r="C320" s="38"/>
      <c r="D320" s="38"/>
      <c r="E320" s="10"/>
      <c r="I320" s="10"/>
      <c r="J320" s="10"/>
    </row>
    <row r="321">
      <c r="C321" s="38"/>
      <c r="D321" s="38"/>
      <c r="E321" s="10"/>
      <c r="I321" s="10"/>
      <c r="J321" s="10"/>
    </row>
    <row r="322">
      <c r="C322" s="38"/>
      <c r="D322" s="38"/>
      <c r="E322" s="10"/>
      <c r="I322" s="10"/>
      <c r="J322" s="10"/>
    </row>
    <row r="323">
      <c r="C323" s="38"/>
      <c r="D323" s="38"/>
      <c r="E323" s="10"/>
      <c r="I323" s="10"/>
      <c r="J323" s="10"/>
    </row>
    <row r="324">
      <c r="C324" s="38"/>
      <c r="D324" s="38"/>
      <c r="E324" s="10"/>
      <c r="I324" s="10"/>
      <c r="J324" s="10"/>
    </row>
    <row r="325">
      <c r="C325" s="38"/>
      <c r="D325" s="38"/>
      <c r="E325" s="10"/>
      <c r="I325" s="10"/>
      <c r="J325" s="10"/>
    </row>
    <row r="326">
      <c r="C326" s="38"/>
      <c r="D326" s="38"/>
      <c r="E326" s="10"/>
      <c r="I326" s="10"/>
      <c r="J326" s="10"/>
    </row>
    <row r="327">
      <c r="C327" s="38"/>
      <c r="D327" s="38"/>
      <c r="E327" s="10"/>
      <c r="I327" s="10"/>
      <c r="J327" s="10"/>
    </row>
    <row r="328">
      <c r="C328" s="38"/>
      <c r="D328" s="38"/>
      <c r="E328" s="10"/>
      <c r="I328" s="10"/>
      <c r="J328" s="10"/>
    </row>
    <row r="329">
      <c r="C329" s="38"/>
      <c r="D329" s="38"/>
      <c r="E329" s="10"/>
      <c r="I329" s="10"/>
      <c r="J329" s="10"/>
    </row>
    <row r="330">
      <c r="C330" s="38"/>
      <c r="D330" s="38"/>
      <c r="E330" s="10"/>
      <c r="I330" s="10"/>
      <c r="J330" s="10"/>
    </row>
    <row r="331">
      <c r="C331" s="38"/>
      <c r="D331" s="38"/>
      <c r="E331" s="10"/>
      <c r="I331" s="10"/>
      <c r="J331" s="10"/>
    </row>
    <row r="332">
      <c r="C332" s="38"/>
      <c r="D332" s="38"/>
      <c r="E332" s="10"/>
      <c r="I332" s="10"/>
      <c r="J332" s="10"/>
    </row>
    <row r="333">
      <c r="C333" s="38"/>
      <c r="D333" s="38"/>
      <c r="E333" s="10"/>
      <c r="I333" s="10"/>
      <c r="J333" s="10"/>
    </row>
    <row r="334">
      <c r="C334" s="38"/>
      <c r="D334" s="38"/>
      <c r="E334" s="10"/>
      <c r="I334" s="10"/>
      <c r="J334" s="10"/>
    </row>
    <row r="335">
      <c r="C335" s="38"/>
      <c r="D335" s="38"/>
      <c r="E335" s="10"/>
      <c r="I335" s="10"/>
      <c r="J335" s="10"/>
    </row>
    <row r="336">
      <c r="C336" s="38"/>
      <c r="D336" s="38"/>
      <c r="E336" s="10"/>
      <c r="I336" s="10"/>
      <c r="J336" s="10"/>
    </row>
    <row r="337">
      <c r="C337" s="38"/>
      <c r="D337" s="38"/>
      <c r="E337" s="10"/>
      <c r="I337" s="10"/>
      <c r="J337" s="10"/>
    </row>
    <row r="338">
      <c r="C338" s="38"/>
      <c r="D338" s="38"/>
      <c r="E338" s="10"/>
      <c r="I338" s="10"/>
      <c r="J338" s="10"/>
    </row>
    <row r="339">
      <c r="C339" s="38"/>
      <c r="D339" s="38"/>
      <c r="E339" s="10"/>
      <c r="I339" s="10"/>
      <c r="J339" s="10"/>
    </row>
    <row r="340">
      <c r="C340" s="38"/>
      <c r="D340" s="38"/>
      <c r="E340" s="10"/>
      <c r="I340" s="10"/>
      <c r="J340" s="10"/>
    </row>
    <row r="341">
      <c r="C341" s="38"/>
      <c r="D341" s="38"/>
      <c r="E341" s="10"/>
      <c r="I341" s="10"/>
      <c r="J341" s="10"/>
    </row>
    <row r="342">
      <c r="C342" s="38"/>
      <c r="D342" s="38"/>
      <c r="E342" s="10"/>
      <c r="I342" s="10"/>
      <c r="J342" s="10"/>
    </row>
    <row r="343">
      <c r="C343" s="38"/>
      <c r="D343" s="38"/>
      <c r="E343" s="10"/>
      <c r="I343" s="10"/>
      <c r="J343" s="10"/>
    </row>
    <row r="344">
      <c r="C344" s="38"/>
      <c r="D344" s="38"/>
      <c r="E344" s="10"/>
      <c r="I344" s="10"/>
      <c r="J344" s="10"/>
    </row>
    <row r="345">
      <c r="C345" s="38"/>
      <c r="D345" s="38"/>
      <c r="E345" s="10"/>
      <c r="I345" s="10"/>
      <c r="J345" s="10"/>
    </row>
    <row r="346">
      <c r="C346" s="38"/>
      <c r="D346" s="38"/>
      <c r="E346" s="10"/>
      <c r="I346" s="10"/>
      <c r="J346" s="10"/>
    </row>
    <row r="347">
      <c r="C347" s="38"/>
      <c r="D347" s="38"/>
      <c r="E347" s="10"/>
      <c r="I347" s="10"/>
      <c r="J347" s="10"/>
    </row>
    <row r="348">
      <c r="C348" s="38"/>
      <c r="D348" s="38"/>
      <c r="E348" s="10"/>
      <c r="I348" s="10"/>
      <c r="J348" s="10"/>
    </row>
    <row r="349">
      <c r="C349" s="38"/>
      <c r="D349" s="38"/>
      <c r="E349" s="10"/>
      <c r="I349" s="10"/>
      <c r="J349" s="10"/>
    </row>
    <row r="350">
      <c r="C350" s="38"/>
      <c r="D350" s="38"/>
      <c r="E350" s="10"/>
      <c r="I350" s="10"/>
      <c r="J350" s="10"/>
    </row>
    <row r="351">
      <c r="C351" s="38"/>
      <c r="D351" s="38"/>
      <c r="E351" s="10"/>
      <c r="I351" s="10"/>
      <c r="J351" s="10"/>
    </row>
    <row r="352">
      <c r="C352" s="38"/>
      <c r="D352" s="38"/>
      <c r="E352" s="10"/>
      <c r="I352" s="10"/>
      <c r="J352" s="10"/>
    </row>
    <row r="353">
      <c r="C353" s="38"/>
      <c r="D353" s="38"/>
      <c r="E353" s="10"/>
      <c r="I353" s="10"/>
      <c r="J353" s="10"/>
    </row>
    <row r="354">
      <c r="C354" s="38"/>
      <c r="D354" s="38"/>
      <c r="E354" s="10"/>
      <c r="I354" s="10"/>
      <c r="J354" s="10"/>
    </row>
    <row r="355">
      <c r="C355" s="38"/>
      <c r="D355" s="38"/>
      <c r="E355" s="10"/>
      <c r="I355" s="10"/>
      <c r="J355" s="10"/>
    </row>
    <row r="356">
      <c r="C356" s="38"/>
      <c r="D356" s="38"/>
      <c r="E356" s="10"/>
      <c r="I356" s="10"/>
      <c r="J356" s="10"/>
    </row>
    <row r="357">
      <c r="C357" s="38"/>
      <c r="D357" s="38"/>
      <c r="E357" s="10"/>
      <c r="I357" s="10"/>
      <c r="J357" s="10"/>
    </row>
    <row r="358">
      <c r="C358" s="38"/>
      <c r="D358" s="38"/>
      <c r="E358" s="10"/>
      <c r="I358" s="10"/>
      <c r="J358" s="10"/>
    </row>
    <row r="359">
      <c r="C359" s="38"/>
      <c r="D359" s="38"/>
      <c r="E359" s="10"/>
      <c r="I359" s="10"/>
      <c r="J359" s="10"/>
    </row>
    <row r="360">
      <c r="C360" s="38"/>
      <c r="D360" s="38"/>
      <c r="E360" s="10"/>
      <c r="I360" s="10"/>
      <c r="J360" s="10"/>
    </row>
    <row r="361">
      <c r="C361" s="38"/>
      <c r="D361" s="38"/>
      <c r="E361" s="10"/>
      <c r="I361" s="10"/>
      <c r="J361" s="10"/>
    </row>
    <row r="362">
      <c r="C362" s="38"/>
      <c r="D362" s="38"/>
      <c r="E362" s="10"/>
      <c r="I362" s="10"/>
      <c r="J362" s="10"/>
    </row>
    <row r="363">
      <c r="C363" s="38"/>
      <c r="D363" s="38"/>
      <c r="E363" s="10"/>
      <c r="I363" s="10"/>
      <c r="J363" s="10"/>
    </row>
    <row r="364">
      <c r="C364" s="38"/>
      <c r="D364" s="38"/>
      <c r="E364" s="10"/>
      <c r="I364" s="10"/>
      <c r="J364" s="10"/>
    </row>
    <row r="365">
      <c r="C365" s="38"/>
      <c r="D365" s="38"/>
      <c r="E365" s="10"/>
      <c r="I365" s="10"/>
      <c r="J365" s="10"/>
    </row>
    <row r="366">
      <c r="C366" s="38"/>
      <c r="D366" s="38"/>
      <c r="E366" s="10"/>
      <c r="I366" s="10"/>
      <c r="J366" s="10"/>
    </row>
    <row r="367">
      <c r="C367" s="38"/>
      <c r="D367" s="38"/>
      <c r="E367" s="10"/>
      <c r="I367" s="10"/>
      <c r="J367" s="10"/>
    </row>
    <row r="368">
      <c r="C368" s="38"/>
      <c r="D368" s="38"/>
      <c r="E368" s="10"/>
      <c r="I368" s="10"/>
      <c r="J368" s="10"/>
    </row>
    <row r="369">
      <c r="C369" s="38"/>
      <c r="D369" s="38"/>
      <c r="E369" s="10"/>
      <c r="I369" s="10"/>
      <c r="J369" s="10"/>
    </row>
    <row r="370">
      <c r="C370" s="38"/>
      <c r="D370" s="38"/>
      <c r="E370" s="10"/>
      <c r="I370" s="10"/>
      <c r="J370" s="10"/>
    </row>
    <row r="371">
      <c r="C371" s="38"/>
      <c r="D371" s="38"/>
      <c r="E371" s="10"/>
      <c r="I371" s="10"/>
      <c r="J371" s="10"/>
    </row>
    <row r="372">
      <c r="C372" s="38"/>
      <c r="D372" s="38"/>
      <c r="E372" s="10"/>
      <c r="I372" s="10"/>
      <c r="J372" s="10"/>
    </row>
    <row r="373">
      <c r="C373" s="38"/>
      <c r="D373" s="38"/>
      <c r="E373" s="10"/>
      <c r="I373" s="10"/>
      <c r="J373" s="10"/>
    </row>
    <row r="374">
      <c r="C374" s="38"/>
      <c r="D374" s="38"/>
      <c r="E374" s="10"/>
      <c r="I374" s="10"/>
      <c r="J374" s="10"/>
    </row>
    <row r="375">
      <c r="C375" s="38"/>
      <c r="D375" s="38"/>
      <c r="E375" s="10"/>
      <c r="I375" s="10"/>
      <c r="J375" s="10"/>
    </row>
    <row r="376">
      <c r="C376" s="38"/>
      <c r="D376" s="38"/>
      <c r="E376" s="10"/>
      <c r="I376" s="10"/>
      <c r="J376" s="10"/>
    </row>
    <row r="377">
      <c r="C377" s="38"/>
      <c r="D377" s="38"/>
      <c r="E377" s="10"/>
      <c r="I377" s="10"/>
      <c r="J377" s="10"/>
    </row>
    <row r="378">
      <c r="C378" s="38"/>
      <c r="D378" s="38"/>
      <c r="E378" s="10"/>
      <c r="I378" s="10"/>
      <c r="J378" s="10"/>
    </row>
    <row r="379">
      <c r="C379" s="38"/>
      <c r="D379" s="38"/>
      <c r="E379" s="10"/>
      <c r="I379" s="10"/>
      <c r="J379" s="10"/>
    </row>
    <row r="380">
      <c r="C380" s="38"/>
      <c r="D380" s="38"/>
      <c r="E380" s="10"/>
      <c r="I380" s="10"/>
      <c r="J380" s="10"/>
    </row>
    <row r="381">
      <c r="C381" s="38"/>
      <c r="D381" s="38"/>
      <c r="E381" s="10"/>
      <c r="I381" s="10"/>
      <c r="J381" s="10"/>
    </row>
    <row r="382">
      <c r="C382" s="38"/>
      <c r="D382" s="38"/>
      <c r="E382" s="10"/>
      <c r="I382" s="10"/>
      <c r="J382" s="10"/>
    </row>
    <row r="383">
      <c r="C383" s="38"/>
      <c r="D383" s="38"/>
      <c r="E383" s="10"/>
      <c r="I383" s="10"/>
      <c r="J383" s="10"/>
    </row>
    <row r="384">
      <c r="C384" s="38"/>
      <c r="D384" s="38"/>
      <c r="E384" s="10"/>
      <c r="I384" s="10"/>
      <c r="J384" s="10"/>
    </row>
    <row r="385">
      <c r="C385" s="38"/>
      <c r="D385" s="38"/>
      <c r="E385" s="10"/>
      <c r="I385" s="10"/>
      <c r="J385" s="10"/>
    </row>
    <row r="386">
      <c r="C386" s="38"/>
      <c r="D386" s="38"/>
      <c r="E386" s="10"/>
      <c r="I386" s="10"/>
      <c r="J386" s="10"/>
    </row>
    <row r="387">
      <c r="C387" s="38"/>
      <c r="D387" s="38"/>
      <c r="E387" s="10"/>
      <c r="I387" s="10"/>
      <c r="J387" s="10"/>
    </row>
    <row r="388">
      <c r="C388" s="38"/>
      <c r="D388" s="38"/>
      <c r="E388" s="10"/>
      <c r="I388" s="10"/>
      <c r="J388" s="10"/>
    </row>
    <row r="389">
      <c r="C389" s="38"/>
      <c r="D389" s="38"/>
      <c r="E389" s="10"/>
      <c r="I389" s="10"/>
      <c r="J389" s="10"/>
    </row>
    <row r="390">
      <c r="C390" s="38"/>
      <c r="D390" s="38"/>
      <c r="E390" s="10"/>
      <c r="I390" s="10"/>
      <c r="J390" s="10"/>
    </row>
    <row r="391">
      <c r="C391" s="38"/>
      <c r="D391" s="38"/>
      <c r="E391" s="10"/>
      <c r="I391" s="10"/>
      <c r="J391" s="10"/>
    </row>
    <row r="392">
      <c r="C392" s="38"/>
      <c r="D392" s="38"/>
      <c r="E392" s="10"/>
      <c r="I392" s="10"/>
      <c r="J392" s="10"/>
    </row>
    <row r="393">
      <c r="C393" s="38"/>
      <c r="D393" s="38"/>
      <c r="E393" s="10"/>
      <c r="I393" s="10"/>
      <c r="J393" s="10"/>
    </row>
    <row r="394">
      <c r="C394" s="38"/>
      <c r="D394" s="38"/>
      <c r="E394" s="10"/>
      <c r="I394" s="10"/>
      <c r="J394" s="10"/>
    </row>
    <row r="395">
      <c r="C395" s="38"/>
      <c r="D395" s="38"/>
      <c r="E395" s="10"/>
      <c r="I395" s="10"/>
      <c r="J395" s="10"/>
    </row>
    <row r="396">
      <c r="C396" s="38"/>
      <c r="D396" s="38"/>
      <c r="E396" s="10"/>
      <c r="I396" s="10"/>
      <c r="J396" s="10"/>
    </row>
    <row r="397">
      <c r="C397" s="38"/>
      <c r="D397" s="38"/>
      <c r="E397" s="10"/>
      <c r="I397" s="10"/>
      <c r="J397" s="10"/>
    </row>
    <row r="398">
      <c r="C398" s="38"/>
      <c r="D398" s="38"/>
      <c r="E398" s="10"/>
      <c r="I398" s="10"/>
      <c r="J398" s="10"/>
    </row>
    <row r="399">
      <c r="C399" s="38"/>
      <c r="D399" s="38"/>
      <c r="E399" s="10"/>
      <c r="I399" s="10"/>
      <c r="J399" s="10"/>
    </row>
    <row r="400">
      <c r="C400" s="38"/>
      <c r="D400" s="38"/>
      <c r="E400" s="10"/>
      <c r="I400" s="10"/>
      <c r="J400" s="10"/>
    </row>
    <row r="401">
      <c r="C401" s="38"/>
      <c r="D401" s="38"/>
      <c r="E401" s="10"/>
      <c r="I401" s="10"/>
      <c r="J401" s="10"/>
    </row>
    <row r="402">
      <c r="C402" s="38"/>
      <c r="D402" s="38"/>
      <c r="E402" s="10"/>
      <c r="I402" s="10"/>
      <c r="J402" s="10"/>
    </row>
    <row r="403">
      <c r="C403" s="38"/>
      <c r="D403" s="38"/>
      <c r="E403" s="10"/>
      <c r="I403" s="10"/>
      <c r="J403" s="10"/>
    </row>
    <row r="404">
      <c r="C404" s="38"/>
      <c r="D404" s="38"/>
      <c r="E404" s="10"/>
      <c r="I404" s="10"/>
      <c r="J404" s="10"/>
    </row>
    <row r="405">
      <c r="C405" s="38"/>
      <c r="D405" s="38"/>
      <c r="E405" s="10"/>
      <c r="I405" s="10"/>
      <c r="J405" s="10"/>
    </row>
    <row r="406">
      <c r="C406" s="38"/>
      <c r="D406" s="38"/>
      <c r="E406" s="10"/>
      <c r="I406" s="10"/>
      <c r="J406" s="10"/>
    </row>
    <row r="407">
      <c r="C407" s="38"/>
      <c r="D407" s="38"/>
      <c r="E407" s="10"/>
      <c r="I407" s="10"/>
      <c r="J407" s="10"/>
    </row>
    <row r="408">
      <c r="C408" s="38"/>
      <c r="D408" s="38"/>
      <c r="E408" s="10"/>
      <c r="I408" s="10"/>
      <c r="J408" s="10"/>
    </row>
    <row r="409">
      <c r="C409" s="38"/>
      <c r="D409" s="38"/>
      <c r="E409" s="10"/>
      <c r="I409" s="10"/>
      <c r="J409" s="10"/>
    </row>
    <row r="410">
      <c r="C410" s="38"/>
      <c r="D410" s="38"/>
      <c r="E410" s="10"/>
      <c r="I410" s="10"/>
      <c r="J410" s="10"/>
    </row>
    <row r="411">
      <c r="C411" s="38"/>
      <c r="D411" s="38"/>
      <c r="E411" s="10"/>
      <c r="I411" s="10"/>
      <c r="J411" s="10"/>
    </row>
    <row r="412">
      <c r="C412" s="38"/>
      <c r="D412" s="38"/>
      <c r="E412" s="10"/>
      <c r="I412" s="10"/>
      <c r="J412" s="10"/>
    </row>
    <row r="413">
      <c r="C413" s="38"/>
      <c r="D413" s="38"/>
      <c r="E413" s="10"/>
      <c r="I413" s="10"/>
      <c r="J413" s="10"/>
    </row>
    <row r="414">
      <c r="C414" s="38"/>
      <c r="D414" s="38"/>
      <c r="E414" s="10"/>
      <c r="I414" s="10"/>
      <c r="J414" s="10"/>
    </row>
    <row r="415">
      <c r="C415" s="38"/>
      <c r="D415" s="38"/>
      <c r="E415" s="10"/>
      <c r="I415" s="10"/>
      <c r="J415" s="10"/>
    </row>
    <row r="416">
      <c r="C416" s="38"/>
      <c r="D416" s="38"/>
      <c r="E416" s="10"/>
      <c r="I416" s="10"/>
      <c r="J416" s="10"/>
    </row>
    <row r="417">
      <c r="C417" s="38"/>
      <c r="D417" s="38"/>
      <c r="E417" s="10"/>
      <c r="I417" s="10"/>
      <c r="J417" s="10"/>
    </row>
    <row r="418">
      <c r="C418" s="38"/>
      <c r="D418" s="38"/>
      <c r="E418" s="10"/>
      <c r="I418" s="10"/>
      <c r="J418" s="10"/>
    </row>
    <row r="419">
      <c r="C419" s="38"/>
      <c r="D419" s="38"/>
      <c r="E419" s="10"/>
      <c r="I419" s="10"/>
      <c r="J419" s="10"/>
    </row>
    <row r="420">
      <c r="C420" s="38"/>
      <c r="D420" s="38"/>
      <c r="E420" s="10"/>
      <c r="I420" s="10"/>
      <c r="J420" s="10"/>
    </row>
    <row r="421">
      <c r="C421" s="38"/>
      <c r="D421" s="38"/>
      <c r="E421" s="10"/>
      <c r="I421" s="10"/>
      <c r="J421" s="10"/>
    </row>
    <row r="422">
      <c r="C422" s="38"/>
      <c r="D422" s="38"/>
      <c r="E422" s="10"/>
      <c r="I422" s="10"/>
      <c r="J422" s="10"/>
    </row>
    <row r="423">
      <c r="C423" s="38"/>
      <c r="D423" s="38"/>
      <c r="E423" s="10"/>
      <c r="I423" s="10"/>
      <c r="J423" s="10"/>
    </row>
    <row r="424">
      <c r="C424" s="38"/>
      <c r="D424" s="38"/>
      <c r="E424" s="10"/>
      <c r="I424" s="10"/>
      <c r="J424" s="10"/>
    </row>
    <row r="425">
      <c r="C425" s="38"/>
      <c r="D425" s="38"/>
      <c r="E425" s="10"/>
      <c r="I425" s="10"/>
      <c r="J425" s="10"/>
    </row>
    <row r="426">
      <c r="C426" s="38"/>
      <c r="D426" s="38"/>
      <c r="E426" s="10"/>
      <c r="I426" s="10"/>
      <c r="J426" s="10"/>
    </row>
    <row r="427">
      <c r="C427" s="38"/>
      <c r="D427" s="38"/>
      <c r="E427" s="10"/>
      <c r="I427" s="10"/>
      <c r="J427" s="10"/>
    </row>
    <row r="428">
      <c r="C428" s="38"/>
      <c r="D428" s="38"/>
      <c r="E428" s="10"/>
      <c r="I428" s="10"/>
      <c r="J428" s="10"/>
    </row>
    <row r="429">
      <c r="C429" s="38"/>
      <c r="D429" s="38"/>
      <c r="E429" s="10"/>
      <c r="I429" s="10"/>
      <c r="J429" s="10"/>
    </row>
    <row r="430">
      <c r="C430" s="38"/>
      <c r="D430" s="38"/>
      <c r="E430" s="10"/>
      <c r="I430" s="10"/>
      <c r="J430" s="10"/>
    </row>
    <row r="431">
      <c r="C431" s="38"/>
      <c r="D431" s="38"/>
      <c r="E431" s="10"/>
      <c r="I431" s="10"/>
      <c r="J431" s="10"/>
    </row>
    <row r="432">
      <c r="C432" s="38"/>
      <c r="D432" s="38"/>
      <c r="E432" s="10"/>
      <c r="I432" s="10"/>
      <c r="J432" s="10"/>
    </row>
    <row r="433">
      <c r="C433" s="38"/>
      <c r="D433" s="38"/>
      <c r="E433" s="10"/>
      <c r="I433" s="10"/>
      <c r="J433" s="10"/>
    </row>
    <row r="434">
      <c r="C434" s="38"/>
      <c r="D434" s="38"/>
      <c r="E434" s="10"/>
      <c r="I434" s="10"/>
      <c r="J434" s="10"/>
    </row>
    <row r="435">
      <c r="C435" s="38"/>
      <c r="D435" s="38"/>
      <c r="E435" s="10"/>
      <c r="I435" s="10"/>
      <c r="J435" s="10"/>
    </row>
    <row r="436">
      <c r="C436" s="38"/>
      <c r="D436" s="38"/>
      <c r="E436" s="10"/>
      <c r="I436" s="10"/>
      <c r="J436" s="10"/>
    </row>
    <row r="437">
      <c r="C437" s="38"/>
      <c r="D437" s="38"/>
      <c r="E437" s="10"/>
      <c r="I437" s="10"/>
      <c r="J437" s="10"/>
    </row>
    <row r="438">
      <c r="C438" s="38"/>
      <c r="D438" s="38"/>
      <c r="E438" s="10"/>
      <c r="I438" s="10"/>
      <c r="J438" s="10"/>
    </row>
    <row r="439">
      <c r="C439" s="38"/>
      <c r="D439" s="38"/>
      <c r="E439" s="10"/>
      <c r="I439" s="10"/>
      <c r="J439" s="10"/>
    </row>
    <row r="440">
      <c r="C440" s="38"/>
      <c r="D440" s="38"/>
      <c r="E440" s="10"/>
      <c r="I440" s="10"/>
      <c r="J440" s="10"/>
    </row>
    <row r="441">
      <c r="C441" s="38"/>
      <c r="D441" s="38"/>
      <c r="E441" s="10"/>
      <c r="I441" s="10"/>
      <c r="J441" s="10"/>
    </row>
    <row r="442">
      <c r="C442" s="38"/>
      <c r="D442" s="38"/>
      <c r="E442" s="10"/>
      <c r="I442" s="10"/>
      <c r="J442" s="10"/>
    </row>
    <row r="443">
      <c r="C443" s="38"/>
      <c r="D443" s="38"/>
      <c r="E443" s="10"/>
      <c r="I443" s="10"/>
      <c r="J443" s="10"/>
    </row>
    <row r="444">
      <c r="C444" s="38"/>
      <c r="D444" s="38"/>
      <c r="E444" s="10"/>
      <c r="I444" s="10"/>
      <c r="J444" s="10"/>
    </row>
    <row r="445">
      <c r="C445" s="38"/>
      <c r="D445" s="38"/>
      <c r="E445" s="10"/>
      <c r="I445" s="10"/>
      <c r="J445" s="10"/>
    </row>
    <row r="446">
      <c r="C446" s="38"/>
      <c r="D446" s="38"/>
      <c r="E446" s="10"/>
      <c r="I446" s="10"/>
      <c r="J446" s="10"/>
    </row>
    <row r="447">
      <c r="C447" s="38"/>
      <c r="D447" s="38"/>
      <c r="E447" s="10"/>
      <c r="I447" s="10"/>
      <c r="J447" s="10"/>
    </row>
    <row r="448">
      <c r="C448" s="38"/>
      <c r="D448" s="38"/>
      <c r="E448" s="10"/>
      <c r="I448" s="10"/>
      <c r="J448" s="10"/>
    </row>
    <row r="449">
      <c r="C449" s="38"/>
      <c r="D449" s="38"/>
      <c r="E449" s="10"/>
      <c r="I449" s="10"/>
      <c r="J449" s="10"/>
    </row>
    <row r="450">
      <c r="C450" s="38"/>
      <c r="D450" s="38"/>
      <c r="E450" s="10"/>
      <c r="I450" s="10"/>
      <c r="J450" s="10"/>
    </row>
    <row r="451">
      <c r="C451" s="38"/>
      <c r="D451" s="38"/>
      <c r="E451" s="10"/>
      <c r="I451" s="10"/>
      <c r="J451" s="10"/>
    </row>
    <row r="452">
      <c r="C452" s="38"/>
      <c r="D452" s="38"/>
      <c r="E452" s="10"/>
      <c r="I452" s="10"/>
      <c r="J452" s="10"/>
    </row>
    <row r="453">
      <c r="C453" s="38"/>
      <c r="D453" s="38"/>
      <c r="E453" s="10"/>
      <c r="I453" s="10"/>
      <c r="J453" s="10"/>
    </row>
    <row r="454">
      <c r="C454" s="38"/>
      <c r="D454" s="38"/>
      <c r="E454" s="10"/>
      <c r="I454" s="10"/>
      <c r="J454" s="10"/>
    </row>
    <row r="455">
      <c r="C455" s="38"/>
      <c r="D455" s="38"/>
      <c r="E455" s="10"/>
      <c r="I455" s="10"/>
      <c r="J455" s="10"/>
    </row>
    <row r="456">
      <c r="C456" s="38"/>
      <c r="D456" s="38"/>
      <c r="E456" s="10"/>
      <c r="I456" s="10"/>
      <c r="J456" s="10"/>
    </row>
    <row r="457">
      <c r="C457" s="38"/>
      <c r="D457" s="38"/>
      <c r="E457" s="10"/>
      <c r="I457" s="10"/>
      <c r="J457" s="10"/>
    </row>
    <row r="458">
      <c r="C458" s="38"/>
      <c r="D458" s="38"/>
      <c r="E458" s="10"/>
      <c r="I458" s="10"/>
      <c r="J458" s="10"/>
    </row>
    <row r="459">
      <c r="C459" s="38"/>
      <c r="D459" s="38"/>
      <c r="E459" s="10"/>
      <c r="I459" s="10"/>
      <c r="J459" s="10"/>
    </row>
    <row r="460">
      <c r="C460" s="38"/>
      <c r="D460" s="38"/>
      <c r="E460" s="10"/>
      <c r="I460" s="10"/>
      <c r="J460" s="10"/>
    </row>
    <row r="461">
      <c r="C461" s="38"/>
      <c r="D461" s="38"/>
      <c r="E461" s="10"/>
      <c r="I461" s="10"/>
      <c r="J461" s="10"/>
    </row>
    <row r="462">
      <c r="C462" s="38"/>
      <c r="D462" s="38"/>
      <c r="E462" s="10"/>
      <c r="I462" s="10"/>
      <c r="J462" s="10"/>
    </row>
    <row r="463">
      <c r="C463" s="38"/>
      <c r="D463" s="38"/>
      <c r="E463" s="10"/>
      <c r="I463" s="10"/>
      <c r="J463" s="10"/>
    </row>
    <row r="464">
      <c r="C464" s="38"/>
      <c r="D464" s="38"/>
      <c r="E464" s="10"/>
      <c r="I464" s="10"/>
      <c r="J464" s="10"/>
    </row>
    <row r="465">
      <c r="C465" s="38"/>
      <c r="D465" s="38"/>
      <c r="E465" s="10"/>
      <c r="I465" s="10"/>
      <c r="J465" s="10"/>
    </row>
    <row r="466">
      <c r="C466" s="38"/>
      <c r="D466" s="38"/>
      <c r="E466" s="10"/>
      <c r="I466" s="10"/>
      <c r="J466" s="10"/>
    </row>
    <row r="467">
      <c r="C467" s="38"/>
      <c r="D467" s="38"/>
      <c r="E467" s="10"/>
      <c r="I467" s="10"/>
      <c r="J467" s="10"/>
    </row>
    <row r="468">
      <c r="C468" s="38"/>
      <c r="D468" s="38"/>
      <c r="E468" s="10"/>
      <c r="I468" s="10"/>
      <c r="J468" s="10"/>
    </row>
    <row r="469">
      <c r="C469" s="38"/>
      <c r="D469" s="38"/>
      <c r="E469" s="10"/>
      <c r="I469" s="10"/>
      <c r="J469" s="10"/>
    </row>
    <row r="470">
      <c r="C470" s="38"/>
      <c r="D470" s="38"/>
      <c r="E470" s="10"/>
      <c r="I470" s="10"/>
      <c r="J470" s="10"/>
    </row>
    <row r="471">
      <c r="C471" s="38"/>
      <c r="D471" s="38"/>
      <c r="E471" s="10"/>
      <c r="I471" s="10"/>
      <c r="J471" s="10"/>
    </row>
    <row r="472">
      <c r="C472" s="38"/>
      <c r="D472" s="38"/>
      <c r="E472" s="10"/>
      <c r="I472" s="10"/>
      <c r="J472" s="10"/>
    </row>
    <row r="473">
      <c r="C473" s="38"/>
      <c r="D473" s="38"/>
      <c r="E473" s="10"/>
      <c r="I473" s="10"/>
      <c r="J473" s="10"/>
    </row>
    <row r="474">
      <c r="C474" s="38"/>
      <c r="D474" s="38"/>
      <c r="E474" s="10"/>
      <c r="I474" s="10"/>
      <c r="J474" s="10"/>
    </row>
    <row r="475">
      <c r="C475" s="38"/>
      <c r="D475" s="38"/>
      <c r="E475" s="10"/>
      <c r="I475" s="10"/>
      <c r="J475" s="10"/>
    </row>
    <row r="476">
      <c r="C476" s="38"/>
      <c r="D476" s="38"/>
      <c r="E476" s="10"/>
      <c r="I476" s="10"/>
      <c r="J476" s="10"/>
    </row>
    <row r="477">
      <c r="C477" s="38"/>
      <c r="D477" s="38"/>
      <c r="E477" s="10"/>
      <c r="I477" s="10"/>
      <c r="J477" s="10"/>
    </row>
    <row r="478">
      <c r="C478" s="38"/>
      <c r="D478" s="38"/>
      <c r="E478" s="10"/>
      <c r="I478" s="10"/>
      <c r="J478" s="10"/>
    </row>
    <row r="479">
      <c r="C479" s="38"/>
      <c r="D479" s="38"/>
      <c r="E479" s="10"/>
      <c r="I479" s="10"/>
      <c r="J479" s="10"/>
    </row>
    <row r="480">
      <c r="C480" s="38"/>
      <c r="D480" s="38"/>
      <c r="E480" s="10"/>
      <c r="I480" s="10"/>
      <c r="J480" s="10"/>
    </row>
    <row r="481">
      <c r="C481" s="38"/>
      <c r="D481" s="38"/>
      <c r="E481" s="10"/>
      <c r="I481" s="10"/>
      <c r="J481" s="10"/>
    </row>
    <row r="482">
      <c r="C482" s="38"/>
      <c r="D482" s="38"/>
      <c r="E482" s="10"/>
      <c r="I482" s="10"/>
      <c r="J482" s="10"/>
    </row>
    <row r="483">
      <c r="C483" s="38"/>
      <c r="D483" s="38"/>
      <c r="E483" s="10"/>
      <c r="I483" s="10"/>
      <c r="J483" s="10"/>
    </row>
    <row r="484">
      <c r="C484" s="38"/>
      <c r="D484" s="38"/>
      <c r="E484" s="10"/>
      <c r="I484" s="10"/>
      <c r="J484" s="10"/>
    </row>
    <row r="485">
      <c r="C485" s="38"/>
      <c r="D485" s="38"/>
      <c r="E485" s="10"/>
      <c r="I485" s="10"/>
      <c r="J485" s="10"/>
    </row>
    <row r="486">
      <c r="C486" s="38"/>
      <c r="D486" s="38"/>
      <c r="E486" s="10"/>
      <c r="I486" s="10"/>
      <c r="J486" s="10"/>
    </row>
    <row r="487">
      <c r="C487" s="38"/>
      <c r="D487" s="38"/>
      <c r="E487" s="10"/>
      <c r="I487" s="10"/>
      <c r="J487" s="10"/>
    </row>
    <row r="488">
      <c r="C488" s="38"/>
      <c r="D488" s="38"/>
      <c r="E488" s="10"/>
      <c r="I488" s="10"/>
      <c r="J488" s="10"/>
    </row>
    <row r="489">
      <c r="C489" s="38"/>
      <c r="D489" s="38"/>
      <c r="E489" s="10"/>
      <c r="I489" s="10"/>
      <c r="J489" s="10"/>
    </row>
    <row r="490">
      <c r="C490" s="38"/>
      <c r="D490" s="38"/>
      <c r="E490" s="10"/>
      <c r="I490" s="10"/>
      <c r="J490" s="10"/>
    </row>
    <row r="491">
      <c r="C491" s="38"/>
      <c r="D491" s="38"/>
      <c r="E491" s="10"/>
      <c r="I491" s="10"/>
      <c r="J491" s="10"/>
    </row>
    <row r="492">
      <c r="C492" s="38"/>
      <c r="D492" s="38"/>
      <c r="E492" s="10"/>
      <c r="I492" s="10"/>
      <c r="J492" s="10"/>
    </row>
    <row r="493">
      <c r="C493" s="38"/>
      <c r="D493" s="38"/>
      <c r="E493" s="10"/>
      <c r="I493" s="10"/>
      <c r="J493" s="10"/>
    </row>
    <row r="494">
      <c r="C494" s="38"/>
      <c r="D494" s="38"/>
      <c r="E494" s="10"/>
      <c r="I494" s="10"/>
      <c r="J494" s="10"/>
    </row>
    <row r="495">
      <c r="C495" s="38"/>
      <c r="D495" s="38"/>
      <c r="E495" s="10"/>
      <c r="I495" s="10"/>
      <c r="J495" s="10"/>
    </row>
    <row r="496">
      <c r="C496" s="38"/>
      <c r="D496" s="38"/>
      <c r="E496" s="10"/>
      <c r="I496" s="10"/>
      <c r="J496" s="10"/>
    </row>
    <row r="497">
      <c r="C497" s="38"/>
      <c r="D497" s="38"/>
      <c r="E497" s="10"/>
      <c r="I497" s="10"/>
      <c r="J497" s="10"/>
    </row>
    <row r="498">
      <c r="C498" s="38"/>
      <c r="D498" s="38"/>
      <c r="E498" s="10"/>
      <c r="I498" s="10"/>
      <c r="J498" s="10"/>
    </row>
    <row r="499">
      <c r="C499" s="38"/>
      <c r="D499" s="38"/>
      <c r="E499" s="10"/>
      <c r="I499" s="10"/>
      <c r="J499" s="10"/>
    </row>
    <row r="500">
      <c r="C500" s="38"/>
      <c r="D500" s="38"/>
      <c r="E500" s="10"/>
      <c r="I500" s="10"/>
      <c r="J500" s="10"/>
    </row>
    <row r="501">
      <c r="C501" s="38"/>
      <c r="D501" s="38"/>
      <c r="E501" s="10"/>
      <c r="I501" s="10"/>
      <c r="J501" s="10"/>
    </row>
    <row r="502">
      <c r="C502" s="38"/>
      <c r="D502" s="38"/>
      <c r="E502" s="10"/>
      <c r="I502" s="10"/>
      <c r="J502" s="10"/>
    </row>
    <row r="503">
      <c r="C503" s="38"/>
      <c r="D503" s="38"/>
      <c r="E503" s="10"/>
      <c r="I503" s="10"/>
      <c r="J503" s="10"/>
    </row>
    <row r="504">
      <c r="C504" s="38"/>
      <c r="D504" s="38"/>
      <c r="E504" s="10"/>
      <c r="I504" s="10"/>
      <c r="J504" s="10"/>
    </row>
    <row r="505">
      <c r="C505" s="38"/>
      <c r="D505" s="38"/>
      <c r="E505" s="10"/>
      <c r="I505" s="10"/>
      <c r="J505" s="10"/>
    </row>
    <row r="506">
      <c r="C506" s="38"/>
      <c r="D506" s="38"/>
      <c r="E506" s="10"/>
      <c r="I506" s="10"/>
      <c r="J506" s="10"/>
    </row>
    <row r="507">
      <c r="C507" s="38"/>
      <c r="D507" s="38"/>
      <c r="E507" s="10"/>
      <c r="I507" s="10"/>
      <c r="J507" s="10"/>
    </row>
    <row r="508">
      <c r="C508" s="38"/>
      <c r="D508" s="38"/>
      <c r="E508" s="10"/>
      <c r="I508" s="10"/>
      <c r="J508" s="10"/>
    </row>
    <row r="509">
      <c r="C509" s="38"/>
      <c r="D509" s="38"/>
      <c r="E509" s="10"/>
      <c r="I509" s="10"/>
      <c r="J509" s="10"/>
    </row>
    <row r="510">
      <c r="C510" s="38"/>
      <c r="D510" s="38"/>
      <c r="E510" s="10"/>
      <c r="I510" s="10"/>
      <c r="J510" s="10"/>
    </row>
    <row r="511">
      <c r="C511" s="38"/>
      <c r="D511" s="38"/>
      <c r="E511" s="10"/>
      <c r="I511" s="10"/>
      <c r="J511" s="10"/>
    </row>
    <row r="512">
      <c r="C512" s="38"/>
      <c r="D512" s="38"/>
      <c r="E512" s="10"/>
      <c r="I512" s="10"/>
      <c r="J512" s="10"/>
    </row>
    <row r="513">
      <c r="C513" s="38"/>
      <c r="D513" s="38"/>
      <c r="E513" s="10"/>
      <c r="I513" s="10"/>
      <c r="J513" s="10"/>
    </row>
    <row r="514">
      <c r="C514" s="38"/>
      <c r="D514" s="38"/>
      <c r="E514" s="10"/>
      <c r="I514" s="10"/>
      <c r="J514" s="10"/>
    </row>
    <row r="515">
      <c r="C515" s="38"/>
      <c r="D515" s="38"/>
      <c r="E515" s="10"/>
      <c r="I515" s="10"/>
      <c r="J515" s="10"/>
    </row>
    <row r="516">
      <c r="C516" s="38"/>
      <c r="D516" s="38"/>
      <c r="E516" s="10"/>
      <c r="I516" s="10"/>
      <c r="J516" s="10"/>
    </row>
    <row r="517">
      <c r="C517" s="38"/>
      <c r="D517" s="38"/>
      <c r="E517" s="10"/>
      <c r="I517" s="10"/>
      <c r="J517" s="10"/>
    </row>
    <row r="518">
      <c r="C518" s="38"/>
      <c r="D518" s="38"/>
      <c r="E518" s="10"/>
      <c r="I518" s="10"/>
      <c r="J518" s="10"/>
    </row>
    <row r="519">
      <c r="C519" s="38"/>
      <c r="D519" s="38"/>
      <c r="E519" s="10"/>
      <c r="I519" s="10"/>
      <c r="J519" s="10"/>
    </row>
    <row r="520">
      <c r="C520" s="38"/>
      <c r="D520" s="38"/>
      <c r="E520" s="10"/>
      <c r="I520" s="10"/>
      <c r="J520" s="10"/>
    </row>
    <row r="521">
      <c r="C521" s="38"/>
      <c r="D521" s="38"/>
      <c r="E521" s="10"/>
      <c r="I521" s="10"/>
      <c r="J521" s="10"/>
    </row>
    <row r="522">
      <c r="C522" s="38"/>
      <c r="D522" s="38"/>
      <c r="E522" s="10"/>
      <c r="I522" s="10"/>
      <c r="J522" s="10"/>
    </row>
    <row r="523">
      <c r="C523" s="38"/>
      <c r="D523" s="38"/>
      <c r="E523" s="10"/>
      <c r="I523" s="10"/>
      <c r="J523" s="10"/>
    </row>
    <row r="524">
      <c r="C524" s="38"/>
      <c r="D524" s="38"/>
      <c r="E524" s="10"/>
      <c r="I524" s="10"/>
      <c r="J524" s="10"/>
    </row>
    <row r="525">
      <c r="C525" s="38"/>
      <c r="D525" s="38"/>
      <c r="E525" s="10"/>
      <c r="I525" s="10"/>
      <c r="J525" s="10"/>
    </row>
    <row r="526">
      <c r="C526" s="38"/>
      <c r="D526" s="38"/>
      <c r="E526" s="10"/>
      <c r="I526" s="10"/>
      <c r="J526" s="10"/>
    </row>
    <row r="527">
      <c r="C527" s="38"/>
      <c r="D527" s="38"/>
      <c r="E527" s="10"/>
      <c r="I527" s="10"/>
      <c r="J527" s="10"/>
    </row>
    <row r="528">
      <c r="C528" s="38"/>
      <c r="D528" s="38"/>
      <c r="E528" s="10"/>
      <c r="I528" s="10"/>
      <c r="J528" s="10"/>
    </row>
    <row r="529">
      <c r="C529" s="38"/>
      <c r="D529" s="38"/>
      <c r="E529" s="10"/>
      <c r="I529" s="10"/>
      <c r="J529" s="10"/>
    </row>
    <row r="530">
      <c r="C530" s="38"/>
      <c r="D530" s="38"/>
      <c r="E530" s="10"/>
      <c r="I530" s="10"/>
      <c r="J530" s="10"/>
    </row>
    <row r="531">
      <c r="C531" s="38"/>
      <c r="D531" s="38"/>
      <c r="E531" s="10"/>
      <c r="I531" s="10"/>
      <c r="J531" s="10"/>
    </row>
    <row r="532">
      <c r="C532" s="38"/>
      <c r="D532" s="38"/>
      <c r="E532" s="10"/>
      <c r="I532" s="10"/>
      <c r="J532" s="10"/>
    </row>
    <row r="533">
      <c r="C533" s="38"/>
      <c r="D533" s="38"/>
      <c r="E533" s="10"/>
      <c r="I533" s="10"/>
      <c r="J533" s="10"/>
    </row>
    <row r="534">
      <c r="C534" s="38"/>
      <c r="D534" s="38"/>
      <c r="E534" s="10"/>
      <c r="I534" s="10"/>
      <c r="J534" s="10"/>
    </row>
    <row r="535">
      <c r="C535" s="38"/>
      <c r="D535" s="38"/>
      <c r="E535" s="10"/>
      <c r="I535" s="10"/>
      <c r="J535" s="10"/>
    </row>
    <row r="536">
      <c r="C536" s="38"/>
      <c r="D536" s="38"/>
      <c r="E536" s="10"/>
      <c r="I536" s="10"/>
      <c r="J536" s="10"/>
    </row>
    <row r="537">
      <c r="C537" s="38"/>
      <c r="D537" s="38"/>
      <c r="E537" s="10"/>
      <c r="I537" s="10"/>
      <c r="J537" s="10"/>
    </row>
    <row r="538">
      <c r="C538" s="38"/>
      <c r="D538" s="38"/>
      <c r="E538" s="10"/>
      <c r="I538" s="10"/>
      <c r="J538" s="10"/>
    </row>
    <row r="539">
      <c r="C539" s="38"/>
      <c r="D539" s="38"/>
      <c r="E539" s="10"/>
      <c r="I539" s="10"/>
      <c r="J539" s="10"/>
    </row>
    <row r="540">
      <c r="C540" s="38"/>
      <c r="D540" s="38"/>
      <c r="E540" s="10"/>
      <c r="I540" s="10"/>
      <c r="J540" s="10"/>
    </row>
    <row r="541">
      <c r="C541" s="38"/>
      <c r="D541" s="38"/>
      <c r="E541" s="10"/>
      <c r="I541" s="10"/>
      <c r="J541" s="10"/>
    </row>
    <row r="542">
      <c r="C542" s="38"/>
      <c r="D542" s="38"/>
      <c r="E542" s="10"/>
      <c r="I542" s="10"/>
      <c r="J542" s="10"/>
    </row>
    <row r="543">
      <c r="C543" s="38"/>
      <c r="D543" s="38"/>
      <c r="E543" s="10"/>
      <c r="I543" s="10"/>
      <c r="J543" s="10"/>
    </row>
    <row r="544">
      <c r="C544" s="38"/>
      <c r="D544" s="38"/>
      <c r="E544" s="10"/>
      <c r="I544" s="10"/>
      <c r="J544" s="10"/>
    </row>
    <row r="545">
      <c r="C545" s="38"/>
      <c r="D545" s="38"/>
      <c r="E545" s="10"/>
      <c r="I545" s="10"/>
      <c r="J545" s="10"/>
    </row>
    <row r="546">
      <c r="C546" s="38"/>
      <c r="D546" s="38"/>
      <c r="E546" s="10"/>
      <c r="I546" s="10"/>
      <c r="J546" s="10"/>
    </row>
    <row r="547">
      <c r="C547" s="38"/>
      <c r="D547" s="38"/>
      <c r="E547" s="10"/>
      <c r="I547" s="10"/>
      <c r="J547" s="10"/>
    </row>
    <row r="548">
      <c r="C548" s="38"/>
      <c r="D548" s="38"/>
      <c r="E548" s="10"/>
      <c r="I548" s="10"/>
      <c r="J548" s="10"/>
    </row>
    <row r="549">
      <c r="C549" s="38"/>
      <c r="D549" s="38"/>
      <c r="E549" s="10"/>
      <c r="I549" s="10"/>
      <c r="J549" s="10"/>
    </row>
    <row r="550">
      <c r="C550" s="38"/>
      <c r="D550" s="38"/>
      <c r="E550" s="10"/>
      <c r="I550" s="10"/>
      <c r="J550" s="10"/>
    </row>
    <row r="551">
      <c r="C551" s="38"/>
      <c r="D551" s="38"/>
      <c r="E551" s="10"/>
      <c r="I551" s="10"/>
      <c r="J551" s="10"/>
    </row>
    <row r="552">
      <c r="C552" s="38"/>
      <c r="D552" s="38"/>
      <c r="E552" s="10"/>
      <c r="I552" s="10"/>
      <c r="J552" s="10"/>
    </row>
    <row r="553">
      <c r="C553" s="38"/>
      <c r="D553" s="38"/>
      <c r="E553" s="10"/>
      <c r="I553" s="10"/>
      <c r="J553" s="10"/>
    </row>
    <row r="554">
      <c r="C554" s="38"/>
      <c r="D554" s="38"/>
      <c r="E554" s="10"/>
      <c r="I554" s="10"/>
      <c r="J554" s="10"/>
    </row>
    <row r="555">
      <c r="C555" s="38"/>
      <c r="D555" s="38"/>
      <c r="E555" s="10"/>
      <c r="I555" s="10"/>
      <c r="J555" s="10"/>
    </row>
    <row r="556">
      <c r="C556" s="38"/>
      <c r="D556" s="38"/>
      <c r="E556" s="10"/>
      <c r="I556" s="10"/>
      <c r="J556" s="10"/>
    </row>
    <row r="557">
      <c r="C557" s="38"/>
      <c r="D557" s="38"/>
      <c r="E557" s="10"/>
      <c r="I557" s="10"/>
      <c r="J557" s="10"/>
    </row>
    <row r="558">
      <c r="C558" s="38"/>
      <c r="D558" s="38"/>
      <c r="E558" s="10"/>
      <c r="I558" s="10"/>
      <c r="J558" s="10"/>
    </row>
    <row r="559">
      <c r="C559" s="38"/>
      <c r="D559" s="38"/>
      <c r="E559" s="10"/>
      <c r="I559" s="10"/>
      <c r="J559" s="10"/>
    </row>
    <row r="560">
      <c r="C560" s="38"/>
      <c r="D560" s="38"/>
      <c r="E560" s="10"/>
      <c r="I560" s="10"/>
      <c r="J560" s="10"/>
    </row>
    <row r="561">
      <c r="C561" s="38"/>
      <c r="D561" s="38"/>
      <c r="E561" s="10"/>
      <c r="I561" s="10"/>
      <c r="J561" s="10"/>
    </row>
    <row r="562">
      <c r="C562" s="38"/>
      <c r="D562" s="38"/>
      <c r="E562" s="10"/>
      <c r="I562" s="10"/>
      <c r="J562" s="10"/>
    </row>
    <row r="563">
      <c r="C563" s="38"/>
      <c r="D563" s="38"/>
      <c r="E563" s="10"/>
      <c r="I563" s="10"/>
      <c r="J563" s="10"/>
    </row>
    <row r="564">
      <c r="C564" s="38"/>
      <c r="D564" s="38"/>
      <c r="E564" s="10"/>
      <c r="I564" s="10"/>
      <c r="J564" s="10"/>
    </row>
    <row r="565">
      <c r="C565" s="38"/>
      <c r="D565" s="38"/>
      <c r="E565" s="10"/>
      <c r="I565" s="10"/>
      <c r="J565" s="10"/>
    </row>
    <row r="566">
      <c r="C566" s="38"/>
      <c r="D566" s="38"/>
      <c r="E566" s="10"/>
      <c r="I566" s="10"/>
      <c r="J566" s="10"/>
    </row>
    <row r="567">
      <c r="C567" s="38"/>
      <c r="D567" s="38"/>
      <c r="E567" s="10"/>
      <c r="I567" s="10"/>
      <c r="J567" s="10"/>
    </row>
    <row r="568">
      <c r="C568" s="38"/>
      <c r="D568" s="38"/>
      <c r="E568" s="10"/>
      <c r="I568" s="10"/>
      <c r="J568" s="10"/>
    </row>
    <row r="569">
      <c r="C569" s="38"/>
      <c r="D569" s="38"/>
      <c r="E569" s="10"/>
      <c r="I569" s="10"/>
      <c r="J569" s="10"/>
    </row>
    <row r="570">
      <c r="C570" s="38"/>
      <c r="D570" s="38"/>
      <c r="E570" s="10"/>
      <c r="I570" s="10"/>
      <c r="J570" s="10"/>
    </row>
    <row r="571">
      <c r="C571" s="38"/>
      <c r="D571" s="38"/>
      <c r="E571" s="10"/>
      <c r="I571" s="10"/>
      <c r="J571" s="10"/>
    </row>
    <row r="572">
      <c r="C572" s="38"/>
      <c r="D572" s="38"/>
      <c r="E572" s="10"/>
      <c r="I572" s="10"/>
      <c r="J572" s="10"/>
    </row>
    <row r="573">
      <c r="C573" s="38"/>
      <c r="D573" s="38"/>
      <c r="E573" s="10"/>
      <c r="I573" s="10"/>
      <c r="J573" s="10"/>
    </row>
    <row r="574">
      <c r="C574" s="38"/>
      <c r="D574" s="38"/>
      <c r="E574" s="10"/>
      <c r="I574" s="10"/>
      <c r="J574" s="10"/>
    </row>
    <row r="575">
      <c r="C575" s="38"/>
      <c r="D575" s="38"/>
      <c r="E575" s="10"/>
      <c r="I575" s="10"/>
      <c r="J575" s="10"/>
    </row>
    <row r="576">
      <c r="C576" s="38"/>
      <c r="D576" s="38"/>
      <c r="E576" s="10"/>
      <c r="I576" s="10"/>
      <c r="J576" s="10"/>
    </row>
    <row r="577">
      <c r="C577" s="38"/>
      <c r="D577" s="38"/>
      <c r="E577" s="10"/>
      <c r="I577" s="10"/>
      <c r="J577" s="10"/>
    </row>
    <row r="578">
      <c r="C578" s="38"/>
      <c r="D578" s="38"/>
      <c r="E578" s="10"/>
      <c r="I578" s="10"/>
      <c r="J578" s="10"/>
    </row>
    <row r="579">
      <c r="C579" s="38"/>
      <c r="D579" s="38"/>
      <c r="E579" s="10"/>
      <c r="I579" s="10"/>
      <c r="J579" s="10"/>
    </row>
    <row r="580">
      <c r="C580" s="38"/>
      <c r="D580" s="38"/>
      <c r="E580" s="10"/>
      <c r="I580" s="10"/>
      <c r="J580" s="10"/>
    </row>
    <row r="581">
      <c r="C581" s="38"/>
      <c r="D581" s="38"/>
      <c r="E581" s="10"/>
      <c r="I581" s="10"/>
      <c r="J581" s="10"/>
    </row>
    <row r="582">
      <c r="C582" s="38"/>
      <c r="D582" s="38"/>
      <c r="E582" s="10"/>
      <c r="I582" s="10"/>
      <c r="J582" s="10"/>
    </row>
    <row r="583">
      <c r="C583" s="38"/>
      <c r="D583" s="38"/>
      <c r="E583" s="10"/>
      <c r="I583" s="10"/>
      <c r="J583" s="10"/>
    </row>
    <row r="584">
      <c r="C584" s="38"/>
      <c r="D584" s="38"/>
      <c r="E584" s="10"/>
      <c r="I584" s="10"/>
      <c r="J584" s="10"/>
    </row>
    <row r="585">
      <c r="C585" s="38"/>
      <c r="D585" s="38"/>
      <c r="E585" s="10"/>
      <c r="I585" s="10"/>
      <c r="J585" s="10"/>
    </row>
    <row r="586">
      <c r="C586" s="38"/>
      <c r="D586" s="38"/>
      <c r="E586" s="10"/>
      <c r="I586" s="10"/>
      <c r="J586" s="10"/>
    </row>
    <row r="587">
      <c r="C587" s="38"/>
      <c r="D587" s="38"/>
      <c r="E587" s="10"/>
      <c r="I587" s="10"/>
      <c r="J587" s="10"/>
    </row>
    <row r="588">
      <c r="C588" s="38"/>
      <c r="D588" s="38"/>
      <c r="E588" s="10"/>
      <c r="I588" s="10"/>
      <c r="J588" s="10"/>
    </row>
    <row r="589">
      <c r="C589" s="38"/>
      <c r="D589" s="38"/>
      <c r="E589" s="10"/>
      <c r="I589" s="10"/>
      <c r="J589" s="10"/>
    </row>
    <row r="590">
      <c r="C590" s="38"/>
      <c r="D590" s="38"/>
      <c r="E590" s="10"/>
      <c r="I590" s="10"/>
      <c r="J590" s="10"/>
    </row>
    <row r="591">
      <c r="C591" s="38"/>
      <c r="D591" s="38"/>
      <c r="E591" s="10"/>
      <c r="I591" s="10"/>
      <c r="J591" s="10"/>
    </row>
    <row r="592">
      <c r="C592" s="38"/>
      <c r="D592" s="38"/>
      <c r="E592" s="10"/>
      <c r="I592" s="10"/>
      <c r="J592" s="10"/>
    </row>
    <row r="593">
      <c r="C593" s="38"/>
      <c r="D593" s="38"/>
      <c r="E593" s="10"/>
      <c r="I593" s="10"/>
      <c r="J593" s="10"/>
    </row>
    <row r="594">
      <c r="C594" s="38"/>
      <c r="D594" s="38"/>
      <c r="E594" s="10"/>
      <c r="I594" s="10"/>
      <c r="J594" s="10"/>
    </row>
    <row r="595">
      <c r="C595" s="38"/>
      <c r="D595" s="38"/>
      <c r="E595" s="10"/>
      <c r="I595" s="10"/>
      <c r="J595" s="10"/>
    </row>
    <row r="596">
      <c r="C596" s="38"/>
      <c r="D596" s="38"/>
      <c r="E596" s="10"/>
      <c r="I596" s="10"/>
      <c r="J596" s="10"/>
    </row>
    <row r="597">
      <c r="C597" s="38"/>
      <c r="D597" s="38"/>
      <c r="E597" s="10"/>
      <c r="I597" s="10"/>
      <c r="J597" s="10"/>
    </row>
    <row r="598">
      <c r="C598" s="38"/>
      <c r="D598" s="38"/>
      <c r="E598" s="10"/>
      <c r="I598" s="10"/>
      <c r="J598" s="10"/>
    </row>
    <row r="599">
      <c r="C599" s="38"/>
      <c r="D599" s="38"/>
      <c r="E599" s="10"/>
      <c r="I599" s="10"/>
      <c r="J599" s="10"/>
    </row>
    <row r="600">
      <c r="C600" s="38"/>
      <c r="D600" s="38"/>
      <c r="E600" s="10"/>
      <c r="I600" s="10"/>
      <c r="J600" s="10"/>
    </row>
    <row r="601">
      <c r="C601" s="38"/>
      <c r="D601" s="38"/>
      <c r="E601" s="10"/>
      <c r="I601" s="10"/>
      <c r="J601" s="10"/>
    </row>
    <row r="602">
      <c r="C602" s="38"/>
      <c r="D602" s="38"/>
      <c r="E602" s="10"/>
      <c r="I602" s="10"/>
      <c r="J602" s="10"/>
    </row>
    <row r="603">
      <c r="C603" s="38"/>
      <c r="D603" s="38"/>
      <c r="E603" s="10"/>
      <c r="I603" s="10"/>
      <c r="J603" s="10"/>
    </row>
    <row r="604">
      <c r="C604" s="38"/>
      <c r="D604" s="38"/>
      <c r="E604" s="10"/>
      <c r="I604" s="10"/>
      <c r="J604" s="10"/>
    </row>
    <row r="605">
      <c r="C605" s="38"/>
      <c r="D605" s="38"/>
      <c r="E605" s="10"/>
      <c r="I605" s="10"/>
      <c r="J605" s="10"/>
    </row>
    <row r="606">
      <c r="C606" s="38"/>
      <c r="D606" s="38"/>
      <c r="E606" s="10"/>
      <c r="I606" s="10"/>
      <c r="J606" s="10"/>
    </row>
    <row r="607">
      <c r="C607" s="38"/>
      <c r="D607" s="38"/>
      <c r="E607" s="10"/>
      <c r="I607" s="10"/>
      <c r="J607" s="10"/>
    </row>
    <row r="608">
      <c r="C608" s="38"/>
      <c r="D608" s="38"/>
      <c r="E608" s="10"/>
      <c r="I608" s="10"/>
      <c r="J608" s="10"/>
    </row>
    <row r="609">
      <c r="C609" s="38"/>
      <c r="D609" s="38"/>
      <c r="E609" s="10"/>
      <c r="I609" s="10"/>
      <c r="J609" s="10"/>
    </row>
    <row r="610">
      <c r="C610" s="38"/>
      <c r="D610" s="38"/>
      <c r="E610" s="10"/>
      <c r="I610" s="10"/>
      <c r="J610" s="10"/>
    </row>
    <row r="611">
      <c r="C611" s="38"/>
      <c r="D611" s="38"/>
      <c r="E611" s="10"/>
      <c r="I611" s="10"/>
      <c r="J611" s="10"/>
    </row>
    <row r="612">
      <c r="C612" s="38"/>
      <c r="D612" s="38"/>
      <c r="E612" s="10"/>
      <c r="I612" s="10"/>
      <c r="J612" s="10"/>
    </row>
    <row r="613">
      <c r="C613" s="38"/>
      <c r="D613" s="38"/>
      <c r="E613" s="10"/>
      <c r="I613" s="10"/>
      <c r="J613" s="10"/>
    </row>
    <row r="614">
      <c r="C614" s="38"/>
      <c r="D614" s="38"/>
      <c r="E614" s="10"/>
      <c r="I614" s="10"/>
      <c r="J614" s="10"/>
    </row>
    <row r="615">
      <c r="C615" s="38"/>
      <c r="D615" s="38"/>
      <c r="E615" s="10"/>
      <c r="I615" s="10"/>
      <c r="J615" s="10"/>
    </row>
    <row r="616">
      <c r="C616" s="38"/>
      <c r="D616" s="38"/>
      <c r="E616" s="10"/>
      <c r="I616" s="10"/>
      <c r="J616" s="10"/>
    </row>
    <row r="617">
      <c r="C617" s="38"/>
      <c r="D617" s="38"/>
      <c r="E617" s="10"/>
      <c r="I617" s="10"/>
      <c r="J617" s="10"/>
    </row>
    <row r="618">
      <c r="C618" s="38"/>
      <c r="D618" s="38"/>
      <c r="E618" s="10"/>
      <c r="I618" s="10"/>
      <c r="J618" s="10"/>
    </row>
    <row r="619">
      <c r="C619" s="38"/>
      <c r="D619" s="38"/>
      <c r="E619" s="10"/>
      <c r="I619" s="10"/>
      <c r="J619" s="10"/>
    </row>
    <row r="620">
      <c r="C620" s="38"/>
      <c r="D620" s="38"/>
      <c r="E620" s="10"/>
      <c r="I620" s="10"/>
      <c r="J620" s="10"/>
    </row>
    <row r="621">
      <c r="C621" s="38"/>
      <c r="D621" s="38"/>
      <c r="E621" s="10"/>
      <c r="I621" s="10"/>
      <c r="J621" s="10"/>
    </row>
    <row r="622">
      <c r="C622" s="38"/>
      <c r="D622" s="38"/>
      <c r="E622" s="10"/>
      <c r="I622" s="10"/>
      <c r="J622" s="10"/>
    </row>
    <row r="623">
      <c r="C623" s="38"/>
      <c r="D623" s="38"/>
      <c r="E623" s="10"/>
      <c r="I623" s="10"/>
      <c r="J623" s="10"/>
    </row>
    <row r="624">
      <c r="C624" s="38"/>
      <c r="D624" s="38"/>
      <c r="E624" s="10"/>
      <c r="I624" s="10"/>
      <c r="J624" s="10"/>
    </row>
    <row r="625">
      <c r="C625" s="38"/>
      <c r="D625" s="38"/>
      <c r="E625" s="10"/>
      <c r="I625" s="10"/>
      <c r="J625" s="10"/>
    </row>
    <row r="626">
      <c r="C626" s="38"/>
      <c r="D626" s="38"/>
      <c r="E626" s="10"/>
      <c r="I626" s="10"/>
      <c r="J626" s="10"/>
    </row>
    <row r="627">
      <c r="C627" s="38"/>
      <c r="D627" s="38"/>
      <c r="E627" s="10"/>
      <c r="I627" s="10"/>
      <c r="J627" s="10"/>
    </row>
    <row r="628">
      <c r="C628" s="38"/>
      <c r="D628" s="38"/>
      <c r="E628" s="10"/>
      <c r="I628" s="10"/>
      <c r="J628" s="10"/>
    </row>
    <row r="629">
      <c r="C629" s="38"/>
      <c r="D629" s="38"/>
      <c r="E629" s="10"/>
      <c r="I629" s="10"/>
      <c r="J629" s="10"/>
    </row>
    <row r="630">
      <c r="C630" s="38"/>
      <c r="D630" s="38"/>
      <c r="E630" s="10"/>
      <c r="I630" s="10"/>
      <c r="J630" s="10"/>
    </row>
    <row r="631">
      <c r="C631" s="38"/>
      <c r="D631" s="38"/>
      <c r="E631" s="10"/>
      <c r="I631" s="10"/>
      <c r="J631" s="10"/>
    </row>
    <row r="632">
      <c r="C632" s="38"/>
      <c r="D632" s="38"/>
      <c r="E632" s="10"/>
      <c r="I632" s="10"/>
      <c r="J632" s="10"/>
    </row>
    <row r="633">
      <c r="C633" s="38"/>
      <c r="D633" s="38"/>
      <c r="E633" s="10"/>
      <c r="I633" s="10"/>
      <c r="J633" s="10"/>
    </row>
    <row r="634">
      <c r="C634" s="38"/>
      <c r="D634" s="38"/>
      <c r="E634" s="10"/>
      <c r="I634" s="10"/>
      <c r="J634" s="10"/>
    </row>
    <row r="635">
      <c r="C635" s="38"/>
      <c r="D635" s="38"/>
      <c r="E635" s="10"/>
      <c r="I635" s="10"/>
      <c r="J635" s="10"/>
    </row>
    <row r="636">
      <c r="C636" s="38"/>
      <c r="D636" s="38"/>
      <c r="E636" s="10"/>
      <c r="I636" s="10"/>
      <c r="J636" s="10"/>
    </row>
    <row r="637">
      <c r="C637" s="38"/>
      <c r="D637" s="38"/>
      <c r="E637" s="10"/>
      <c r="I637" s="10"/>
      <c r="J637" s="10"/>
    </row>
    <row r="638">
      <c r="C638" s="38"/>
      <c r="D638" s="38"/>
      <c r="E638" s="10"/>
      <c r="I638" s="10"/>
      <c r="J638" s="10"/>
    </row>
    <row r="639">
      <c r="C639" s="38"/>
      <c r="D639" s="38"/>
      <c r="E639" s="10"/>
      <c r="I639" s="10"/>
      <c r="J639" s="10"/>
    </row>
    <row r="640">
      <c r="C640" s="38"/>
      <c r="D640" s="38"/>
      <c r="E640" s="10"/>
      <c r="I640" s="10"/>
      <c r="J640" s="10"/>
    </row>
    <row r="641">
      <c r="C641" s="38"/>
      <c r="D641" s="38"/>
      <c r="E641" s="10"/>
      <c r="I641" s="10"/>
      <c r="J641" s="10"/>
    </row>
    <row r="642">
      <c r="C642" s="38"/>
      <c r="D642" s="38"/>
      <c r="E642" s="10"/>
      <c r="I642" s="10"/>
      <c r="J642" s="10"/>
    </row>
    <row r="643">
      <c r="C643" s="38"/>
      <c r="D643" s="38"/>
      <c r="E643" s="10"/>
      <c r="I643" s="10"/>
      <c r="J643" s="10"/>
    </row>
    <row r="644">
      <c r="C644" s="38"/>
      <c r="D644" s="38"/>
      <c r="E644" s="10"/>
      <c r="I644" s="10"/>
      <c r="J644" s="10"/>
    </row>
    <row r="645">
      <c r="C645" s="38"/>
      <c r="D645" s="38"/>
      <c r="E645" s="10"/>
      <c r="I645" s="10"/>
      <c r="J645" s="10"/>
    </row>
    <row r="646">
      <c r="C646" s="38"/>
      <c r="D646" s="38"/>
      <c r="E646" s="10"/>
      <c r="I646" s="10"/>
      <c r="J646" s="10"/>
    </row>
    <row r="647">
      <c r="C647" s="38"/>
      <c r="D647" s="38"/>
      <c r="E647" s="10"/>
      <c r="I647" s="10"/>
      <c r="J647" s="10"/>
    </row>
    <row r="648">
      <c r="C648" s="38"/>
      <c r="D648" s="38"/>
      <c r="E648" s="10"/>
      <c r="I648" s="10"/>
      <c r="J648" s="10"/>
    </row>
    <row r="649">
      <c r="C649" s="38"/>
      <c r="D649" s="38"/>
      <c r="E649" s="10"/>
      <c r="I649" s="10"/>
      <c r="J649" s="10"/>
    </row>
    <row r="650">
      <c r="C650" s="38"/>
      <c r="D650" s="38"/>
      <c r="E650" s="10"/>
      <c r="I650" s="10"/>
      <c r="J650" s="10"/>
    </row>
    <row r="651">
      <c r="C651" s="38"/>
      <c r="D651" s="38"/>
      <c r="E651" s="10"/>
      <c r="I651" s="10"/>
      <c r="J651" s="10"/>
    </row>
    <row r="652">
      <c r="C652" s="38"/>
      <c r="D652" s="38"/>
      <c r="E652" s="10"/>
      <c r="I652" s="10"/>
      <c r="J652" s="10"/>
    </row>
    <row r="653">
      <c r="C653" s="38"/>
      <c r="D653" s="38"/>
      <c r="E653" s="10"/>
      <c r="I653" s="10"/>
      <c r="J653" s="10"/>
    </row>
    <row r="654">
      <c r="C654" s="38"/>
      <c r="D654" s="38"/>
      <c r="E654" s="10"/>
      <c r="I654" s="10"/>
      <c r="J654" s="10"/>
    </row>
    <row r="655">
      <c r="C655" s="38"/>
      <c r="D655" s="38"/>
      <c r="E655" s="10"/>
      <c r="I655" s="10"/>
      <c r="J655" s="10"/>
    </row>
    <row r="656">
      <c r="C656" s="38"/>
      <c r="D656" s="38"/>
      <c r="E656" s="10"/>
      <c r="I656" s="10"/>
      <c r="J656" s="10"/>
    </row>
    <row r="657">
      <c r="C657" s="38"/>
      <c r="D657" s="38"/>
      <c r="E657" s="10"/>
      <c r="I657" s="10"/>
      <c r="J657" s="10"/>
    </row>
    <row r="658">
      <c r="C658" s="38"/>
      <c r="D658" s="38"/>
      <c r="E658" s="10"/>
      <c r="I658" s="10"/>
      <c r="J658" s="10"/>
    </row>
    <row r="659">
      <c r="C659" s="38"/>
      <c r="D659" s="38"/>
      <c r="E659" s="10"/>
      <c r="I659" s="10"/>
      <c r="J659" s="10"/>
    </row>
    <row r="660">
      <c r="C660" s="38"/>
      <c r="D660" s="38"/>
      <c r="E660" s="10"/>
      <c r="I660" s="10"/>
      <c r="J660" s="10"/>
    </row>
    <row r="661">
      <c r="C661" s="38"/>
      <c r="D661" s="38"/>
      <c r="E661" s="10"/>
      <c r="I661" s="10"/>
      <c r="J661" s="10"/>
    </row>
    <row r="662">
      <c r="C662" s="38"/>
      <c r="D662" s="38"/>
      <c r="E662" s="10"/>
      <c r="I662" s="10"/>
      <c r="J662" s="10"/>
    </row>
    <row r="663">
      <c r="C663" s="38"/>
      <c r="D663" s="38"/>
      <c r="E663" s="10"/>
      <c r="I663" s="10"/>
      <c r="J663" s="10"/>
    </row>
    <row r="664">
      <c r="C664" s="38"/>
      <c r="D664" s="38"/>
      <c r="E664" s="10"/>
      <c r="I664" s="10"/>
      <c r="J664" s="10"/>
    </row>
    <row r="665">
      <c r="C665" s="38"/>
      <c r="D665" s="38"/>
      <c r="E665" s="10"/>
      <c r="I665" s="10"/>
      <c r="J665" s="10"/>
    </row>
    <row r="666">
      <c r="C666" s="38"/>
      <c r="D666" s="38"/>
      <c r="E666" s="10"/>
      <c r="I666" s="10"/>
      <c r="J666" s="10"/>
    </row>
    <row r="667">
      <c r="C667" s="38"/>
      <c r="D667" s="38"/>
      <c r="E667" s="10"/>
      <c r="I667" s="10"/>
      <c r="J667" s="10"/>
    </row>
    <row r="668">
      <c r="C668" s="38"/>
      <c r="D668" s="38"/>
      <c r="E668" s="10"/>
      <c r="I668" s="10"/>
      <c r="J668" s="10"/>
    </row>
    <row r="669">
      <c r="C669" s="38"/>
      <c r="D669" s="38"/>
      <c r="E669" s="10"/>
      <c r="I669" s="10"/>
      <c r="J669" s="10"/>
    </row>
    <row r="670">
      <c r="C670" s="38"/>
      <c r="D670" s="38"/>
      <c r="E670" s="10"/>
      <c r="I670" s="10"/>
      <c r="J670" s="10"/>
    </row>
    <row r="671">
      <c r="C671" s="38"/>
      <c r="D671" s="38"/>
      <c r="E671" s="10"/>
      <c r="I671" s="10"/>
      <c r="J671" s="10"/>
    </row>
    <row r="672">
      <c r="C672" s="38"/>
      <c r="D672" s="38"/>
      <c r="E672" s="10"/>
      <c r="I672" s="10"/>
      <c r="J672" s="10"/>
    </row>
    <row r="673">
      <c r="C673" s="38"/>
      <c r="D673" s="38"/>
      <c r="E673" s="10"/>
      <c r="I673" s="10"/>
      <c r="J673" s="10"/>
    </row>
    <row r="674">
      <c r="C674" s="38"/>
      <c r="D674" s="38"/>
      <c r="E674" s="10"/>
      <c r="I674" s="10"/>
      <c r="J674" s="10"/>
    </row>
    <row r="675">
      <c r="C675" s="38"/>
      <c r="D675" s="38"/>
      <c r="E675" s="10"/>
      <c r="I675" s="10"/>
      <c r="J675" s="10"/>
    </row>
    <row r="676">
      <c r="C676" s="38"/>
      <c r="D676" s="38"/>
      <c r="E676" s="10"/>
      <c r="I676" s="10"/>
      <c r="J676" s="10"/>
    </row>
    <row r="677">
      <c r="C677" s="38"/>
      <c r="D677" s="38"/>
      <c r="E677" s="10"/>
      <c r="I677" s="10"/>
      <c r="J677" s="10"/>
    </row>
    <row r="678">
      <c r="C678" s="38"/>
      <c r="D678" s="38"/>
      <c r="E678" s="10"/>
      <c r="I678" s="10"/>
      <c r="J678" s="10"/>
    </row>
    <row r="679">
      <c r="C679" s="38"/>
      <c r="D679" s="38"/>
      <c r="E679" s="10"/>
      <c r="I679" s="10"/>
      <c r="J679" s="10"/>
    </row>
    <row r="680">
      <c r="C680" s="38"/>
      <c r="D680" s="38"/>
      <c r="E680" s="10"/>
      <c r="I680" s="10"/>
      <c r="J680" s="10"/>
    </row>
    <row r="681">
      <c r="C681" s="38"/>
      <c r="D681" s="38"/>
      <c r="E681" s="10"/>
      <c r="I681" s="10"/>
      <c r="J681" s="10"/>
    </row>
    <row r="682">
      <c r="C682" s="38"/>
      <c r="D682" s="38"/>
      <c r="E682" s="10"/>
      <c r="I682" s="10"/>
      <c r="J682" s="10"/>
    </row>
    <row r="683">
      <c r="C683" s="38"/>
      <c r="D683" s="38"/>
      <c r="E683" s="10"/>
      <c r="I683" s="10"/>
      <c r="J683" s="10"/>
    </row>
    <row r="684">
      <c r="C684" s="38"/>
      <c r="D684" s="38"/>
      <c r="E684" s="10"/>
      <c r="I684" s="10"/>
      <c r="J684" s="10"/>
    </row>
    <row r="685">
      <c r="C685" s="38"/>
      <c r="D685" s="38"/>
      <c r="E685" s="10"/>
      <c r="I685" s="10"/>
      <c r="J685" s="10"/>
    </row>
    <row r="686">
      <c r="C686" s="38"/>
      <c r="D686" s="38"/>
      <c r="E686" s="10"/>
      <c r="I686" s="10"/>
      <c r="J686" s="10"/>
    </row>
    <row r="687">
      <c r="C687" s="38"/>
      <c r="D687" s="38"/>
      <c r="E687" s="10"/>
      <c r="I687" s="10"/>
      <c r="J687" s="10"/>
    </row>
    <row r="688">
      <c r="C688" s="38"/>
      <c r="D688" s="38"/>
      <c r="E688" s="10"/>
      <c r="I688" s="10"/>
      <c r="J688" s="10"/>
    </row>
    <row r="689">
      <c r="C689" s="38"/>
      <c r="D689" s="38"/>
      <c r="E689" s="10"/>
      <c r="I689" s="10"/>
      <c r="J689" s="10"/>
    </row>
    <row r="690">
      <c r="C690" s="38"/>
      <c r="D690" s="38"/>
      <c r="E690" s="10"/>
      <c r="I690" s="10"/>
      <c r="J690" s="10"/>
    </row>
    <row r="691">
      <c r="C691" s="38"/>
      <c r="D691" s="38"/>
      <c r="E691" s="10"/>
      <c r="I691" s="10"/>
      <c r="J691" s="10"/>
    </row>
    <row r="692">
      <c r="C692" s="38"/>
      <c r="D692" s="38"/>
      <c r="E692" s="10"/>
      <c r="I692" s="10"/>
      <c r="J692" s="10"/>
    </row>
    <row r="693">
      <c r="C693" s="38"/>
      <c r="D693" s="38"/>
      <c r="E693" s="10"/>
      <c r="I693" s="10"/>
      <c r="J693" s="10"/>
    </row>
    <row r="694">
      <c r="C694" s="38"/>
      <c r="D694" s="38"/>
      <c r="E694" s="10"/>
      <c r="I694" s="10"/>
      <c r="J694" s="10"/>
    </row>
    <row r="695">
      <c r="C695" s="38"/>
      <c r="D695" s="38"/>
      <c r="E695" s="10"/>
      <c r="I695" s="10"/>
      <c r="J695" s="10"/>
    </row>
    <row r="696">
      <c r="C696" s="38"/>
      <c r="D696" s="38"/>
      <c r="E696" s="10"/>
      <c r="I696" s="10"/>
      <c r="J696" s="10"/>
    </row>
    <row r="697">
      <c r="C697" s="38"/>
      <c r="D697" s="38"/>
      <c r="E697" s="10"/>
      <c r="I697" s="10"/>
      <c r="J697" s="10"/>
    </row>
    <row r="698">
      <c r="C698" s="38"/>
      <c r="D698" s="38"/>
      <c r="E698" s="10"/>
      <c r="I698" s="10"/>
      <c r="J698" s="10"/>
    </row>
    <row r="699">
      <c r="C699" s="38"/>
      <c r="D699" s="38"/>
      <c r="E699" s="10"/>
      <c r="I699" s="10"/>
      <c r="J699" s="10"/>
    </row>
    <row r="700">
      <c r="C700" s="38"/>
      <c r="D700" s="38"/>
      <c r="E700" s="10"/>
      <c r="I700" s="10"/>
      <c r="J700" s="10"/>
    </row>
    <row r="701">
      <c r="C701" s="38"/>
      <c r="D701" s="38"/>
      <c r="E701" s="10"/>
      <c r="I701" s="10"/>
      <c r="J701" s="10"/>
    </row>
    <row r="702">
      <c r="C702" s="38"/>
      <c r="D702" s="38"/>
      <c r="E702" s="10"/>
      <c r="I702" s="10"/>
      <c r="J702" s="10"/>
    </row>
    <row r="703">
      <c r="C703" s="38"/>
      <c r="D703" s="38"/>
      <c r="E703" s="10"/>
      <c r="I703" s="10"/>
      <c r="J703" s="10"/>
    </row>
    <row r="704">
      <c r="C704" s="38"/>
      <c r="D704" s="38"/>
      <c r="E704" s="10"/>
      <c r="I704" s="10"/>
      <c r="J704" s="10"/>
    </row>
    <row r="705">
      <c r="C705" s="38"/>
      <c r="D705" s="38"/>
      <c r="E705" s="10"/>
      <c r="I705" s="10"/>
      <c r="J705" s="10"/>
    </row>
    <row r="706">
      <c r="C706" s="38"/>
      <c r="D706" s="38"/>
      <c r="E706" s="10"/>
      <c r="I706" s="10"/>
      <c r="J706" s="10"/>
    </row>
    <row r="707">
      <c r="C707" s="38"/>
      <c r="D707" s="38"/>
      <c r="E707" s="10"/>
      <c r="I707" s="10"/>
      <c r="J707" s="10"/>
    </row>
    <row r="708">
      <c r="C708" s="38"/>
      <c r="D708" s="38"/>
      <c r="E708" s="10"/>
      <c r="I708" s="10"/>
      <c r="J708" s="10"/>
    </row>
    <row r="709">
      <c r="C709" s="38"/>
      <c r="D709" s="38"/>
      <c r="E709" s="10"/>
      <c r="I709" s="10"/>
      <c r="J709" s="10"/>
    </row>
    <row r="710">
      <c r="C710" s="38"/>
      <c r="D710" s="38"/>
      <c r="E710" s="10"/>
      <c r="I710" s="10"/>
      <c r="J710" s="10"/>
    </row>
    <row r="711">
      <c r="C711" s="38"/>
      <c r="D711" s="38"/>
      <c r="E711" s="10"/>
      <c r="I711" s="10"/>
      <c r="J711" s="10"/>
    </row>
    <row r="712">
      <c r="C712" s="38"/>
      <c r="D712" s="38"/>
      <c r="E712" s="10"/>
      <c r="I712" s="10"/>
      <c r="J712" s="10"/>
    </row>
    <row r="713">
      <c r="C713" s="38"/>
      <c r="D713" s="38"/>
      <c r="E713" s="10"/>
      <c r="I713" s="10"/>
      <c r="J713" s="10"/>
    </row>
    <row r="714">
      <c r="C714" s="38"/>
      <c r="D714" s="38"/>
      <c r="E714" s="10"/>
      <c r="I714" s="10"/>
      <c r="J714" s="10"/>
    </row>
    <row r="715">
      <c r="C715" s="38"/>
      <c r="D715" s="38"/>
      <c r="E715" s="10"/>
      <c r="I715" s="10"/>
      <c r="J715" s="10"/>
    </row>
    <row r="716">
      <c r="C716" s="38"/>
      <c r="D716" s="38"/>
      <c r="E716" s="10"/>
      <c r="I716" s="10"/>
      <c r="J716" s="10"/>
    </row>
    <row r="717">
      <c r="C717" s="38"/>
      <c r="D717" s="38"/>
      <c r="E717" s="10"/>
      <c r="I717" s="10"/>
      <c r="J717" s="10"/>
    </row>
    <row r="718">
      <c r="C718" s="38"/>
      <c r="D718" s="38"/>
      <c r="E718" s="10"/>
      <c r="I718" s="10"/>
      <c r="J718" s="10"/>
    </row>
    <row r="719">
      <c r="C719" s="38"/>
      <c r="D719" s="38"/>
      <c r="E719" s="10"/>
      <c r="I719" s="10"/>
      <c r="J719" s="10"/>
    </row>
    <row r="720">
      <c r="C720" s="38"/>
      <c r="D720" s="38"/>
      <c r="E720" s="10"/>
      <c r="I720" s="10"/>
      <c r="J720" s="10"/>
    </row>
    <row r="721">
      <c r="C721" s="38"/>
      <c r="D721" s="38"/>
      <c r="E721" s="10"/>
      <c r="I721" s="10"/>
      <c r="J721" s="10"/>
    </row>
    <row r="722">
      <c r="C722" s="38"/>
      <c r="D722" s="38"/>
      <c r="E722" s="10"/>
      <c r="I722" s="10"/>
      <c r="J722" s="10"/>
    </row>
    <row r="723">
      <c r="C723" s="38"/>
      <c r="D723" s="38"/>
      <c r="E723" s="10"/>
      <c r="I723" s="10"/>
      <c r="J723" s="10"/>
    </row>
    <row r="724">
      <c r="C724" s="38"/>
      <c r="D724" s="38"/>
      <c r="E724" s="10"/>
      <c r="I724" s="10"/>
      <c r="J724" s="10"/>
    </row>
    <row r="725">
      <c r="C725" s="38"/>
      <c r="D725" s="38"/>
      <c r="E725" s="10"/>
      <c r="I725" s="10"/>
      <c r="J725" s="10"/>
    </row>
    <row r="726">
      <c r="C726" s="38"/>
      <c r="D726" s="38"/>
      <c r="E726" s="10"/>
      <c r="I726" s="10"/>
      <c r="J726" s="10"/>
    </row>
    <row r="727">
      <c r="C727" s="38"/>
      <c r="D727" s="38"/>
      <c r="E727" s="10"/>
      <c r="I727" s="10"/>
      <c r="J727" s="10"/>
    </row>
    <row r="728">
      <c r="C728" s="38"/>
      <c r="D728" s="38"/>
      <c r="E728" s="10"/>
      <c r="I728" s="10"/>
      <c r="J728" s="10"/>
    </row>
    <row r="729">
      <c r="C729" s="38"/>
      <c r="D729" s="38"/>
      <c r="E729" s="10"/>
      <c r="I729" s="10"/>
      <c r="J729" s="10"/>
    </row>
    <row r="730">
      <c r="C730" s="38"/>
      <c r="D730" s="38"/>
      <c r="E730" s="10"/>
      <c r="I730" s="10"/>
      <c r="J730" s="10"/>
    </row>
    <row r="731">
      <c r="C731" s="38"/>
      <c r="D731" s="38"/>
      <c r="E731" s="10"/>
      <c r="I731" s="10"/>
      <c r="J731" s="10"/>
    </row>
    <row r="732">
      <c r="C732" s="38"/>
      <c r="D732" s="38"/>
      <c r="E732" s="10"/>
      <c r="I732" s="10"/>
      <c r="J732" s="10"/>
    </row>
    <row r="733">
      <c r="C733" s="38"/>
      <c r="D733" s="38"/>
      <c r="E733" s="10"/>
      <c r="I733" s="10"/>
      <c r="J733" s="10"/>
    </row>
    <row r="734">
      <c r="C734" s="38"/>
      <c r="D734" s="38"/>
      <c r="E734" s="10"/>
      <c r="I734" s="10"/>
      <c r="J734" s="10"/>
    </row>
    <row r="735">
      <c r="C735" s="38"/>
      <c r="D735" s="38"/>
      <c r="E735" s="10"/>
      <c r="I735" s="10"/>
      <c r="J735" s="10"/>
    </row>
    <row r="736">
      <c r="C736" s="38"/>
      <c r="D736" s="38"/>
      <c r="E736" s="10"/>
      <c r="I736" s="10"/>
      <c r="J736" s="10"/>
    </row>
    <row r="737">
      <c r="C737" s="38"/>
      <c r="D737" s="38"/>
      <c r="E737" s="10"/>
      <c r="I737" s="10"/>
      <c r="J737" s="10"/>
    </row>
    <row r="738">
      <c r="C738" s="38"/>
      <c r="D738" s="38"/>
      <c r="E738" s="10"/>
      <c r="I738" s="10"/>
      <c r="J738" s="10"/>
    </row>
    <row r="739">
      <c r="C739" s="38"/>
      <c r="D739" s="38"/>
      <c r="E739" s="10"/>
      <c r="I739" s="10"/>
      <c r="J739" s="10"/>
    </row>
    <row r="740">
      <c r="C740" s="38"/>
      <c r="D740" s="38"/>
      <c r="E740" s="10"/>
      <c r="I740" s="10"/>
      <c r="J740" s="10"/>
    </row>
    <row r="741">
      <c r="C741" s="38"/>
      <c r="D741" s="38"/>
      <c r="E741" s="10"/>
      <c r="I741" s="10"/>
      <c r="J741" s="10"/>
    </row>
    <row r="742">
      <c r="C742" s="38"/>
      <c r="D742" s="38"/>
      <c r="E742" s="10"/>
      <c r="I742" s="10"/>
      <c r="J742" s="10"/>
    </row>
    <row r="743">
      <c r="C743" s="38"/>
      <c r="D743" s="38"/>
      <c r="E743" s="10"/>
      <c r="I743" s="10"/>
      <c r="J743" s="10"/>
    </row>
    <row r="744">
      <c r="C744" s="38"/>
      <c r="D744" s="38"/>
      <c r="E744" s="10"/>
      <c r="I744" s="10"/>
      <c r="J744" s="10"/>
    </row>
    <row r="745">
      <c r="C745" s="38"/>
      <c r="D745" s="38"/>
      <c r="E745" s="10"/>
      <c r="I745" s="10"/>
      <c r="J745" s="10"/>
    </row>
    <row r="746">
      <c r="C746" s="38"/>
      <c r="D746" s="38"/>
      <c r="E746" s="10"/>
      <c r="I746" s="10"/>
      <c r="J746" s="10"/>
    </row>
    <row r="747">
      <c r="C747" s="38"/>
      <c r="D747" s="38"/>
      <c r="E747" s="10"/>
      <c r="I747" s="10"/>
      <c r="J747" s="10"/>
    </row>
    <row r="748">
      <c r="C748" s="38"/>
      <c r="D748" s="38"/>
      <c r="E748" s="10"/>
      <c r="I748" s="10"/>
      <c r="J748" s="10"/>
    </row>
    <row r="749">
      <c r="C749" s="38"/>
      <c r="D749" s="38"/>
      <c r="E749" s="10"/>
      <c r="I749" s="10"/>
      <c r="J749" s="10"/>
    </row>
    <row r="750">
      <c r="C750" s="38"/>
      <c r="D750" s="38"/>
      <c r="E750" s="10"/>
      <c r="I750" s="10"/>
      <c r="J750" s="10"/>
    </row>
    <row r="751">
      <c r="C751" s="38"/>
      <c r="D751" s="38"/>
      <c r="E751" s="10"/>
      <c r="I751" s="10"/>
      <c r="J751" s="10"/>
    </row>
    <row r="752">
      <c r="C752" s="38"/>
      <c r="D752" s="38"/>
      <c r="E752" s="10"/>
      <c r="I752" s="10"/>
      <c r="J752" s="10"/>
    </row>
    <row r="753">
      <c r="C753" s="38"/>
      <c r="D753" s="38"/>
      <c r="E753" s="10"/>
      <c r="I753" s="10"/>
      <c r="J753" s="10"/>
    </row>
    <row r="754">
      <c r="C754" s="38"/>
      <c r="D754" s="38"/>
      <c r="E754" s="10"/>
      <c r="I754" s="10"/>
      <c r="J754" s="10"/>
    </row>
    <row r="755">
      <c r="C755" s="38"/>
      <c r="D755" s="38"/>
      <c r="E755" s="10"/>
      <c r="I755" s="10"/>
      <c r="J755" s="10"/>
    </row>
    <row r="756">
      <c r="C756" s="38"/>
      <c r="D756" s="38"/>
      <c r="E756" s="10"/>
      <c r="I756" s="10"/>
      <c r="J756" s="10"/>
    </row>
    <row r="757">
      <c r="C757" s="38"/>
      <c r="D757" s="38"/>
      <c r="E757" s="10"/>
      <c r="I757" s="10"/>
      <c r="J757" s="10"/>
    </row>
    <row r="758">
      <c r="C758" s="38"/>
      <c r="D758" s="38"/>
      <c r="E758" s="10"/>
      <c r="I758" s="10"/>
      <c r="J758" s="10"/>
    </row>
    <row r="759">
      <c r="C759" s="38"/>
      <c r="D759" s="38"/>
      <c r="E759" s="10"/>
      <c r="I759" s="10"/>
      <c r="J759" s="10"/>
    </row>
    <row r="760">
      <c r="C760" s="38"/>
      <c r="D760" s="38"/>
      <c r="E760" s="10"/>
      <c r="I760" s="10"/>
      <c r="J760" s="10"/>
    </row>
    <row r="761">
      <c r="C761" s="38"/>
      <c r="D761" s="38"/>
      <c r="E761" s="10"/>
      <c r="I761" s="10"/>
      <c r="J761" s="10"/>
    </row>
    <row r="762">
      <c r="C762" s="38"/>
      <c r="D762" s="38"/>
      <c r="E762" s="10"/>
      <c r="I762" s="10"/>
      <c r="J762" s="10"/>
    </row>
    <row r="763">
      <c r="C763" s="38"/>
      <c r="D763" s="38"/>
      <c r="E763" s="10"/>
      <c r="I763" s="10"/>
      <c r="J763" s="10"/>
    </row>
    <row r="764">
      <c r="C764" s="38"/>
      <c r="D764" s="38"/>
      <c r="E764" s="10"/>
      <c r="I764" s="10"/>
      <c r="J764" s="10"/>
    </row>
    <row r="765">
      <c r="C765" s="38"/>
      <c r="D765" s="38"/>
      <c r="E765" s="10"/>
      <c r="I765" s="10"/>
      <c r="J765" s="10"/>
    </row>
    <row r="766">
      <c r="C766" s="38"/>
      <c r="D766" s="38"/>
      <c r="E766" s="10"/>
      <c r="I766" s="10"/>
      <c r="J766" s="10"/>
    </row>
    <row r="767">
      <c r="C767" s="38"/>
      <c r="D767" s="38"/>
      <c r="E767" s="10"/>
      <c r="I767" s="10"/>
      <c r="J767" s="10"/>
    </row>
    <row r="768">
      <c r="C768" s="38"/>
      <c r="D768" s="38"/>
      <c r="E768" s="10"/>
      <c r="I768" s="10"/>
      <c r="J768" s="10"/>
    </row>
    <row r="769">
      <c r="C769" s="38"/>
      <c r="D769" s="38"/>
      <c r="E769" s="10"/>
      <c r="I769" s="10"/>
      <c r="J769" s="10"/>
    </row>
    <row r="770">
      <c r="C770" s="38"/>
      <c r="D770" s="38"/>
      <c r="E770" s="10"/>
      <c r="I770" s="10"/>
      <c r="J770" s="10"/>
    </row>
    <row r="771">
      <c r="C771" s="38"/>
      <c r="D771" s="38"/>
      <c r="E771" s="10"/>
      <c r="I771" s="10"/>
      <c r="J771" s="10"/>
    </row>
    <row r="772">
      <c r="C772" s="38"/>
      <c r="D772" s="38"/>
      <c r="E772" s="10"/>
      <c r="I772" s="10"/>
      <c r="J772" s="10"/>
    </row>
    <row r="773">
      <c r="C773" s="38"/>
      <c r="D773" s="38"/>
      <c r="E773" s="10"/>
      <c r="I773" s="10"/>
      <c r="J773" s="10"/>
    </row>
    <row r="774">
      <c r="C774" s="38"/>
      <c r="D774" s="38"/>
      <c r="E774" s="10"/>
      <c r="I774" s="10"/>
      <c r="J774" s="10"/>
    </row>
    <row r="775">
      <c r="C775" s="38"/>
      <c r="D775" s="38"/>
      <c r="E775" s="10"/>
      <c r="I775" s="10"/>
      <c r="J775" s="10"/>
    </row>
    <row r="776">
      <c r="C776" s="38"/>
      <c r="D776" s="38"/>
      <c r="E776" s="10"/>
      <c r="I776" s="10"/>
      <c r="J776" s="10"/>
    </row>
    <row r="777">
      <c r="C777" s="38"/>
      <c r="D777" s="38"/>
      <c r="E777" s="10"/>
      <c r="I777" s="10"/>
      <c r="J777" s="10"/>
    </row>
    <row r="778">
      <c r="C778" s="38"/>
      <c r="D778" s="38"/>
      <c r="E778" s="10"/>
      <c r="I778" s="10"/>
      <c r="J778" s="10"/>
    </row>
    <row r="779">
      <c r="C779" s="38"/>
      <c r="D779" s="38"/>
      <c r="E779" s="10"/>
      <c r="I779" s="10"/>
      <c r="J779" s="10"/>
    </row>
    <row r="780">
      <c r="C780" s="38"/>
      <c r="D780" s="38"/>
      <c r="E780" s="10"/>
      <c r="I780" s="10"/>
      <c r="J780" s="10"/>
    </row>
    <row r="781">
      <c r="C781" s="38"/>
      <c r="D781" s="38"/>
      <c r="E781" s="10"/>
      <c r="I781" s="10"/>
      <c r="J781" s="10"/>
    </row>
    <row r="782">
      <c r="C782" s="38"/>
      <c r="D782" s="38"/>
      <c r="E782" s="10"/>
      <c r="I782" s="10"/>
      <c r="J782" s="10"/>
    </row>
    <row r="783">
      <c r="C783" s="38"/>
      <c r="D783" s="38"/>
      <c r="E783" s="10"/>
      <c r="I783" s="10"/>
      <c r="J783" s="10"/>
    </row>
    <row r="784">
      <c r="C784" s="38"/>
      <c r="D784" s="38"/>
      <c r="E784" s="10"/>
      <c r="I784" s="10"/>
      <c r="J784" s="10"/>
    </row>
    <row r="785">
      <c r="C785" s="38"/>
      <c r="D785" s="38"/>
      <c r="E785" s="10"/>
      <c r="I785" s="10"/>
      <c r="J785" s="10"/>
    </row>
    <row r="786">
      <c r="C786" s="38"/>
      <c r="D786" s="38"/>
      <c r="E786" s="10"/>
      <c r="I786" s="10"/>
      <c r="J786" s="10"/>
    </row>
    <row r="787">
      <c r="C787" s="38"/>
      <c r="D787" s="38"/>
      <c r="E787" s="10"/>
      <c r="I787" s="10"/>
      <c r="J787" s="10"/>
    </row>
    <row r="788">
      <c r="C788" s="38"/>
      <c r="D788" s="38"/>
      <c r="E788" s="10"/>
      <c r="I788" s="10"/>
      <c r="J788" s="10"/>
    </row>
    <row r="789">
      <c r="C789" s="38"/>
      <c r="D789" s="38"/>
      <c r="E789" s="10"/>
      <c r="I789" s="10"/>
      <c r="J789" s="10"/>
    </row>
    <row r="790">
      <c r="C790" s="38"/>
      <c r="D790" s="38"/>
      <c r="E790" s="10"/>
      <c r="I790" s="10"/>
      <c r="J790" s="10"/>
    </row>
    <row r="791">
      <c r="C791" s="38"/>
      <c r="D791" s="38"/>
      <c r="E791" s="10"/>
      <c r="I791" s="10"/>
      <c r="J791" s="10"/>
    </row>
    <row r="792">
      <c r="C792" s="38"/>
      <c r="D792" s="38"/>
      <c r="E792" s="10"/>
      <c r="I792" s="10"/>
      <c r="J792" s="10"/>
    </row>
    <row r="793">
      <c r="C793" s="38"/>
      <c r="D793" s="38"/>
      <c r="E793" s="10"/>
      <c r="I793" s="10"/>
      <c r="J793" s="10"/>
    </row>
    <row r="794">
      <c r="C794" s="38"/>
      <c r="D794" s="38"/>
      <c r="E794" s="10"/>
      <c r="I794" s="10"/>
      <c r="J794" s="10"/>
    </row>
    <row r="795">
      <c r="C795" s="38"/>
      <c r="D795" s="38"/>
      <c r="E795" s="10"/>
      <c r="I795" s="10"/>
      <c r="J795" s="10"/>
    </row>
    <row r="796">
      <c r="C796" s="38"/>
      <c r="D796" s="38"/>
      <c r="E796" s="10"/>
      <c r="I796" s="10"/>
      <c r="J796" s="10"/>
    </row>
    <row r="797">
      <c r="C797" s="38"/>
      <c r="D797" s="38"/>
      <c r="E797" s="10"/>
      <c r="I797" s="10"/>
      <c r="J797" s="10"/>
    </row>
    <row r="798">
      <c r="C798" s="38"/>
      <c r="D798" s="38"/>
      <c r="E798" s="10"/>
      <c r="I798" s="10"/>
      <c r="J798" s="10"/>
    </row>
    <row r="799">
      <c r="C799" s="38"/>
      <c r="D799" s="38"/>
      <c r="E799" s="10"/>
      <c r="I799" s="10"/>
      <c r="J799" s="10"/>
    </row>
    <row r="800">
      <c r="C800" s="38"/>
      <c r="D800" s="38"/>
      <c r="E800" s="10"/>
      <c r="I800" s="10"/>
      <c r="J800" s="10"/>
    </row>
    <row r="801">
      <c r="C801" s="38"/>
      <c r="D801" s="38"/>
      <c r="E801" s="10"/>
      <c r="I801" s="10"/>
      <c r="J801" s="10"/>
    </row>
    <row r="802">
      <c r="C802" s="38"/>
      <c r="D802" s="38"/>
      <c r="E802" s="10"/>
      <c r="I802" s="10"/>
      <c r="J802" s="10"/>
    </row>
    <row r="803">
      <c r="C803" s="38"/>
      <c r="D803" s="38"/>
      <c r="E803" s="10"/>
      <c r="I803" s="10"/>
      <c r="J803" s="10"/>
    </row>
    <row r="804">
      <c r="C804" s="38"/>
      <c r="D804" s="38"/>
      <c r="E804" s="10"/>
      <c r="I804" s="10"/>
      <c r="J804" s="10"/>
    </row>
    <row r="805">
      <c r="C805" s="38"/>
      <c r="D805" s="38"/>
      <c r="E805" s="10"/>
      <c r="I805" s="10"/>
      <c r="J805" s="10"/>
    </row>
    <row r="806">
      <c r="C806" s="38"/>
      <c r="D806" s="38"/>
      <c r="E806" s="10"/>
      <c r="I806" s="10"/>
      <c r="J806" s="10"/>
    </row>
    <row r="807">
      <c r="C807" s="38"/>
      <c r="D807" s="38"/>
      <c r="E807" s="10"/>
      <c r="I807" s="10"/>
      <c r="J807" s="10"/>
    </row>
    <row r="808">
      <c r="C808" s="38"/>
      <c r="D808" s="38"/>
      <c r="E808" s="10"/>
      <c r="I808" s="10"/>
      <c r="J808" s="10"/>
    </row>
    <row r="809">
      <c r="C809" s="38"/>
      <c r="D809" s="38"/>
      <c r="E809" s="10"/>
      <c r="I809" s="10"/>
      <c r="J809" s="10"/>
    </row>
    <row r="810">
      <c r="C810" s="38"/>
      <c r="D810" s="38"/>
      <c r="E810" s="10"/>
      <c r="I810" s="10"/>
      <c r="J810" s="10"/>
    </row>
    <row r="811">
      <c r="C811" s="38"/>
      <c r="D811" s="38"/>
      <c r="E811" s="10"/>
      <c r="I811" s="10"/>
      <c r="J811" s="10"/>
    </row>
    <row r="812">
      <c r="C812" s="38"/>
      <c r="D812" s="38"/>
      <c r="E812" s="10"/>
      <c r="I812" s="10"/>
      <c r="J812" s="10"/>
    </row>
    <row r="813">
      <c r="C813" s="38"/>
      <c r="D813" s="38"/>
      <c r="E813" s="10"/>
      <c r="I813" s="10"/>
      <c r="J813" s="10"/>
    </row>
    <row r="814">
      <c r="C814" s="38"/>
      <c r="D814" s="38"/>
      <c r="E814" s="10"/>
      <c r="I814" s="10"/>
      <c r="J814" s="10"/>
    </row>
    <row r="815">
      <c r="C815" s="38"/>
      <c r="D815" s="38"/>
      <c r="E815" s="10"/>
      <c r="I815" s="10"/>
      <c r="J815" s="10"/>
    </row>
    <row r="816">
      <c r="C816" s="38"/>
      <c r="D816" s="38"/>
      <c r="E816" s="10"/>
      <c r="I816" s="10"/>
      <c r="J816" s="10"/>
    </row>
    <row r="817">
      <c r="C817" s="38"/>
      <c r="D817" s="38"/>
      <c r="E817" s="10"/>
      <c r="I817" s="10"/>
      <c r="J817" s="10"/>
    </row>
    <row r="818">
      <c r="C818" s="38"/>
      <c r="D818" s="38"/>
      <c r="E818" s="10"/>
      <c r="I818" s="10"/>
      <c r="J818" s="10"/>
    </row>
    <row r="819">
      <c r="C819" s="38"/>
      <c r="D819" s="38"/>
      <c r="E819" s="10"/>
      <c r="I819" s="10"/>
      <c r="J819" s="10"/>
    </row>
    <row r="820">
      <c r="C820" s="38"/>
      <c r="D820" s="38"/>
      <c r="E820" s="10"/>
      <c r="I820" s="10"/>
      <c r="J820" s="10"/>
    </row>
    <row r="821">
      <c r="C821" s="38"/>
      <c r="D821" s="38"/>
      <c r="E821" s="10"/>
      <c r="I821" s="10"/>
      <c r="J821" s="10"/>
    </row>
    <row r="822">
      <c r="C822" s="38"/>
      <c r="D822" s="38"/>
      <c r="E822" s="10"/>
      <c r="I822" s="10"/>
      <c r="J822" s="10"/>
    </row>
    <row r="823">
      <c r="C823" s="38"/>
      <c r="D823" s="38"/>
      <c r="E823" s="10"/>
      <c r="I823" s="10"/>
      <c r="J823" s="10"/>
    </row>
    <row r="824">
      <c r="C824" s="38"/>
      <c r="D824" s="38"/>
      <c r="E824" s="10"/>
      <c r="I824" s="10"/>
      <c r="J824" s="10"/>
    </row>
    <row r="825">
      <c r="C825" s="38"/>
      <c r="D825" s="38"/>
      <c r="E825" s="10"/>
      <c r="I825" s="10"/>
      <c r="J825" s="10"/>
    </row>
    <row r="826">
      <c r="C826" s="38"/>
      <c r="D826" s="38"/>
      <c r="E826" s="10"/>
      <c r="I826" s="10"/>
      <c r="J826" s="10"/>
    </row>
    <row r="827">
      <c r="C827" s="38"/>
      <c r="D827" s="38"/>
      <c r="E827" s="10"/>
      <c r="I827" s="10"/>
      <c r="J827" s="10"/>
    </row>
    <row r="828">
      <c r="C828" s="38"/>
      <c r="D828" s="38"/>
      <c r="E828" s="10"/>
      <c r="I828" s="10"/>
      <c r="J828" s="10"/>
    </row>
    <row r="829">
      <c r="C829" s="38"/>
      <c r="D829" s="38"/>
      <c r="E829" s="10"/>
      <c r="I829" s="10"/>
      <c r="J829" s="10"/>
    </row>
    <row r="830">
      <c r="C830" s="38"/>
      <c r="D830" s="38"/>
      <c r="E830" s="10"/>
      <c r="I830" s="10"/>
      <c r="J830" s="10"/>
    </row>
    <row r="831">
      <c r="C831" s="38"/>
      <c r="D831" s="38"/>
      <c r="E831" s="10"/>
      <c r="I831" s="10"/>
      <c r="J831" s="10"/>
    </row>
    <row r="832">
      <c r="C832" s="38"/>
      <c r="D832" s="38"/>
      <c r="E832" s="10"/>
      <c r="I832" s="10"/>
      <c r="J832" s="10"/>
    </row>
    <row r="833">
      <c r="C833" s="38"/>
      <c r="D833" s="38"/>
      <c r="E833" s="10"/>
      <c r="I833" s="10"/>
      <c r="J833" s="10"/>
    </row>
    <row r="834">
      <c r="C834" s="38"/>
      <c r="D834" s="38"/>
      <c r="E834" s="10"/>
      <c r="I834" s="10"/>
      <c r="J834" s="10"/>
    </row>
    <row r="835">
      <c r="C835" s="38"/>
      <c r="D835" s="38"/>
      <c r="E835" s="10"/>
      <c r="I835" s="10"/>
      <c r="J835" s="10"/>
    </row>
    <row r="836">
      <c r="C836" s="38"/>
      <c r="D836" s="38"/>
      <c r="E836" s="10"/>
      <c r="I836" s="10"/>
      <c r="J836" s="10"/>
    </row>
    <row r="837">
      <c r="C837" s="38"/>
      <c r="D837" s="38"/>
      <c r="E837" s="10"/>
      <c r="I837" s="10"/>
      <c r="J837" s="10"/>
    </row>
    <row r="838">
      <c r="C838" s="38"/>
      <c r="D838" s="38"/>
      <c r="E838" s="10"/>
      <c r="I838" s="10"/>
      <c r="J838" s="10"/>
    </row>
    <row r="839">
      <c r="C839" s="38"/>
      <c r="D839" s="38"/>
      <c r="E839" s="10"/>
      <c r="I839" s="10"/>
      <c r="J839" s="10"/>
    </row>
    <row r="840">
      <c r="C840" s="38"/>
      <c r="D840" s="38"/>
      <c r="E840" s="10"/>
      <c r="I840" s="10"/>
      <c r="J840" s="10"/>
    </row>
    <row r="841">
      <c r="C841" s="38"/>
      <c r="D841" s="38"/>
      <c r="E841" s="10"/>
      <c r="I841" s="10"/>
      <c r="J841" s="10"/>
    </row>
    <row r="842">
      <c r="C842" s="38"/>
      <c r="D842" s="38"/>
      <c r="E842" s="10"/>
      <c r="I842" s="10"/>
      <c r="J842" s="10"/>
    </row>
    <row r="843">
      <c r="C843" s="38"/>
      <c r="D843" s="38"/>
      <c r="E843" s="10"/>
      <c r="I843" s="10"/>
      <c r="J843" s="10"/>
    </row>
    <row r="844">
      <c r="C844" s="38"/>
      <c r="D844" s="38"/>
      <c r="E844" s="10"/>
      <c r="I844" s="10"/>
      <c r="J844" s="10"/>
    </row>
    <row r="845">
      <c r="C845" s="38"/>
      <c r="D845" s="38"/>
      <c r="E845" s="10"/>
      <c r="I845" s="10"/>
      <c r="J845" s="10"/>
    </row>
    <row r="846">
      <c r="C846" s="38"/>
      <c r="D846" s="38"/>
      <c r="E846" s="10"/>
      <c r="I846" s="10"/>
      <c r="J846" s="10"/>
    </row>
    <row r="847">
      <c r="C847" s="38"/>
      <c r="D847" s="38"/>
      <c r="E847" s="10"/>
      <c r="I847" s="10"/>
      <c r="J847" s="10"/>
    </row>
    <row r="848">
      <c r="C848" s="38"/>
      <c r="D848" s="38"/>
      <c r="E848" s="10"/>
      <c r="I848" s="10"/>
      <c r="J848" s="10"/>
    </row>
    <row r="849">
      <c r="C849" s="38"/>
      <c r="D849" s="38"/>
      <c r="E849" s="10"/>
      <c r="I849" s="10"/>
      <c r="J849" s="10"/>
    </row>
    <row r="850">
      <c r="C850" s="38"/>
      <c r="D850" s="38"/>
      <c r="E850" s="10"/>
      <c r="I850" s="10"/>
      <c r="J850" s="10"/>
    </row>
    <row r="851">
      <c r="C851" s="38"/>
      <c r="D851" s="38"/>
      <c r="E851" s="10"/>
      <c r="I851" s="10"/>
      <c r="J851" s="10"/>
    </row>
    <row r="852">
      <c r="C852" s="38"/>
      <c r="D852" s="38"/>
      <c r="E852" s="10"/>
      <c r="I852" s="10"/>
      <c r="J852" s="10"/>
    </row>
    <row r="853">
      <c r="C853" s="38"/>
      <c r="D853" s="38"/>
      <c r="E853" s="10"/>
      <c r="I853" s="10"/>
      <c r="J853" s="10"/>
    </row>
    <row r="854">
      <c r="C854" s="38"/>
      <c r="D854" s="38"/>
      <c r="E854" s="10"/>
      <c r="I854" s="10"/>
      <c r="J854" s="10"/>
    </row>
    <row r="855">
      <c r="C855" s="38"/>
      <c r="D855" s="38"/>
      <c r="E855" s="10"/>
      <c r="I855" s="10"/>
      <c r="J855" s="10"/>
    </row>
    <row r="856">
      <c r="C856" s="38"/>
      <c r="D856" s="38"/>
      <c r="E856" s="10"/>
      <c r="I856" s="10"/>
      <c r="J856" s="10"/>
    </row>
    <row r="857">
      <c r="C857" s="38"/>
      <c r="D857" s="38"/>
      <c r="E857" s="10"/>
      <c r="I857" s="10"/>
      <c r="J857" s="10"/>
    </row>
    <row r="858">
      <c r="C858" s="38"/>
      <c r="D858" s="38"/>
      <c r="E858" s="10"/>
      <c r="I858" s="10"/>
      <c r="J858" s="10"/>
    </row>
    <row r="859">
      <c r="C859" s="38"/>
      <c r="D859" s="38"/>
      <c r="E859" s="10"/>
      <c r="I859" s="10"/>
      <c r="J859" s="10"/>
    </row>
    <row r="860">
      <c r="C860" s="38"/>
      <c r="D860" s="38"/>
      <c r="E860" s="10"/>
      <c r="I860" s="10"/>
      <c r="J860" s="10"/>
    </row>
    <row r="861">
      <c r="C861" s="38"/>
      <c r="D861" s="38"/>
      <c r="E861" s="10"/>
      <c r="I861" s="10"/>
      <c r="J861" s="10"/>
    </row>
    <row r="862">
      <c r="C862" s="38"/>
      <c r="D862" s="38"/>
      <c r="E862" s="10"/>
      <c r="I862" s="10"/>
      <c r="J862" s="10"/>
    </row>
    <row r="863">
      <c r="C863" s="38"/>
      <c r="D863" s="38"/>
      <c r="E863" s="10"/>
      <c r="I863" s="10"/>
      <c r="J863" s="10"/>
    </row>
    <row r="864">
      <c r="C864" s="38"/>
      <c r="D864" s="38"/>
      <c r="E864" s="10"/>
      <c r="I864" s="10"/>
      <c r="J864" s="10"/>
    </row>
    <row r="865">
      <c r="C865" s="38"/>
      <c r="D865" s="38"/>
      <c r="E865" s="10"/>
      <c r="I865" s="10"/>
      <c r="J865" s="10"/>
    </row>
    <row r="866">
      <c r="C866" s="38"/>
      <c r="D866" s="38"/>
      <c r="E866" s="10"/>
      <c r="I866" s="10"/>
      <c r="J866" s="10"/>
    </row>
    <row r="867">
      <c r="C867" s="38"/>
      <c r="D867" s="38"/>
      <c r="E867" s="10"/>
      <c r="I867" s="10"/>
      <c r="J867" s="10"/>
    </row>
    <row r="868">
      <c r="C868" s="38"/>
      <c r="D868" s="38"/>
      <c r="E868" s="10"/>
      <c r="I868" s="10"/>
      <c r="J868" s="10"/>
    </row>
    <row r="869">
      <c r="C869" s="38"/>
      <c r="D869" s="38"/>
      <c r="E869" s="10"/>
      <c r="I869" s="10"/>
      <c r="J869" s="10"/>
    </row>
    <row r="870">
      <c r="C870" s="38"/>
      <c r="D870" s="38"/>
      <c r="E870" s="10"/>
      <c r="I870" s="10"/>
      <c r="J870" s="10"/>
    </row>
    <row r="871">
      <c r="C871" s="38"/>
      <c r="D871" s="38"/>
      <c r="E871" s="10"/>
      <c r="I871" s="10"/>
      <c r="J871" s="10"/>
    </row>
    <row r="872">
      <c r="C872" s="38"/>
      <c r="D872" s="38"/>
      <c r="E872" s="10"/>
      <c r="I872" s="10"/>
      <c r="J872" s="10"/>
    </row>
    <row r="873">
      <c r="C873" s="38"/>
      <c r="D873" s="38"/>
      <c r="E873" s="10"/>
      <c r="I873" s="10"/>
      <c r="J873" s="10"/>
    </row>
    <row r="874">
      <c r="C874" s="38"/>
      <c r="D874" s="38"/>
      <c r="E874" s="10"/>
      <c r="I874" s="10"/>
      <c r="J874" s="10"/>
    </row>
    <row r="875">
      <c r="C875" s="38"/>
      <c r="D875" s="38"/>
      <c r="E875" s="10"/>
      <c r="I875" s="10"/>
      <c r="J875" s="10"/>
    </row>
    <row r="876">
      <c r="C876" s="38"/>
      <c r="D876" s="38"/>
      <c r="E876" s="10"/>
      <c r="I876" s="10"/>
      <c r="J876" s="10"/>
    </row>
    <row r="877">
      <c r="C877" s="38"/>
      <c r="D877" s="38"/>
      <c r="E877" s="10"/>
      <c r="I877" s="10"/>
      <c r="J877" s="10"/>
    </row>
    <row r="878">
      <c r="C878" s="38"/>
      <c r="D878" s="38"/>
      <c r="E878" s="10"/>
      <c r="I878" s="10"/>
      <c r="J878" s="10"/>
    </row>
    <row r="879">
      <c r="C879" s="38"/>
      <c r="D879" s="38"/>
      <c r="E879" s="10"/>
      <c r="I879" s="10"/>
      <c r="J879" s="10"/>
    </row>
    <row r="880">
      <c r="C880" s="38"/>
      <c r="D880" s="38"/>
      <c r="E880" s="10"/>
      <c r="I880" s="10"/>
      <c r="J880" s="10"/>
    </row>
    <row r="881">
      <c r="C881" s="38"/>
      <c r="D881" s="38"/>
      <c r="E881" s="10"/>
      <c r="I881" s="10"/>
      <c r="J881" s="10"/>
    </row>
    <row r="882">
      <c r="C882" s="38"/>
      <c r="D882" s="38"/>
      <c r="E882" s="10"/>
      <c r="I882" s="10"/>
      <c r="J882" s="10"/>
    </row>
    <row r="883">
      <c r="C883" s="38"/>
      <c r="D883" s="38"/>
      <c r="E883" s="10"/>
      <c r="I883" s="10"/>
      <c r="J883" s="10"/>
    </row>
    <row r="884">
      <c r="C884" s="38"/>
      <c r="D884" s="38"/>
      <c r="E884" s="10"/>
      <c r="I884" s="10"/>
      <c r="J884" s="10"/>
    </row>
    <row r="885">
      <c r="C885" s="38"/>
      <c r="D885" s="38"/>
      <c r="E885" s="10"/>
      <c r="I885" s="10"/>
      <c r="J885" s="10"/>
    </row>
    <row r="886">
      <c r="C886" s="38"/>
      <c r="D886" s="38"/>
      <c r="E886" s="10"/>
      <c r="I886" s="10"/>
      <c r="J886" s="10"/>
    </row>
    <row r="887">
      <c r="C887" s="38"/>
      <c r="D887" s="38"/>
      <c r="E887" s="10"/>
      <c r="I887" s="10"/>
      <c r="J887" s="10"/>
    </row>
    <row r="888">
      <c r="C888" s="38"/>
      <c r="D888" s="38"/>
      <c r="E888" s="10"/>
      <c r="I888" s="10"/>
      <c r="J888" s="10"/>
    </row>
    <row r="889">
      <c r="C889" s="38"/>
      <c r="D889" s="38"/>
      <c r="E889" s="10"/>
      <c r="I889" s="10"/>
      <c r="J889" s="10"/>
    </row>
    <row r="890">
      <c r="C890" s="38"/>
      <c r="D890" s="38"/>
      <c r="E890" s="10"/>
      <c r="I890" s="10"/>
      <c r="J890" s="10"/>
    </row>
    <row r="891">
      <c r="C891" s="38"/>
      <c r="D891" s="38"/>
      <c r="E891" s="10"/>
      <c r="I891" s="10"/>
      <c r="J891" s="10"/>
    </row>
    <row r="892">
      <c r="C892" s="38"/>
      <c r="D892" s="38"/>
      <c r="E892" s="10"/>
      <c r="I892" s="10"/>
      <c r="J892" s="10"/>
    </row>
    <row r="893">
      <c r="C893" s="38"/>
      <c r="D893" s="38"/>
      <c r="E893" s="10"/>
      <c r="I893" s="10"/>
      <c r="J893" s="10"/>
    </row>
    <row r="894">
      <c r="C894" s="38"/>
      <c r="D894" s="38"/>
      <c r="E894" s="10"/>
      <c r="I894" s="10"/>
      <c r="J894" s="10"/>
    </row>
    <row r="895">
      <c r="C895" s="38"/>
      <c r="D895" s="38"/>
      <c r="E895" s="10"/>
      <c r="I895" s="10"/>
      <c r="J895" s="10"/>
    </row>
    <row r="896">
      <c r="C896" s="38"/>
      <c r="D896" s="38"/>
      <c r="E896" s="10"/>
      <c r="I896" s="10"/>
      <c r="J896" s="10"/>
    </row>
    <row r="897">
      <c r="C897" s="38"/>
      <c r="D897" s="38"/>
      <c r="E897" s="10"/>
      <c r="I897" s="10"/>
      <c r="J897" s="10"/>
    </row>
    <row r="898">
      <c r="C898" s="38"/>
      <c r="D898" s="38"/>
      <c r="E898" s="10"/>
      <c r="I898" s="10"/>
      <c r="J898" s="10"/>
    </row>
    <row r="899">
      <c r="C899" s="38"/>
      <c r="D899" s="38"/>
      <c r="E899" s="10"/>
      <c r="I899" s="10"/>
      <c r="J899" s="10"/>
    </row>
    <row r="900">
      <c r="C900" s="38"/>
      <c r="D900" s="38"/>
      <c r="E900" s="10"/>
      <c r="I900" s="10"/>
      <c r="J900" s="10"/>
    </row>
    <row r="901">
      <c r="C901" s="38"/>
      <c r="D901" s="38"/>
      <c r="E901" s="10"/>
      <c r="I901" s="10"/>
      <c r="J901" s="10"/>
    </row>
    <row r="902">
      <c r="C902" s="38"/>
      <c r="D902" s="38"/>
      <c r="E902" s="10"/>
      <c r="I902" s="10"/>
      <c r="J902" s="10"/>
    </row>
    <row r="903">
      <c r="C903" s="38"/>
      <c r="D903" s="38"/>
      <c r="E903" s="10"/>
      <c r="I903" s="10"/>
      <c r="J903" s="10"/>
    </row>
    <row r="904">
      <c r="C904" s="38"/>
      <c r="D904" s="38"/>
      <c r="E904" s="10"/>
      <c r="I904" s="10"/>
      <c r="J904" s="10"/>
    </row>
    <row r="905">
      <c r="C905" s="38"/>
      <c r="D905" s="38"/>
      <c r="E905" s="10"/>
      <c r="I905" s="10"/>
      <c r="J905" s="10"/>
    </row>
    <row r="906">
      <c r="C906" s="38"/>
      <c r="D906" s="38"/>
      <c r="E906" s="10"/>
      <c r="I906" s="10"/>
      <c r="J906" s="10"/>
    </row>
    <row r="907">
      <c r="C907" s="38"/>
      <c r="D907" s="38"/>
      <c r="E907" s="10"/>
      <c r="I907" s="10"/>
      <c r="J907" s="10"/>
    </row>
    <row r="908">
      <c r="C908" s="38"/>
      <c r="D908" s="38"/>
      <c r="E908" s="10"/>
      <c r="I908" s="10"/>
      <c r="J908" s="10"/>
    </row>
    <row r="909">
      <c r="C909" s="38"/>
      <c r="D909" s="38"/>
      <c r="E909" s="10"/>
      <c r="I909" s="10"/>
      <c r="J909" s="10"/>
    </row>
    <row r="910">
      <c r="C910" s="38"/>
      <c r="D910" s="38"/>
      <c r="E910" s="10"/>
      <c r="I910" s="10"/>
      <c r="J910" s="10"/>
    </row>
    <row r="911">
      <c r="C911" s="38"/>
      <c r="D911" s="38"/>
      <c r="E911" s="10"/>
      <c r="I911" s="10"/>
      <c r="J911" s="10"/>
    </row>
    <row r="912">
      <c r="C912" s="38"/>
      <c r="D912" s="38"/>
      <c r="E912" s="10"/>
      <c r="I912" s="10"/>
      <c r="J912" s="10"/>
    </row>
    <row r="913">
      <c r="C913" s="38"/>
      <c r="D913" s="38"/>
      <c r="E913" s="10"/>
      <c r="I913" s="10"/>
      <c r="J913" s="10"/>
    </row>
    <row r="914">
      <c r="C914" s="38"/>
      <c r="D914" s="38"/>
      <c r="E914" s="10"/>
      <c r="I914" s="10"/>
      <c r="J914" s="10"/>
    </row>
    <row r="915">
      <c r="C915" s="38"/>
      <c r="D915" s="38"/>
      <c r="E915" s="10"/>
      <c r="I915" s="10"/>
      <c r="J915" s="10"/>
    </row>
    <row r="916">
      <c r="C916" s="38"/>
      <c r="D916" s="38"/>
      <c r="E916" s="10"/>
      <c r="I916" s="10"/>
      <c r="J916" s="10"/>
    </row>
    <row r="917">
      <c r="C917" s="38"/>
      <c r="D917" s="38"/>
      <c r="E917" s="10"/>
      <c r="I917" s="10"/>
      <c r="J917" s="10"/>
    </row>
    <row r="918">
      <c r="C918" s="38"/>
      <c r="D918" s="38"/>
      <c r="E918" s="10"/>
      <c r="I918" s="10"/>
      <c r="J918" s="10"/>
    </row>
    <row r="919">
      <c r="C919" s="38"/>
      <c r="D919" s="38"/>
      <c r="E919" s="10"/>
      <c r="I919" s="10"/>
      <c r="J919" s="10"/>
    </row>
    <row r="920">
      <c r="C920" s="38"/>
      <c r="D920" s="38"/>
      <c r="E920" s="10"/>
      <c r="I920" s="10"/>
      <c r="J920" s="10"/>
    </row>
    <row r="921">
      <c r="C921" s="38"/>
      <c r="D921" s="38"/>
      <c r="E921" s="10"/>
      <c r="I921" s="10"/>
      <c r="J921" s="10"/>
    </row>
    <row r="922">
      <c r="C922" s="38"/>
      <c r="D922" s="38"/>
      <c r="E922" s="10"/>
      <c r="I922" s="10"/>
      <c r="J922" s="10"/>
    </row>
    <row r="923">
      <c r="C923" s="38"/>
      <c r="D923" s="38"/>
      <c r="E923" s="10"/>
      <c r="I923" s="10"/>
      <c r="J923" s="10"/>
    </row>
    <row r="924">
      <c r="C924" s="38"/>
      <c r="D924" s="38"/>
      <c r="E924" s="10"/>
      <c r="I924" s="10"/>
      <c r="J924" s="10"/>
    </row>
    <row r="925">
      <c r="C925" s="38"/>
      <c r="D925" s="38"/>
      <c r="E925" s="10"/>
      <c r="I925" s="10"/>
      <c r="J925" s="10"/>
    </row>
    <row r="926">
      <c r="C926" s="38"/>
      <c r="D926" s="38"/>
      <c r="E926" s="10"/>
      <c r="I926" s="10"/>
      <c r="J926" s="10"/>
    </row>
    <row r="927">
      <c r="C927" s="38"/>
      <c r="D927" s="38"/>
      <c r="E927" s="10"/>
      <c r="I927" s="10"/>
      <c r="J927" s="10"/>
    </row>
    <row r="928">
      <c r="C928" s="38"/>
      <c r="D928" s="38"/>
      <c r="E928" s="10"/>
      <c r="I928" s="10"/>
      <c r="J928" s="10"/>
    </row>
    <row r="929">
      <c r="C929" s="38"/>
      <c r="D929" s="38"/>
      <c r="E929" s="10"/>
      <c r="I929" s="10"/>
      <c r="J929" s="10"/>
    </row>
    <row r="930">
      <c r="C930" s="38"/>
      <c r="D930" s="38"/>
      <c r="E930" s="10"/>
      <c r="I930" s="10"/>
      <c r="J930" s="10"/>
    </row>
    <row r="931">
      <c r="C931" s="38"/>
      <c r="D931" s="38"/>
      <c r="E931" s="10"/>
      <c r="I931" s="10"/>
      <c r="J931" s="10"/>
    </row>
    <row r="932">
      <c r="C932" s="38"/>
      <c r="D932" s="38"/>
      <c r="E932" s="10"/>
      <c r="I932" s="10"/>
      <c r="J932" s="10"/>
    </row>
    <row r="933">
      <c r="C933" s="38"/>
      <c r="D933" s="38"/>
      <c r="E933" s="10"/>
      <c r="I933" s="10"/>
      <c r="J933" s="10"/>
    </row>
    <row r="934">
      <c r="C934" s="38"/>
      <c r="D934" s="38"/>
      <c r="E934" s="10"/>
      <c r="I934" s="10"/>
      <c r="J934" s="10"/>
    </row>
    <row r="935">
      <c r="C935" s="38"/>
      <c r="D935" s="38"/>
      <c r="E935" s="10"/>
      <c r="I935" s="10"/>
      <c r="J935" s="10"/>
    </row>
    <row r="936">
      <c r="C936" s="38"/>
      <c r="D936" s="38"/>
      <c r="E936" s="10"/>
      <c r="I936" s="10"/>
      <c r="J936" s="10"/>
    </row>
    <row r="937">
      <c r="C937" s="38"/>
      <c r="D937" s="38"/>
      <c r="E937" s="10"/>
      <c r="I937" s="10"/>
      <c r="J937" s="10"/>
    </row>
    <row r="938">
      <c r="C938" s="38"/>
      <c r="D938" s="38"/>
      <c r="E938" s="10"/>
      <c r="I938" s="10"/>
      <c r="J938" s="10"/>
    </row>
    <row r="939">
      <c r="C939" s="38"/>
      <c r="D939" s="38"/>
      <c r="E939" s="10"/>
      <c r="I939" s="10"/>
      <c r="J939" s="10"/>
    </row>
    <row r="940">
      <c r="C940" s="38"/>
      <c r="D940" s="38"/>
      <c r="E940" s="10"/>
      <c r="I940" s="10"/>
      <c r="J940" s="10"/>
    </row>
    <row r="941">
      <c r="C941" s="38"/>
      <c r="D941" s="38"/>
      <c r="E941" s="10"/>
      <c r="I941" s="10"/>
      <c r="J941" s="10"/>
    </row>
    <row r="942">
      <c r="C942" s="38"/>
      <c r="D942" s="38"/>
      <c r="E942" s="10"/>
      <c r="I942" s="10"/>
      <c r="J942" s="10"/>
    </row>
    <row r="943">
      <c r="C943" s="38"/>
      <c r="D943" s="38"/>
      <c r="E943" s="10"/>
      <c r="I943" s="10"/>
      <c r="J943" s="10"/>
    </row>
    <row r="944">
      <c r="C944" s="38"/>
      <c r="D944" s="38"/>
      <c r="E944" s="10"/>
      <c r="I944" s="10"/>
      <c r="J944" s="10"/>
    </row>
    <row r="945">
      <c r="C945" s="38"/>
      <c r="D945" s="38"/>
      <c r="E945" s="10"/>
      <c r="I945" s="10"/>
      <c r="J945" s="10"/>
    </row>
    <row r="946">
      <c r="C946" s="38"/>
      <c r="D946" s="38"/>
      <c r="E946" s="10"/>
      <c r="I946" s="10"/>
      <c r="J946" s="10"/>
    </row>
    <row r="947">
      <c r="C947" s="38"/>
      <c r="D947" s="38"/>
      <c r="E947" s="10"/>
      <c r="I947" s="10"/>
      <c r="J947" s="10"/>
    </row>
    <row r="948">
      <c r="C948" s="38"/>
      <c r="D948" s="38"/>
      <c r="E948" s="10"/>
      <c r="I948" s="10"/>
      <c r="J948" s="10"/>
    </row>
    <row r="949">
      <c r="C949" s="38"/>
      <c r="D949" s="38"/>
      <c r="E949" s="10"/>
      <c r="I949" s="10"/>
      <c r="J949" s="10"/>
    </row>
    <row r="950">
      <c r="C950" s="38"/>
      <c r="D950" s="38"/>
      <c r="E950" s="10"/>
      <c r="I950" s="10"/>
      <c r="J950" s="10"/>
    </row>
    <row r="951">
      <c r="C951" s="38"/>
      <c r="D951" s="38"/>
      <c r="E951" s="10"/>
      <c r="I951" s="10"/>
      <c r="J951" s="10"/>
    </row>
    <row r="952">
      <c r="C952" s="38"/>
      <c r="D952" s="38"/>
      <c r="E952" s="10"/>
      <c r="I952" s="10"/>
      <c r="J952" s="10"/>
    </row>
    <row r="953">
      <c r="C953" s="38"/>
      <c r="D953" s="38"/>
      <c r="E953" s="10"/>
      <c r="I953" s="10"/>
      <c r="J953" s="10"/>
    </row>
    <row r="954">
      <c r="C954" s="38"/>
      <c r="D954" s="38"/>
      <c r="E954" s="10"/>
      <c r="I954" s="10"/>
      <c r="J954" s="10"/>
    </row>
    <row r="955">
      <c r="C955" s="38"/>
      <c r="D955" s="38"/>
      <c r="E955" s="10"/>
      <c r="I955" s="10"/>
      <c r="J955" s="10"/>
    </row>
    <row r="956">
      <c r="C956" s="38"/>
      <c r="D956" s="38"/>
      <c r="E956" s="10"/>
      <c r="I956" s="10"/>
      <c r="J956" s="10"/>
    </row>
    <row r="957">
      <c r="C957" s="38"/>
      <c r="D957" s="38"/>
      <c r="E957" s="10"/>
      <c r="I957" s="10"/>
      <c r="J957" s="10"/>
    </row>
    <row r="958">
      <c r="C958" s="38"/>
      <c r="D958" s="38"/>
      <c r="E958" s="10"/>
      <c r="I958" s="10"/>
      <c r="J958" s="10"/>
    </row>
    <row r="959">
      <c r="C959" s="38"/>
      <c r="D959" s="38"/>
      <c r="E959" s="10"/>
      <c r="I959" s="10"/>
      <c r="J959" s="10"/>
    </row>
    <row r="960">
      <c r="C960" s="38"/>
      <c r="D960" s="38"/>
      <c r="E960" s="10"/>
      <c r="I960" s="10"/>
      <c r="J960" s="10"/>
    </row>
    <row r="961">
      <c r="C961" s="38"/>
      <c r="D961" s="38"/>
      <c r="E961" s="10"/>
      <c r="I961" s="10"/>
      <c r="J961" s="10"/>
    </row>
    <row r="962">
      <c r="C962" s="38"/>
      <c r="D962" s="38"/>
      <c r="E962" s="10"/>
      <c r="I962" s="10"/>
      <c r="J962" s="10"/>
    </row>
    <row r="963">
      <c r="C963" s="38"/>
      <c r="D963" s="38"/>
      <c r="E963" s="10"/>
      <c r="I963" s="10"/>
      <c r="J963" s="10"/>
    </row>
    <row r="964">
      <c r="C964" s="38"/>
      <c r="D964" s="38"/>
      <c r="E964" s="10"/>
      <c r="I964" s="10"/>
      <c r="J964" s="10"/>
    </row>
    <row r="965">
      <c r="C965" s="38"/>
      <c r="D965" s="38"/>
      <c r="E965" s="10"/>
      <c r="I965" s="10"/>
      <c r="J965" s="10"/>
    </row>
    <row r="966">
      <c r="C966" s="38"/>
      <c r="D966" s="38"/>
      <c r="E966" s="10"/>
      <c r="I966" s="10"/>
      <c r="J966" s="10"/>
    </row>
    <row r="967">
      <c r="C967" s="38"/>
      <c r="D967" s="38"/>
      <c r="E967" s="10"/>
      <c r="I967" s="10"/>
      <c r="J967" s="10"/>
    </row>
    <row r="968">
      <c r="C968" s="38"/>
      <c r="D968" s="38"/>
      <c r="E968" s="10"/>
      <c r="I968" s="10"/>
      <c r="J968" s="10"/>
    </row>
    <row r="969">
      <c r="C969" s="38"/>
      <c r="D969" s="38"/>
      <c r="E969" s="10"/>
      <c r="I969" s="10"/>
      <c r="J969" s="10"/>
    </row>
    <row r="970">
      <c r="C970" s="38"/>
      <c r="D970" s="38"/>
      <c r="E970" s="10"/>
      <c r="I970" s="10"/>
      <c r="J970" s="10"/>
    </row>
    <row r="971">
      <c r="C971" s="38"/>
      <c r="D971" s="38"/>
      <c r="E971" s="10"/>
      <c r="I971" s="10"/>
      <c r="J971" s="10"/>
    </row>
    <row r="972">
      <c r="C972" s="38"/>
      <c r="D972" s="38"/>
      <c r="E972" s="10"/>
      <c r="I972" s="10"/>
      <c r="J972" s="10"/>
    </row>
    <row r="973">
      <c r="C973" s="38"/>
      <c r="D973" s="38"/>
      <c r="E973" s="10"/>
      <c r="I973" s="10"/>
      <c r="J973" s="10"/>
    </row>
    <row r="974">
      <c r="C974" s="38"/>
      <c r="D974" s="38"/>
      <c r="E974" s="10"/>
      <c r="I974" s="10"/>
      <c r="J974" s="10"/>
    </row>
    <row r="975">
      <c r="C975" s="38"/>
      <c r="D975" s="38"/>
      <c r="E975" s="10"/>
      <c r="I975" s="10"/>
      <c r="J975" s="10"/>
    </row>
    <row r="976">
      <c r="C976" s="38"/>
      <c r="D976" s="38"/>
      <c r="E976" s="10"/>
      <c r="I976" s="10"/>
      <c r="J976" s="10"/>
    </row>
    <row r="977">
      <c r="C977" s="38"/>
      <c r="D977" s="38"/>
      <c r="E977" s="10"/>
      <c r="I977" s="10"/>
      <c r="J977" s="10"/>
    </row>
    <row r="978">
      <c r="C978" s="38"/>
      <c r="D978" s="38"/>
      <c r="E978" s="10"/>
      <c r="I978" s="10"/>
      <c r="J978" s="10"/>
    </row>
    <row r="979">
      <c r="C979" s="38"/>
      <c r="D979" s="38"/>
      <c r="E979" s="10"/>
      <c r="I979" s="10"/>
      <c r="J979" s="10"/>
    </row>
    <row r="980">
      <c r="C980" s="38"/>
      <c r="D980" s="38"/>
      <c r="E980" s="10"/>
      <c r="I980" s="10"/>
      <c r="J980" s="10"/>
    </row>
    <row r="981">
      <c r="C981" s="38"/>
      <c r="D981" s="38"/>
      <c r="E981" s="10"/>
      <c r="I981" s="10"/>
      <c r="J981" s="10"/>
    </row>
    <row r="982">
      <c r="C982" s="38"/>
      <c r="D982" s="38"/>
      <c r="E982" s="10"/>
      <c r="I982" s="10"/>
      <c r="J982" s="10"/>
    </row>
    <row r="983">
      <c r="C983" s="38"/>
      <c r="D983" s="38"/>
      <c r="E983" s="10"/>
      <c r="I983" s="10"/>
      <c r="J983" s="10"/>
    </row>
    <row r="984">
      <c r="C984" s="38"/>
      <c r="D984" s="38"/>
      <c r="E984" s="10"/>
      <c r="I984" s="10"/>
      <c r="J984" s="10"/>
    </row>
    <row r="985">
      <c r="C985" s="38"/>
      <c r="D985" s="38"/>
      <c r="E985" s="10"/>
      <c r="I985" s="10"/>
      <c r="J985" s="10"/>
    </row>
    <row r="986">
      <c r="C986" s="38"/>
      <c r="D986" s="38"/>
      <c r="E986" s="10"/>
      <c r="I986" s="10"/>
      <c r="J986" s="10"/>
    </row>
    <row r="987">
      <c r="C987" s="38"/>
      <c r="D987" s="38"/>
      <c r="E987" s="10"/>
      <c r="I987" s="10"/>
      <c r="J987" s="10"/>
    </row>
    <row r="988">
      <c r="C988" s="38"/>
      <c r="D988" s="38"/>
      <c r="E988" s="10"/>
      <c r="I988" s="10"/>
      <c r="J988" s="10"/>
    </row>
    <row r="989">
      <c r="C989" s="38"/>
      <c r="D989" s="38"/>
      <c r="E989" s="10"/>
      <c r="I989" s="10"/>
      <c r="J989" s="10"/>
    </row>
    <row r="990">
      <c r="C990" s="38"/>
      <c r="D990" s="38"/>
      <c r="E990" s="10"/>
      <c r="I990" s="10"/>
      <c r="J990" s="10"/>
    </row>
    <row r="991">
      <c r="C991" s="38"/>
      <c r="D991" s="38"/>
      <c r="E991" s="10"/>
      <c r="I991" s="10"/>
      <c r="J991" s="10"/>
    </row>
    <row r="992">
      <c r="C992" s="38"/>
      <c r="D992" s="38"/>
      <c r="E992" s="10"/>
      <c r="I992" s="10"/>
      <c r="J992" s="10"/>
    </row>
    <row r="993">
      <c r="C993" s="38"/>
      <c r="D993" s="38"/>
      <c r="E993" s="10"/>
      <c r="I993" s="10"/>
      <c r="J993" s="10"/>
    </row>
    <row r="994">
      <c r="C994" s="38"/>
      <c r="D994" s="38"/>
      <c r="E994" s="10"/>
      <c r="I994" s="10"/>
      <c r="J994" s="10"/>
    </row>
    <row r="995">
      <c r="C995" s="38"/>
      <c r="D995" s="38"/>
      <c r="E995" s="10"/>
      <c r="I995" s="10"/>
      <c r="J995" s="10"/>
    </row>
    <row r="996">
      <c r="C996" s="38"/>
      <c r="D996" s="38"/>
      <c r="E996" s="10"/>
      <c r="I996" s="10"/>
      <c r="J996" s="10"/>
    </row>
    <row r="997">
      <c r="C997" s="38"/>
      <c r="D997" s="38"/>
      <c r="E997" s="10"/>
      <c r="I997" s="10"/>
      <c r="J997" s="10"/>
    </row>
  </sheetData>
  <dataValidations>
    <dataValidation type="custom" allowBlank="1" showDropDown="1" showErrorMessage="1" sqref="E2:E7 E10:E15 E17:E21 E24:E25 E29:E30 E35:E38 E40:E44 E46:E47 E50:E53 E55 E57:E59 E63 E65 E69:E74 E76 E82 E87 E89 E91 E93 E95 E99:E101 E104:E106 E109:E110 E112:E113 E123">
      <formula1>OR(NOT(ISERROR(DATEVALUE(E2))), AND(ISNUMBER(E2), LEFT(CELL("format", E2))="D"))</formula1>
    </dataValidation>
    <dataValidation type="decimal" allowBlank="1" showDropDown="1" showErrorMessage="1" sqref="F2:F6 F10:F15 F17:F21 F24:F25 F29:F30 F35:F38 F40:F44 F46:F47 F50:F53 F57:F59 F63 F65 F69:F74 F76 F82 F87 F89 F91 F93 F95 F99:F101 F104:F106 F109:F110 F112:F113 F123">
      <formula1>1.0</formula1>
      <formula2>15.0</formula2>
    </dataValidation>
  </dataValidations>
  <hyperlinks>
    <hyperlink r:id="rId1" ref="H2"/>
    <hyperlink r:id="rId2" ref="K2"/>
    <hyperlink r:id="rId3" ref="H3"/>
    <hyperlink r:id="rId4" ref="H4"/>
    <hyperlink r:id="rId5" ref="H5"/>
    <hyperlink r:id="rId6" ref="H6"/>
    <hyperlink r:id="rId7" ref="K6"/>
    <hyperlink r:id="rId8" ref="H7"/>
    <hyperlink r:id="rId9" ref="K7"/>
    <hyperlink r:id="rId10" ref="H8"/>
    <hyperlink r:id="rId11" ref="H9"/>
    <hyperlink r:id="rId12" ref="H10"/>
    <hyperlink r:id="rId13" ref="H11"/>
    <hyperlink r:id="rId14" ref="H12"/>
    <hyperlink r:id="rId15" ref="H13"/>
    <hyperlink r:id="rId16" ref="H14"/>
    <hyperlink r:id="rId17" ref="H15"/>
    <hyperlink r:id="rId18" ref="H16"/>
    <hyperlink r:id="rId19" ref="H17"/>
    <hyperlink r:id="rId20" ref="K17"/>
    <hyperlink r:id="rId21" ref="H18"/>
    <hyperlink r:id="rId22" ref="H19"/>
    <hyperlink r:id="rId23" ref="H20"/>
    <hyperlink r:id="rId24" ref="H21"/>
    <hyperlink r:id="rId25" ref="H22"/>
    <hyperlink r:id="rId26" ref="H23"/>
    <hyperlink r:id="rId27" ref="H24"/>
    <hyperlink r:id="rId28" ref="H25"/>
    <hyperlink r:id="rId29" ref="H26"/>
    <hyperlink r:id="rId30" ref="H27"/>
    <hyperlink r:id="rId31" ref="K27"/>
    <hyperlink r:id="rId32" ref="H28"/>
    <hyperlink r:id="rId33" ref="H29"/>
    <hyperlink r:id="rId34" ref="H30"/>
    <hyperlink r:id="rId35" ref="H31"/>
    <hyperlink r:id="rId36" ref="H32"/>
    <hyperlink r:id="rId37" ref="H33"/>
    <hyperlink r:id="rId38" ref="H34"/>
    <hyperlink r:id="rId39" ref="H35"/>
    <hyperlink r:id="rId40" ref="H36"/>
    <hyperlink r:id="rId41" ref="H37"/>
    <hyperlink r:id="rId42" ref="K37"/>
    <hyperlink r:id="rId43" ref="H38"/>
    <hyperlink r:id="rId44" ref="H39"/>
    <hyperlink r:id="rId45" ref="H40"/>
    <hyperlink r:id="rId46" ref="H41"/>
    <hyperlink r:id="rId47" ref="H42"/>
    <hyperlink r:id="rId48" ref="H43"/>
    <hyperlink r:id="rId49" ref="H44"/>
    <hyperlink r:id="rId50" ref="H45"/>
    <hyperlink r:id="rId51" ref="H46"/>
    <hyperlink r:id="rId52" ref="H47"/>
    <hyperlink r:id="rId53" ref="K47"/>
    <hyperlink r:id="rId54" ref="H48"/>
    <hyperlink r:id="rId55" ref="H49"/>
    <hyperlink r:id="rId56" ref="H50"/>
    <hyperlink r:id="rId57" ref="H51"/>
    <hyperlink r:id="rId58" ref="H52"/>
    <hyperlink r:id="rId59" ref="H53"/>
    <hyperlink r:id="rId60" ref="H54"/>
    <hyperlink r:id="rId61" ref="H55"/>
    <hyperlink r:id="rId62" ref="H56"/>
    <hyperlink r:id="rId63" ref="H57"/>
    <hyperlink r:id="rId64" ref="K57"/>
    <hyperlink r:id="rId65" ref="H58"/>
    <hyperlink r:id="rId66" ref="H59"/>
    <hyperlink r:id="rId67" ref="H60"/>
    <hyperlink r:id="rId68" ref="H61"/>
    <hyperlink r:id="rId69" ref="H62"/>
    <hyperlink r:id="rId70" ref="H63"/>
    <hyperlink r:id="rId71" ref="H64"/>
    <hyperlink r:id="rId72" ref="H65"/>
    <hyperlink r:id="rId73" ref="H66"/>
    <hyperlink r:id="rId74" ref="H67"/>
    <hyperlink r:id="rId75" ref="K67"/>
    <hyperlink r:id="rId76" ref="H68"/>
    <hyperlink r:id="rId77" ref="H69"/>
    <hyperlink r:id="rId78" ref="H70"/>
    <hyperlink r:id="rId79" ref="H71"/>
    <hyperlink r:id="rId80" ref="H72"/>
    <hyperlink r:id="rId81" ref="H73"/>
    <hyperlink r:id="rId82" ref="H74"/>
    <hyperlink r:id="rId83" ref="H75"/>
    <hyperlink r:id="rId84" ref="H76"/>
    <hyperlink r:id="rId85" ref="H77"/>
    <hyperlink r:id="rId86" ref="K77"/>
    <hyperlink r:id="rId87" ref="H78"/>
    <hyperlink r:id="rId88" ref="H79"/>
    <hyperlink r:id="rId89" ref="H80"/>
    <hyperlink r:id="rId90" ref="H81"/>
    <hyperlink r:id="rId91" ref="H82"/>
    <hyperlink r:id="rId92" ref="H83"/>
    <hyperlink r:id="rId93" ref="H84"/>
    <hyperlink r:id="rId94" ref="H85"/>
    <hyperlink r:id="rId95" ref="H86"/>
    <hyperlink r:id="rId96" ref="H87"/>
    <hyperlink r:id="rId97" ref="K87"/>
    <hyperlink r:id="rId98" ref="H88"/>
    <hyperlink r:id="rId99" ref="H89"/>
    <hyperlink r:id="rId100" ref="H90"/>
    <hyperlink r:id="rId101" ref="H91"/>
    <hyperlink r:id="rId102" ref="H92"/>
    <hyperlink r:id="rId103" ref="H93"/>
    <hyperlink r:id="rId104" ref="H94"/>
    <hyperlink r:id="rId105" ref="H95"/>
    <hyperlink r:id="rId106" ref="H96"/>
    <hyperlink r:id="rId107" ref="H97"/>
    <hyperlink r:id="rId108" ref="K97"/>
    <hyperlink r:id="rId109" ref="H98"/>
    <hyperlink r:id="rId110" ref="H99"/>
    <hyperlink r:id="rId111" ref="H100"/>
    <hyperlink r:id="rId112" ref="H101"/>
    <hyperlink r:id="rId113" ref="H102"/>
    <hyperlink r:id="rId114" ref="H103"/>
    <hyperlink r:id="rId115" ref="H104"/>
    <hyperlink r:id="rId116" ref="H105"/>
    <hyperlink r:id="rId117" ref="H106"/>
    <hyperlink r:id="rId118" ref="H107"/>
    <hyperlink r:id="rId119" ref="K107"/>
    <hyperlink r:id="rId120" ref="H108"/>
    <hyperlink r:id="rId121" ref="H109"/>
    <hyperlink r:id="rId122" ref="H110"/>
    <hyperlink r:id="rId123" ref="H111"/>
    <hyperlink r:id="rId124" ref="H112"/>
    <hyperlink r:id="rId125" ref="H113"/>
    <hyperlink r:id="rId126" ref="H114"/>
    <hyperlink r:id="rId127" ref="H115"/>
    <hyperlink r:id="rId128" ref="H116"/>
    <hyperlink r:id="rId129" ref="H117"/>
    <hyperlink r:id="rId130" ref="K117"/>
    <hyperlink r:id="rId131" ref="H118"/>
    <hyperlink r:id="rId132" ref="H119"/>
    <hyperlink r:id="rId133" ref="K119"/>
    <hyperlink r:id="rId134" ref="H120"/>
    <hyperlink r:id="rId135" ref="H121"/>
    <hyperlink r:id="rId136" ref="H122"/>
    <hyperlink r:id="rId137" ref="H123"/>
    <hyperlink r:id="rId138" ref="H124"/>
    <hyperlink r:id="rId139" ref="K124"/>
    <hyperlink r:id="rId140" ref="H125"/>
    <hyperlink r:id="rId141" ref="H126"/>
    <hyperlink r:id="rId142" ref="H127"/>
    <hyperlink r:id="rId143" ref="H128"/>
    <hyperlink r:id="rId144" ref="H129"/>
    <hyperlink r:id="rId145" ref="H130"/>
    <hyperlink r:id="rId146" ref="H131"/>
    <hyperlink r:id="rId147" ref="H132"/>
    <hyperlink r:id="rId148" ref="H133"/>
    <hyperlink r:id="rId149" ref="H134"/>
    <hyperlink r:id="rId150" ref="H135"/>
    <hyperlink r:id="rId151" ref="H136"/>
    <hyperlink r:id="rId152" ref="H137"/>
    <hyperlink r:id="rId153" ref="H138"/>
    <hyperlink r:id="rId154" ref="H139"/>
    <hyperlink r:id="rId155" ref="H140"/>
    <hyperlink r:id="rId156" ref="H141"/>
    <hyperlink r:id="rId157" ref="H142"/>
    <hyperlink r:id="rId158" ref="H143"/>
    <hyperlink r:id="rId159" ref="H144"/>
    <hyperlink r:id="rId160" ref="H145"/>
    <hyperlink r:id="rId161" ref="H146"/>
    <hyperlink r:id="rId162" ref="H147"/>
    <hyperlink r:id="rId163" ref="H148"/>
    <hyperlink r:id="rId164" ref="H149"/>
    <hyperlink r:id="rId165" ref="H150"/>
    <hyperlink r:id="rId166" ref="H151"/>
    <hyperlink r:id="rId167" ref="H152"/>
    <hyperlink r:id="rId168" ref="H153"/>
    <hyperlink r:id="rId169" ref="H154"/>
    <hyperlink r:id="rId170" ref="H155"/>
    <hyperlink r:id="rId171" ref="H156"/>
    <hyperlink r:id="rId172" ref="H157"/>
    <hyperlink r:id="rId173" ref="H158"/>
    <hyperlink r:id="rId174" ref="H159"/>
    <hyperlink r:id="rId175" ref="H160"/>
    <hyperlink r:id="rId176" ref="H161"/>
    <hyperlink r:id="rId177" ref="H162"/>
    <hyperlink r:id="rId178" ref="H163"/>
    <hyperlink r:id="rId179" ref="H164"/>
    <hyperlink r:id="rId180" ref="H165"/>
    <hyperlink r:id="rId181" ref="H166"/>
    <hyperlink r:id="rId182" ref="H167"/>
    <hyperlink r:id="rId183" ref="H168"/>
    <hyperlink r:id="rId184" ref="H169"/>
    <hyperlink r:id="rId185" ref="H170"/>
    <hyperlink r:id="rId186" ref="H171"/>
    <hyperlink r:id="rId187" ref="H172"/>
    <hyperlink r:id="rId188" ref="H173"/>
  </hyperlinks>
  <drawing r:id="rId189"/>
</worksheet>
</file>